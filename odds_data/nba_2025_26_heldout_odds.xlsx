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anlar" sheetId="1" r:id="rId1"/>
    <sheet name="Özet" sheetId="2" r:id="rId2"/>
    <sheet name="Kaynaklar ve notlar" sheetId="3" r:id="rId3"/>
    <sheet name="Model vs Piyasa" sheetId="4" r:id="rId4"/>
    <sheet name="Model vs Piyasa özet" sheetId="5" r:id="rId5"/>
  </sheets>
  <definedNames>
    <definedName name="_xlnm._FilterDatabase" localSheetId="3" hidden="1">'Model vs Piyasa'!$A$2:$AX$310</definedName>
    <definedName name="_xlnm._FilterDatabase" localSheetId="0" hidden="1">Oranlar!$A$2:$AI$310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1" authorId="0">
      <text>
        <r>
          <rPr>
            <sz val="8"/>
            <color indexed="81"/>
            <rFont val="Tahoma"/>
            <family val="2"/>
          </rPr>
          <t>Kaynak: api.thescore.com/nba/events (game_date.in filtresi). Veride bahis şirketi adı yok; sadece kapanış handikabı ve alt/üst çizgisi var, fiyat yok.</t>
        </r>
      </text>
    </comment>
    <comment ref="I1" authorId="0">
      <text>
        <r>
          <rPr>
            <sz val="8"/>
            <color indexed="81"/>
            <rFont val="Tahoma"/>
            <family val="2"/>
          </rPr>
          <t>Kaynak: sports.core.api.espn.com .../events/{id}/competitions/{id}/odds, sağlayıcı DraftKings (ESPN beslemesi, ABD hattı). Ondalık oranlar Amerikan fiyattan tam hesaplandı.</t>
        </r>
      </text>
    </comment>
  </commentList>
</comments>
</file>

<file path=xl/sharedStrings.xml><?xml version="1.0" encoding="utf-8"?>
<sst xmlns="http://schemas.openxmlformats.org/spreadsheetml/2006/main" count="1735" uniqueCount="682">
  <si>
    <t>Maç</t>
  </si>
  <si>
    <t>theScore (Kanada) — kapanış</t>
  </si>
  <si>
    <t>DraftKings (ESPN) — açılış</t>
  </si>
  <si>
    <t>DraftKings (ESPN) — kapanış</t>
  </si>
  <si>
    <t>Hesaplanan (formül)</t>
  </si>
  <si>
    <t>Tarih</t>
  </si>
  <si>
    <t>Maç ID (NBA)</t>
  </si>
  <si>
    <t>Deplasman</t>
  </si>
  <si>
    <t>Ev sahibi</t>
  </si>
  <si>
    <t>Deplasman sayı</t>
  </si>
  <si>
    <t>Ev sahibi sayı</t>
  </si>
  <si>
    <t>theScore kapanış handikap (ev)</t>
  </si>
  <si>
    <t>theScore kapanış alt/üst</t>
  </si>
  <si>
    <t>DK açılış handikap (ev)</t>
  </si>
  <si>
    <t>DK açılış ML ev (ondalık)</t>
  </si>
  <si>
    <t>DK açılış ML deplasman (ondalık)</t>
  </si>
  <si>
    <t>DK açılış alt/üst</t>
  </si>
  <si>
    <t>DK açılış üst fiyatı (ondalık)</t>
  </si>
  <si>
    <t>DK açılış alt fiyatı (ondalık)</t>
  </si>
  <si>
    <t>DK kapanış handikap (ev)</t>
  </si>
  <si>
    <t>DK kapanış handikap fiyatı ev (ondalık)</t>
  </si>
  <si>
    <t>DK kapanış handikap fiyatı deplasman (ondalık)</t>
  </si>
  <si>
    <t>DK kapanış ML ev (ondalık)</t>
  </si>
  <si>
    <t>DK kapanış ML deplasman (ondalık)</t>
  </si>
  <si>
    <t>DK kapanış ML ev (Amerikan)</t>
  </si>
  <si>
    <t>DK kapanış ML deplasman (Amerikan)</t>
  </si>
  <si>
    <t>DK kapanış alt/üst</t>
  </si>
  <si>
    <t>DK kapanış üst fiyatı (ondalık)</t>
  </si>
  <si>
    <t>DK kapanış alt fiyatı (ondalık)</t>
  </si>
  <si>
    <t>Ev kazanma olasılığı, kapanış (marjsız)</t>
  </si>
  <si>
    <t>Ev kazanma olasılığı, açılış (marjsız)</t>
  </si>
  <si>
    <t>DK marjı, kapanış ML</t>
  </si>
  <si>
    <t>DK handikap hareketi (kapanış − açılış)</t>
  </si>
  <si>
    <t>Handikap farkı: theScore − DK kapanış</t>
  </si>
  <si>
    <t>Alt/üst farkı: theScore − DK kapanış</t>
  </si>
  <si>
    <t>Ev sahibi kazandı (1/0)</t>
  </si>
  <si>
    <t>Toplam sayı</t>
  </si>
  <si>
    <t>Kapanış favorisi kazandı (1/0; oranlar eşitse boş)</t>
  </si>
  <si>
    <t>Açılış favorisi kazandı (1/0; oranlar eşitse boş)</t>
  </si>
  <si>
    <t>Kapanış alt/üst sonucu</t>
  </si>
  <si>
    <t>0022500895</t>
  </si>
  <si>
    <t>UTA</t>
  </si>
  <si>
    <t>PHI</t>
  </si>
  <si>
    <t>-325</t>
  </si>
  <si>
    <t>+260</t>
  </si>
  <si>
    <t>0022500896</t>
  </si>
  <si>
    <t>POR</t>
  </si>
  <si>
    <t>MEM</t>
  </si>
  <si>
    <t>+310</t>
  </si>
  <si>
    <t>-395</t>
  </si>
  <si>
    <t>0022500897</t>
  </si>
  <si>
    <t>ATL</t>
  </si>
  <si>
    <t>MIL</t>
  </si>
  <si>
    <t>-115</t>
  </si>
  <si>
    <t>-105</t>
  </si>
  <si>
    <t>0022500898</t>
  </si>
  <si>
    <t>IND</t>
  </si>
  <si>
    <t>LAC</t>
  </si>
  <si>
    <t>-650</t>
  </si>
  <si>
    <t>+470</t>
  </si>
  <si>
    <t>0022500899</t>
  </si>
  <si>
    <t>DAL</t>
  </si>
  <si>
    <t>ORL</t>
  </si>
  <si>
    <t>0022500900</t>
  </si>
  <si>
    <t>WAS</t>
  </si>
  <si>
    <t>-166</t>
  </si>
  <si>
    <t>+140</t>
  </si>
  <si>
    <t>0022500901</t>
  </si>
  <si>
    <t>BKN</t>
  </si>
  <si>
    <t>MIA</t>
  </si>
  <si>
    <t>-800</t>
  </si>
  <si>
    <t>+550</t>
  </si>
  <si>
    <t>0022500902</t>
  </si>
  <si>
    <t>GSW</t>
  </si>
  <si>
    <t>HOU</t>
  </si>
  <si>
    <t>0022500903</t>
  </si>
  <si>
    <t>TOR</t>
  </si>
  <si>
    <t>MIN</t>
  </si>
  <si>
    <t>-218</t>
  </si>
  <si>
    <t>+180</t>
  </si>
  <si>
    <t>0022500904</t>
  </si>
  <si>
    <t>DET</t>
  </si>
  <si>
    <t>SAS</t>
  </si>
  <si>
    <t>-148</t>
  </si>
  <si>
    <t>+124</t>
  </si>
  <si>
    <t>0022500905</t>
  </si>
  <si>
    <t>CHI</t>
  </si>
  <si>
    <t>PHX</t>
  </si>
  <si>
    <t>-600</t>
  </si>
  <si>
    <t>+440</t>
  </si>
  <si>
    <t>0022500906</t>
  </si>
  <si>
    <t>LAL</t>
  </si>
  <si>
    <t>DEN</t>
  </si>
  <si>
    <t>-170</t>
  </si>
  <si>
    <t>+142</t>
  </si>
  <si>
    <t>0022500907</t>
  </si>
  <si>
    <t>NOP</t>
  </si>
  <si>
    <t>SAC</t>
  </si>
  <si>
    <t>+215</t>
  </si>
  <si>
    <t>-265</t>
  </si>
  <si>
    <t>0022500908</t>
  </si>
  <si>
    <t>BOS</t>
  </si>
  <si>
    <t>-1200</t>
  </si>
  <si>
    <t>+750</t>
  </si>
  <si>
    <t>0022500909</t>
  </si>
  <si>
    <t>CHA</t>
  </si>
  <si>
    <t>-298</t>
  </si>
  <si>
    <t>+240</t>
  </si>
  <si>
    <t>0022500910</t>
  </si>
  <si>
    <t>0022500911</t>
  </si>
  <si>
    <t>NYK</t>
  </si>
  <si>
    <t>0022500912</t>
  </si>
  <si>
    <t>-175</t>
  </si>
  <si>
    <t>+145</t>
  </si>
  <si>
    <t>0022500913</t>
  </si>
  <si>
    <t>-278</t>
  </si>
  <si>
    <t>+225</t>
  </si>
  <si>
    <t>0022500914</t>
  </si>
  <si>
    <t>-410</t>
  </si>
  <si>
    <t>+320</t>
  </si>
  <si>
    <t>0022500915</t>
  </si>
  <si>
    <t>0022500916</t>
  </si>
  <si>
    <t>0022500917</t>
  </si>
  <si>
    <t>0022500918</t>
  </si>
  <si>
    <t>+245</t>
  </si>
  <si>
    <t>-305</t>
  </si>
  <si>
    <t>0022500919</t>
  </si>
  <si>
    <t>-440</t>
  </si>
  <si>
    <t>+340</t>
  </si>
  <si>
    <t>0022500920</t>
  </si>
  <si>
    <t>OKC</t>
  </si>
  <si>
    <t>-625</t>
  </si>
  <si>
    <t>+455</t>
  </si>
  <si>
    <t>0022500921</t>
  </si>
  <si>
    <t>CLE</t>
  </si>
  <si>
    <t>-120</t>
  </si>
  <si>
    <t>+100</t>
  </si>
  <si>
    <t>0022500922</t>
  </si>
  <si>
    <t>+164</t>
  </si>
  <si>
    <t>-198</t>
  </si>
  <si>
    <t>0022500923</t>
  </si>
  <si>
    <t>0022500924</t>
  </si>
  <si>
    <t>0022500925</t>
  </si>
  <si>
    <t>-535</t>
  </si>
  <si>
    <t>+400</t>
  </si>
  <si>
    <t>0022500926</t>
  </si>
  <si>
    <t>+185</t>
  </si>
  <si>
    <t>-225</t>
  </si>
  <si>
    <t>0022500927</t>
  </si>
  <si>
    <t>-230</t>
  </si>
  <si>
    <t>+190</t>
  </si>
  <si>
    <t>0022500928</t>
  </si>
  <si>
    <t>+170</t>
  </si>
  <si>
    <t>-205</t>
  </si>
  <si>
    <t>0022500929</t>
  </si>
  <si>
    <t>0022500930</t>
  </si>
  <si>
    <t>0022500931</t>
  </si>
  <si>
    <t>-850</t>
  </si>
  <si>
    <t>+575</t>
  </si>
  <si>
    <t>0022500932</t>
  </si>
  <si>
    <t>-122</t>
  </si>
  <si>
    <t>+102</t>
  </si>
  <si>
    <t>0022500933</t>
  </si>
  <si>
    <t>-155</t>
  </si>
  <si>
    <t>+130</t>
  </si>
  <si>
    <t>0022500934</t>
  </si>
  <si>
    <t>0022500935</t>
  </si>
  <si>
    <t>+110</t>
  </si>
  <si>
    <t>-130</t>
  </si>
  <si>
    <t>0022500936</t>
  </si>
  <si>
    <t>-192</t>
  </si>
  <si>
    <t>+160</t>
  </si>
  <si>
    <t>0022500937</t>
  </si>
  <si>
    <t>+700</t>
  </si>
  <si>
    <t>-1100</t>
  </si>
  <si>
    <t>0022500938</t>
  </si>
  <si>
    <t>0022500939</t>
  </si>
  <si>
    <t>-425</t>
  </si>
  <si>
    <t>+330</t>
  </si>
  <si>
    <t>0022500940</t>
  </si>
  <si>
    <t>0022500941</t>
  </si>
  <si>
    <t>0022500942</t>
  </si>
  <si>
    <t>-162</t>
  </si>
  <si>
    <t>+136</t>
  </si>
  <si>
    <t>0022500943</t>
  </si>
  <si>
    <t>-238</t>
  </si>
  <si>
    <t>+195</t>
  </si>
  <si>
    <t>0022500944</t>
  </si>
  <si>
    <t>0022500945</t>
  </si>
  <si>
    <t>0022500946</t>
  </si>
  <si>
    <t>+120</t>
  </si>
  <si>
    <t>-142</t>
  </si>
  <si>
    <t>0022500947</t>
  </si>
  <si>
    <t>0022500948</t>
  </si>
  <si>
    <t>0022500949</t>
  </si>
  <si>
    <t>+650</t>
  </si>
  <si>
    <t>-1000</t>
  </si>
  <si>
    <t>0022500950</t>
  </si>
  <si>
    <t>0022500951</t>
  </si>
  <si>
    <t>0022500952</t>
  </si>
  <si>
    <t>0022500953</t>
  </si>
  <si>
    <t>-1050</t>
  </si>
  <si>
    <t>+675</t>
  </si>
  <si>
    <t>0022500954</t>
  </si>
  <si>
    <t>0022500955</t>
  </si>
  <si>
    <t>-950</t>
  </si>
  <si>
    <t>+625</t>
  </si>
  <si>
    <t>0022500956</t>
  </si>
  <si>
    <t>0022500957</t>
  </si>
  <si>
    <t>0022500958</t>
  </si>
  <si>
    <t>0022500959</t>
  </si>
  <si>
    <t>-345</t>
  </si>
  <si>
    <t>+275</t>
  </si>
  <si>
    <t>0022500960</t>
  </si>
  <si>
    <t>-575</t>
  </si>
  <si>
    <t>+425</t>
  </si>
  <si>
    <t>0022501111</t>
  </si>
  <si>
    <t>0022500961</t>
  </si>
  <si>
    <t>-1600</t>
  </si>
  <si>
    <t>+900</t>
  </si>
  <si>
    <t>0022500962</t>
  </si>
  <si>
    <t>+490</t>
  </si>
  <si>
    <t>-675</t>
  </si>
  <si>
    <t>0022500963</t>
  </si>
  <si>
    <t>0022500964</t>
  </si>
  <si>
    <t>0022500965</t>
  </si>
  <si>
    <t>+500</t>
  </si>
  <si>
    <t>-700</t>
  </si>
  <si>
    <t>0022500966</t>
  </si>
  <si>
    <t>0022500967</t>
  </si>
  <si>
    <t>0022500968</t>
  </si>
  <si>
    <t>0022500969</t>
  </si>
  <si>
    <t>-380</t>
  </si>
  <si>
    <t>+300</t>
  </si>
  <si>
    <t>0022500970</t>
  </si>
  <si>
    <t>-500</t>
  </si>
  <si>
    <t>+380</t>
  </si>
  <si>
    <t>0022500971</t>
  </si>
  <si>
    <t>-2400</t>
  </si>
  <si>
    <t>+1200</t>
  </si>
  <si>
    <t>0022500972</t>
  </si>
  <si>
    <t>-185</t>
  </si>
  <si>
    <t>+154</t>
  </si>
  <si>
    <t>0022500973</t>
  </si>
  <si>
    <t>-245</t>
  </si>
  <si>
    <t>+200</t>
  </si>
  <si>
    <t>0022500974</t>
  </si>
  <si>
    <t>0022500975</t>
  </si>
  <si>
    <t>0022500976</t>
  </si>
  <si>
    <t>0022500977</t>
  </si>
  <si>
    <t>0022500978</t>
  </si>
  <si>
    <t>0022500979</t>
  </si>
  <si>
    <t>0022500980</t>
  </si>
  <si>
    <t>+270</t>
  </si>
  <si>
    <t>-340</t>
  </si>
  <si>
    <t>0022500981</t>
  </si>
  <si>
    <t>0022500982</t>
  </si>
  <si>
    <t>0022500983</t>
  </si>
  <si>
    <t>0022500984</t>
  </si>
  <si>
    <t>+250</t>
  </si>
  <si>
    <t>-310</t>
  </si>
  <si>
    <t>0022500985</t>
  </si>
  <si>
    <t>+390</t>
  </si>
  <si>
    <t>-520</t>
  </si>
  <si>
    <t>0022500986</t>
  </si>
  <si>
    <t>-375</t>
  </si>
  <si>
    <t>+295</t>
  </si>
  <si>
    <t>0022500987</t>
  </si>
  <si>
    <t>0022500988</t>
  </si>
  <si>
    <t>0022500989</t>
  </si>
  <si>
    <t>-102</t>
  </si>
  <si>
    <t>-118</t>
  </si>
  <si>
    <t>0022500990</t>
  </si>
  <si>
    <t>0022500991</t>
  </si>
  <si>
    <t>0022500992</t>
  </si>
  <si>
    <t>+350</t>
  </si>
  <si>
    <t>-455</t>
  </si>
  <si>
    <t>0022500993</t>
  </si>
  <si>
    <t>+1100</t>
  </si>
  <si>
    <t>-2100</t>
  </si>
  <si>
    <t>0022500994</t>
  </si>
  <si>
    <t>0022500995</t>
  </si>
  <si>
    <t>0022500996</t>
  </si>
  <si>
    <t>0022500997</t>
  </si>
  <si>
    <t>0022500998</t>
  </si>
  <si>
    <t>0022500651</t>
  </si>
  <si>
    <t>+525</t>
  </si>
  <si>
    <t>-750</t>
  </si>
  <si>
    <t>0022500999</t>
  </si>
  <si>
    <t>0022501000</t>
  </si>
  <si>
    <t>0022501001</t>
  </si>
  <si>
    <t>0022501002</t>
  </si>
  <si>
    <t>+235</t>
  </si>
  <si>
    <t>-290</t>
  </si>
  <si>
    <t>0022501004</t>
  </si>
  <si>
    <t>0022501005</t>
  </si>
  <si>
    <t>0022501006</t>
  </si>
  <si>
    <t>0022501007</t>
  </si>
  <si>
    <t>0022501008</t>
  </si>
  <si>
    <t>0022501009</t>
  </si>
  <si>
    <t>0022501010</t>
  </si>
  <si>
    <t>0022501011</t>
  </si>
  <si>
    <t>+370</t>
  </si>
  <si>
    <t>-485</t>
  </si>
  <si>
    <t>0022501012</t>
  </si>
  <si>
    <t>0022501013</t>
  </si>
  <si>
    <t>-470</t>
  </si>
  <si>
    <t>+360</t>
  </si>
  <si>
    <t>0022501014</t>
  </si>
  <si>
    <t>+205</t>
  </si>
  <si>
    <t>-250</t>
  </si>
  <si>
    <t>0022501015</t>
  </si>
  <si>
    <t>0022501016</t>
  </si>
  <si>
    <t>0022501017</t>
  </si>
  <si>
    <t>0022501018</t>
  </si>
  <si>
    <t>0022501019</t>
  </si>
  <si>
    <t>+800</t>
  </si>
  <si>
    <t>-1350</t>
  </si>
  <si>
    <t>0022501020</t>
  </si>
  <si>
    <t>0022501021</t>
  </si>
  <si>
    <t>-270</t>
  </si>
  <si>
    <t>+220</t>
  </si>
  <si>
    <t>0022501022</t>
  </si>
  <si>
    <t>+1300</t>
  </si>
  <si>
    <t>-2800</t>
  </si>
  <si>
    <t>0022501023</t>
  </si>
  <si>
    <t>-1650</t>
  </si>
  <si>
    <t>+950</t>
  </si>
  <si>
    <t>0022501024</t>
  </si>
  <si>
    <t>0022501025</t>
  </si>
  <si>
    <t>0022501026</t>
  </si>
  <si>
    <t>0022501027</t>
  </si>
  <si>
    <t>0022501028</t>
  </si>
  <si>
    <t>0022501029</t>
  </si>
  <si>
    <t>0022501030</t>
  </si>
  <si>
    <t>0022501031</t>
  </si>
  <si>
    <t>0022501032</t>
  </si>
  <si>
    <t>0022501033</t>
  </si>
  <si>
    <t>0022501034</t>
  </si>
  <si>
    <t>-3600</t>
  </si>
  <si>
    <t>+1500</t>
  </si>
  <si>
    <t>0022501035</t>
  </si>
  <si>
    <t>0022501036</t>
  </si>
  <si>
    <t>+150</t>
  </si>
  <si>
    <t>-180</t>
  </si>
  <si>
    <t>0022501037</t>
  </si>
  <si>
    <t>-900</t>
  </si>
  <si>
    <t>+600</t>
  </si>
  <si>
    <t>0022501038</t>
  </si>
  <si>
    <t>+105</t>
  </si>
  <si>
    <t>-125</t>
  </si>
  <si>
    <t>0022501039</t>
  </si>
  <si>
    <t>0022501040</t>
  </si>
  <si>
    <t>0022501041</t>
  </si>
  <si>
    <t>0022501042</t>
  </si>
  <si>
    <t>0022501043</t>
  </si>
  <si>
    <t>0022501044</t>
  </si>
  <si>
    <t>+114</t>
  </si>
  <si>
    <t>-135</t>
  </si>
  <si>
    <t>0022501045</t>
  </si>
  <si>
    <t>0022501046</t>
  </si>
  <si>
    <t>0022501047</t>
  </si>
  <si>
    <t>-1800</t>
  </si>
  <si>
    <t>+1000</t>
  </si>
  <si>
    <t>0022501048</t>
  </si>
  <si>
    <t>-355</t>
  </si>
  <si>
    <t>+280</t>
  </si>
  <si>
    <t>0022501049</t>
  </si>
  <si>
    <t>0022501050</t>
  </si>
  <si>
    <t>0022501051</t>
  </si>
  <si>
    <t>0022501052</t>
  </si>
  <si>
    <t>0022501053</t>
  </si>
  <si>
    <t>0022501054</t>
  </si>
  <si>
    <t>0022501055</t>
  </si>
  <si>
    <t>0022501056</t>
  </si>
  <si>
    <t>0022501057</t>
  </si>
  <si>
    <t>0022501058</t>
  </si>
  <si>
    <t>0022501059</t>
  </si>
  <si>
    <t>0022501060</t>
  </si>
  <si>
    <t>0022501061</t>
  </si>
  <si>
    <t>0022501062</t>
  </si>
  <si>
    <t>0022501063</t>
  </si>
  <si>
    <t>0022501064</t>
  </si>
  <si>
    <t>0022501065</t>
  </si>
  <si>
    <t>0022501066</t>
  </si>
  <si>
    <t>0022501067</t>
  </si>
  <si>
    <t>0022501068</t>
  </si>
  <si>
    <t>0022501069</t>
  </si>
  <si>
    <t>0022501070</t>
  </si>
  <si>
    <t>0022501071</t>
  </si>
  <si>
    <t>0022501072</t>
  </si>
  <si>
    <t>0022501073</t>
  </si>
  <si>
    <t>0022501074</t>
  </si>
  <si>
    <t>0022501075</t>
  </si>
  <si>
    <t>0022501076</t>
  </si>
  <si>
    <t>0022501077</t>
  </si>
  <si>
    <t>0022501078</t>
  </si>
  <si>
    <t>0022501079</t>
  </si>
  <si>
    <t>0022501080</t>
  </si>
  <si>
    <t>0022501081</t>
  </si>
  <si>
    <t>0022501082</t>
  </si>
  <si>
    <t>0022501083</t>
  </si>
  <si>
    <t>0022501084</t>
  </si>
  <si>
    <t>0022501085</t>
  </si>
  <si>
    <t>0022501086</t>
  </si>
  <si>
    <t>0022501087</t>
  </si>
  <si>
    <t>0022501088</t>
  </si>
  <si>
    <t>0022501089</t>
  </si>
  <si>
    <t>-360</t>
  </si>
  <si>
    <t>+285</t>
  </si>
  <si>
    <t>0022501090</t>
  </si>
  <si>
    <t>0022501091</t>
  </si>
  <si>
    <t>0022501092</t>
  </si>
  <si>
    <t>0022501093</t>
  </si>
  <si>
    <t>0022501094</t>
  </si>
  <si>
    <t>0022501095</t>
  </si>
  <si>
    <t>0022501096</t>
  </si>
  <si>
    <t>0022501097</t>
  </si>
  <si>
    <t>0022501098</t>
  </si>
  <si>
    <t>-1450</t>
  </si>
  <si>
    <t>+850</t>
  </si>
  <si>
    <t>0022500652</t>
  </si>
  <si>
    <t>0022501099</t>
  </si>
  <si>
    <t>0022501100</t>
  </si>
  <si>
    <t>0022501101</t>
  </si>
  <si>
    <t>0022501102</t>
  </si>
  <si>
    <t>0022501103</t>
  </si>
  <si>
    <t>0022501104</t>
  </si>
  <si>
    <t>0022501003</t>
  </si>
  <si>
    <t>0022501105</t>
  </si>
  <si>
    <t>0022501106</t>
  </si>
  <si>
    <t>0022501107</t>
  </si>
  <si>
    <t>0022501108</t>
  </si>
  <si>
    <t>0022501109</t>
  </si>
  <si>
    <t>0022501110</t>
  </si>
  <si>
    <t>0022501112</t>
  </si>
  <si>
    <t>0022501113</t>
  </si>
  <si>
    <t>0022501114</t>
  </si>
  <si>
    <t>0022501115</t>
  </si>
  <si>
    <t>0022501116</t>
  </si>
  <si>
    <t>0022501117</t>
  </si>
  <si>
    <t>0022501118</t>
  </si>
  <si>
    <t>0022501119</t>
  </si>
  <si>
    <t>0022501120</t>
  </si>
  <si>
    <t>0022501121</t>
  </si>
  <si>
    <t>0022501122</t>
  </si>
  <si>
    <t>0022501123</t>
  </si>
  <si>
    <t>0022501124</t>
  </si>
  <si>
    <t>0022501125</t>
  </si>
  <si>
    <t>0022501126</t>
  </si>
  <si>
    <t>0022501127</t>
  </si>
  <si>
    <t>0022501128</t>
  </si>
  <si>
    <t>0022501129</t>
  </si>
  <si>
    <t>0022501130</t>
  </si>
  <si>
    <t>0022501131</t>
  </si>
  <si>
    <t>0022501132</t>
  </si>
  <si>
    <t>0022501133</t>
  </si>
  <si>
    <t>0022501134</t>
  </si>
  <si>
    <t>0022501135</t>
  </si>
  <si>
    <t>0022501136</t>
  </si>
  <si>
    <t>0022501137</t>
  </si>
  <si>
    <t>0022501138</t>
  </si>
  <si>
    <t>0022501139</t>
  </si>
  <si>
    <t>-9000</t>
  </si>
  <si>
    <t>+2500</t>
  </si>
  <si>
    <t>0022501140</t>
  </si>
  <si>
    <t>0022501141</t>
  </si>
  <si>
    <t>0022501142</t>
  </si>
  <si>
    <t>0022501143</t>
  </si>
  <si>
    <t>0022501144</t>
  </si>
  <si>
    <t>0022501145</t>
  </si>
  <si>
    <t>0022501146</t>
  </si>
  <si>
    <t>0022501147</t>
  </si>
  <si>
    <t>0022501148</t>
  </si>
  <si>
    <t>0022501149</t>
  </si>
  <si>
    <t>0022501150</t>
  </si>
  <si>
    <t>0022501151</t>
  </si>
  <si>
    <t>0022501152</t>
  </si>
  <si>
    <t>0022501153</t>
  </si>
  <si>
    <t>0022501154</t>
  </si>
  <si>
    <t>0022501155</t>
  </si>
  <si>
    <t>0022501156</t>
  </si>
  <si>
    <t>0022501157</t>
  </si>
  <si>
    <t>0022501158</t>
  </si>
  <si>
    <t>0022501159</t>
  </si>
  <si>
    <t>0022501160</t>
  </si>
  <si>
    <t>-3200</t>
  </si>
  <si>
    <t>+1400</t>
  </si>
  <si>
    <t>0022501161</t>
  </si>
  <si>
    <t>0022501162</t>
  </si>
  <si>
    <t>-5000</t>
  </si>
  <si>
    <t>+1800</t>
  </si>
  <si>
    <t>0022501163</t>
  </si>
  <si>
    <t>0022501164</t>
  </si>
  <si>
    <t>0022501165</t>
  </si>
  <si>
    <t>0022501166</t>
  </si>
  <si>
    <t>+230</t>
  </si>
  <si>
    <t>-285</t>
  </si>
  <si>
    <t>0022501167</t>
  </si>
  <si>
    <t>0022501168</t>
  </si>
  <si>
    <t>0022501169</t>
  </si>
  <si>
    <t>-258</t>
  </si>
  <si>
    <t>+210</t>
  </si>
  <si>
    <t>0022501170</t>
  </si>
  <si>
    <t>0022501171</t>
  </si>
  <si>
    <t>0022501172</t>
  </si>
  <si>
    <t>0022501173</t>
  </si>
  <si>
    <t>0022501174</t>
  </si>
  <si>
    <t>0022501175</t>
  </si>
  <si>
    <t>0022501176</t>
  </si>
  <si>
    <t>0022501177</t>
  </si>
  <si>
    <t>0022501178</t>
  </si>
  <si>
    <t>0022501179</t>
  </si>
  <si>
    <t>0022501180</t>
  </si>
  <si>
    <t>0022501181</t>
  </si>
  <si>
    <t>0022501182</t>
  </si>
  <si>
    <t>0022501183</t>
  </si>
  <si>
    <t>0022501184</t>
  </si>
  <si>
    <t>0022501185</t>
  </si>
  <si>
    <t>0022501186</t>
  </si>
  <si>
    <t>0022501187</t>
  </si>
  <si>
    <t>0022501188</t>
  </si>
  <si>
    <t>0022501189</t>
  </si>
  <si>
    <t>0022501190</t>
  </si>
  <si>
    <t>0022501191</t>
  </si>
  <si>
    <t>0022501192</t>
  </si>
  <si>
    <t>0022501193</t>
  </si>
  <si>
    <t>0022501194</t>
  </si>
  <si>
    <t>0022501195</t>
  </si>
  <si>
    <t>0022501196</t>
  </si>
  <si>
    <t>0022501197</t>
  </si>
  <si>
    <t>0022501198</t>
  </si>
  <si>
    <t>0022501199</t>
  </si>
  <si>
    <t>0022501200</t>
  </si>
  <si>
    <t>Özet — 308 held-out maç (2026-03-04 → 2026-04-12)</t>
  </si>
  <si>
    <t>Maç sayısı</t>
  </si>
  <si>
    <t>theScore kapanış handikabı olan maç</t>
  </si>
  <si>
    <t>Kapanış handikabı iki kaynakta birebir aynı</t>
  </si>
  <si>
    <t>Kapanış handikabı farkı ±1 sayı içinde</t>
  </si>
  <si>
    <t>Kapanış alt/üst çizgisi iki kaynakta birebir aynı</t>
  </si>
  <si>
    <t>Kapanış alt/üst farkı ±1 sayı içinde</t>
  </si>
  <si>
    <t>DraftKings kapanış moneyline marjı — ortalama</t>
  </si>
  <si>
    <t>DraftKings kapanış moneyline marjı — medyan</t>
  </si>
  <si>
    <t>Kapanış favorisinin kazanma oranı (oranlar eşit olan maçlar hariç)</t>
  </si>
  <si>
    <t>Açılış favorisinin kazanma oranı (oranlar eşit olan maçlar hariç)</t>
  </si>
  <si>
    <t>Açılışta iki tarafın oranı eşit olan maç</t>
  </si>
  <si>
    <t>Ev sahibinin kazanma oranı</t>
  </si>
  <si>
    <t>Kapanış alt/üst çizgisinde 'Üst' biten maç oranı</t>
  </si>
  <si>
    <t>Ortalama mutlak handikap hareketi (açılış → kapanış, sayı)</t>
  </si>
  <si>
    <t>Değerler 'Oranlar' sayfasındaki formül kolonlarından hesaplanır.</t>
  </si>
  <si>
    <t>Kaynaklar ve notlar</t>
  </si>
  <si>
    <t>Çekim tarihi</t>
  </si>
  <si>
    <t>2026-09-13</t>
  </si>
  <si>
    <t>Maç seçimi</t>
  </si>
  <si>
    <t>Dashboard'un held-out kümesi: 2025-26 sezonunun kronolojik son %25'i (308 maç, 2026-03-04 → 2026-04-12). Model bu maçları eğitimde görmedi.</t>
  </si>
  <si>
    <t>Kaynak 1 — theScore</t>
  </si>
  <si>
    <t>Kanadalı spor medyası (Score Media and Gaming, Toronto). api.thescore.com/nba/events uç noktası. Maç başına kapanış handikabı ve alt/üst çizgisi; fiyat ve moneyline yok; veride bahis şirketinin adı geçmiyor.</t>
  </si>
  <si>
    <t>Eksik: PHI @ UTA (2026-03-21) maçında kaynağın handikap alanı boş, yalnızca alt/üst (229.5) var.</t>
  </si>
  <si>
    <t>Kaynak 2 — DraftKings (ESPN)</t>
  </si>
  <si>
    <t>sports.core.api.espn.com/v2/sports/basketball/leagues/nba/events/{id}/competitions/{id}/odds. ESPN maç sayfasını besleyen DraftKings çizgileri: açılış ve kapanış handikap, moneyline, alt/üst ve fiyatları. ABD hattıdır; DraftKings Ontario'da da lisanslıdır, Ontario fiyatları küçük farklar gösterebilir.</t>
  </si>
  <si>
    <t>Oran formatı</t>
  </si>
  <si>
    <t>Ondalık (Kanada'da standart): 1 birim yatırıldığında toplam dönüş. Ondalıklar Amerikan fiyattan tam hesaplandı, ESPN'in iki haneye yuvarlanmış ondalıkları kullanılmadı. Kapanış moneyline'ı için Amerikan değerler de verildi.</t>
  </si>
  <si>
    <t>Handikap işareti</t>
  </si>
  <si>
    <t>Ev sahibi bakış açısı: eksi = ev sahibi favori (ör. −5.5), artı = ev sahibi underdog.</t>
  </si>
  <si>
    <t>Marjsız olasılık</t>
  </si>
  <si>
    <t>Orantılı yöntem: (1/ev oranı) / (1/ev oranı + 1/deplasman oranı). Marj = iki tarafın 1/oran toplamı − 1.</t>
  </si>
  <si>
    <t>Renk kodu</t>
  </si>
  <si>
    <t>Mavi yazı = kaynaktan çekilen ham değer. Siyah yazı = formül (hücreler düzeltilirse yeniden hesaplanır).</t>
  </si>
  <si>
    <t>Erişilemeyen kaynaklar</t>
  </si>
  <si>
    <t>Bu ağın DNS'i şu siteleri engelleme sayfasına yönlendiriyor (erişim denenmedi/aşılmadı): Pinnacle, Sports Interaction, SportsLine, OddsPortal, BetExplorer, Covers, OddsShark, Action Network, SportsbookReview, RotoWire.</t>
  </si>
  <si>
    <t>Otomatik istekleri reddedenler (403): VegasInsider, ScoresAndOdds, BettingPros API. Bot korumaları aşılmadı.</t>
  </si>
  <si>
    <t>Veri yok: Yahoo'nun oran uç noktası kaldırılmış; SportsbookReviewsOnline arşivi 2022-23'te bitiyor; Kaggle'daki BetMGM veri seti 2026-02-12'de bitiyor (bu maçları kapsamıyor); CBS ve FOX geçmiş maç oranı tutmuyor.</t>
  </si>
  <si>
    <t>Ücretli seçenekler</t>
  </si>
  <si>
    <t>The Odds API — tarihsel oranlar, Pinnacle ve bet365 dahil çok sayıda şirket (API anahtarı ve ücretli plan gerekir): https://the-odds-api.com/</t>
  </si>
  <si>
    <t>BigDataBall — 2025-26 dahil tarihsel oran veri setleri (ücretli): https://www.bigdataball.com/datasets/nba-data/</t>
  </si>
  <si>
    <t>Gerçek fark (ev − dep)</t>
  </si>
  <si>
    <t>Gerçek toplam</t>
  </si>
  <si>
    <t>Model ev kazanma olasılığı (blend, temiz model)</t>
  </si>
  <si>
    <t>Model fark — regresyon</t>
  </si>
  <si>
    <t>Model fark — simülasyon</t>
  </si>
  <si>
    <t>Simülasyon %80 fark alt sınırı</t>
  </si>
  <si>
    <t>Simülasyon %80 fark üst sınırı</t>
  </si>
  <si>
    <t>Model toplam — regresyon</t>
  </si>
  <si>
    <t>Model toplam — simülasyon</t>
  </si>
  <si>
    <t>Simülasyon %80 toplam alt sınırı</t>
  </si>
  <si>
    <t>Simülasyon %80 toplam üst sınırı</t>
  </si>
  <si>
    <t>Model ev skoru — regresyon</t>
  </si>
  <si>
    <t>Model deplasman skoru — regresyon</t>
  </si>
  <si>
    <t>Piyasa ev olasılığı — kapanış (marjsız)</t>
  </si>
  <si>
    <t>Piyasa fark — kapanış</t>
  </si>
  <si>
    <t>Piyasa fark — açılış</t>
  </si>
  <si>
    <t>Piyasa toplam — kapanış</t>
  </si>
  <si>
    <t>Piyasa toplam — açılış</t>
  </si>
  <si>
    <t>Piyasa ev skoru (toplam ve farktan)</t>
  </si>
  <si>
    <t>Piyasa deplasman skoru (toplam ve farktan)</t>
  </si>
  <si>
    <t>Kazanan isabeti — model</t>
  </si>
  <si>
    <t>Kazanan isabeti — piyasa kapanış</t>
  </si>
  <si>
    <t>Brier — model</t>
  </si>
  <si>
    <t>Brier — piyasa kapanış</t>
  </si>
  <si>
    <t>Fark hatası — model regresyon</t>
  </si>
  <si>
    <t>Fark hatası — model simülasyon</t>
  </si>
  <si>
    <t>Fark hatası — piyasa kapanış</t>
  </si>
  <si>
    <t>Toplam hatası — model regresyon</t>
  </si>
  <si>
    <t>Toplam hatası — model simülasyon</t>
  </si>
  <si>
    <t>Toplam hatası — piyasa kapanış</t>
  </si>
  <si>
    <t>Ev skoru hatası — model</t>
  </si>
  <si>
    <t>Ev skoru hatası — piyasa</t>
  </si>
  <si>
    <t>Deplasman skoru hatası — model</t>
  </si>
  <si>
    <t>Deplasman skoru hatası — piyasa</t>
  </si>
  <si>
    <t>Handikap tarafı — model (regresyon)</t>
  </si>
  <si>
    <t>Handikap sonucu</t>
  </si>
  <si>
    <t>Handikap kârı (1 birim, kapanış fiyatı)</t>
  </si>
  <si>
    <t>Alt/üst tarafı — model (regresyon)</t>
  </si>
  <si>
    <t>Alt/üst sonucu</t>
  </si>
  <si>
    <t>Alt/üst kârı (1 birim, kapanış fiyatı)</t>
  </si>
  <si>
    <t>Moneyline değer tarafı — model × kapanış oranı &gt; 1</t>
  </si>
  <si>
    <t>Moneyline değer kârı (1 birim)</t>
  </si>
  <si>
    <t>Handikap açılış→kapanış modelin yönüne kaydı</t>
  </si>
  <si>
    <t>Toplam açılış→kapanış modelin yönüne kaydı</t>
  </si>
  <si>
    <t>%80 fark aralığı gerçeği kapsadı</t>
  </si>
  <si>
    <t>%80 toplam aralığı gerçeği kapsadı</t>
  </si>
  <si>
    <t>Mavi = model tahmini (held-out maçlara bakmadan eğitilmiş modeller), yeşil = 'Oranlar' sayfasına bağlı piyasa değeri, siyah = formül.</t>
  </si>
  <si>
    <t>Model ile piyasa (DraftKings) — 308 held-out maç</t>
  </si>
  <si>
    <t>Hata ölçülerinde düşük değer iyidir; 'Fark' eksi ise model piyasadan iyi. 95% aralıklar Python bootstrap'ından (5000 tekrar) gelir, formül değildir.</t>
  </si>
  <si>
    <t>Ölçü</t>
  </si>
  <si>
    <t>Model</t>
  </si>
  <si>
    <t>Piyasa (kapanış)</t>
  </si>
  <si>
    <t>Fark (model − piyasa)</t>
  </si>
  <si>
    <t>95% aralık (fark)</t>
  </si>
  <si>
    <t>Ne anlama geliyor</t>
  </si>
  <si>
    <t>Kazananı bilme oranı</t>
  </si>
  <si>
    <t>[-3.2, +4.5] puan</t>
  </si>
  <si>
    <t>Maçların yüzde kaçında olasılığı %50'nin üstünde verilen taraf kazandı.</t>
  </si>
  <si>
    <t>Brier skoru (olasılık hatası)</t>
  </si>
  <si>
    <t>[+0.0062, +0.0268]</t>
  </si>
  <si>
    <t>Olasılığın ne kadar isabetli olduğu; 0 mükemmel, 0.25 yazı-tura.</t>
  </si>
  <si>
    <t>Fark hatası — regresyon (sayı)</t>
  </si>
  <si>
    <t>[-0.5, +0.5]</t>
  </si>
  <si>
    <t>Tahmin edilen sayı farkının gerçekten ortalama kaç sayı saptığı.</t>
  </si>
  <si>
    <t>Fark hatası — simülasyon (sayı)</t>
  </si>
  <si>
    <t>[+0.4, +1.4]</t>
  </si>
  <si>
    <t>Aynı ölçü, simülasyonun ortalama farkıyla.</t>
  </si>
  <si>
    <t>Toplam sayı hatası — regresyon (sayı)</t>
  </si>
  <si>
    <t>[+0.3, +1.4]</t>
  </si>
  <si>
    <t>İki takımın toplam sayısı tahmininin ortalama sapması.</t>
  </si>
  <si>
    <t>Ev sahibi skoru hatası (sayı)</t>
  </si>
  <si>
    <t>Piyasa skoru handikap ve toplamdan türetildi: (toplam ± fark) / 2.</t>
  </si>
  <si>
    <t>Deplasman skoru hatası (sayı)</t>
  </si>
  <si>
    <t>Modelin çizgiye karşı seçimleri — 1 birim, DraftKings kapanış fiyatı</t>
  </si>
  <si>
    <t>Seçim</t>
  </si>
  <si>
    <t>Oynanan maç</t>
  </si>
  <si>
    <t>İsabet (push hariç)</t>
  </si>
  <si>
    <t>Toplam kâr (birim)</t>
  </si>
  <si>
    <t>Birim başı kâr</t>
  </si>
  <si>
    <t>95% aralık (birim başı)</t>
  </si>
  <si>
    <t>Kural</t>
  </si>
  <si>
    <t>Handikap</t>
  </si>
  <si>
    <t>[-0.008, +0.198]</t>
  </si>
  <si>
    <t>Model farkı çizgiden büyükse ev, küçükse deplasman.</t>
  </si>
  <si>
    <t>Alt/üst</t>
  </si>
  <si>
    <t>[-0.139, +0.078]</t>
  </si>
  <si>
    <t>Model toplamı çizginin üstündeyse üst, altındaysa alt.</t>
  </si>
  <si>
    <t>Moneyline (değer)</t>
  </si>
  <si>
    <t>[-0.379, -0.017]</t>
  </si>
  <si>
    <t>Model olasılığı × oran &gt; 1 olan taraf; yoksa oynanmaz.</t>
  </si>
  <si>
    <t>Diğer ölçüler</t>
  </si>
  <si>
    <t>Oran</t>
  </si>
  <si>
    <t>95% aralık</t>
  </si>
  <si>
    <t>Handikap açılıştan kapanışa modelin yönüne kaydı</t>
  </si>
  <si>
    <t>[%52.4, %65.2]</t>
  </si>
  <si>
    <t>%50'nin anlamlı üstü, modelin piyasanın sonradan öğreneceği bilgiyi önceden taşıdığı demek.</t>
  </si>
  <si>
    <t>Toplam açılıştan kapanışa modelin yönüne kaydı</t>
  </si>
  <si>
    <t>[%50.0, %61.8]</t>
  </si>
  <si>
    <t>%80 simülasyon aralığı gerçek farkı kapsadı</t>
  </si>
  <si>
    <t>[%75.0, %84.1]</t>
  </si>
  <si>
    <t>%80'e yakınsa model belirsizliği doğru ölçüyor.</t>
  </si>
  <si>
    <t>%80 simülasyon aralığı gerçek toplamı kapsadı</t>
  </si>
  <si>
    <t>[%82.8, %90.3]</t>
  </si>
  <si>
    <t>Notlar</t>
  </si>
  <si>
    <t>Model sayıları, held-out 308 maça hiç bakmadan yeniden eğitilmiş modellerden gelir. Dashboard'daki üretim modelleri bu maçları erken durdurma (ağaç sayısı seçimi) için kullanmıştı ve onlarla ölçüm biraz iyimser çıkıyor: kazanan isabeti %78,5 yerine %78,2, fark hatası 10,51 yerine 10,62 sayı, toplam hatası 15,13 yerine 15,20 sayı. Bu yüzden buradaki model sayıları dashboard'dakinden birkaç ondalık farklı olabilir.</t>
  </si>
  <si>
    <t>Birden fazla seçim kuralı denendi (handikap, alt/üst, moneyline ve farklı eşikler). Bu kadar denemede aralığı sıfırı dışlayan bir sonuç şans eseri de çıkabilir. 308 maç sezonun son altı haftasıdır (dinlendirme dönemi); başka dönemlere genellenmeyebilir.</t>
  </si>
  <si>
    <t>Bu sayfa geçmişe dönük bir ölçümdür, bahis tavsiyesi değildir.</t>
  </si>
</sst>
</file>

<file path=xl/styles.xml><?xml version="1.0" encoding="utf-8"?>
<styleSheet xmlns="http://schemas.openxmlformats.org/spreadsheetml/2006/main">
  <numFmts count="8">
    <numFmt numFmtId="164" formatCode="yyyy-mm-dd"/>
    <numFmt numFmtId="165" formatCode="+0.0;-0.0;0.0"/>
    <numFmt numFmtId="166" formatCode="0.0"/>
    <numFmt numFmtId="167" formatCode="0.00"/>
    <numFmt numFmtId="168" formatCode="0.0%"/>
    <numFmt numFmtId="169" formatCode="0.00%"/>
    <numFmt numFmtId="170" formatCode="0.000"/>
    <numFmt numFmtId="171" formatCode="+0.00;-0.00;0.00"/>
  </numFmts>
  <fonts count="6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sz val="10"/>
      <color rgb="FF008000"/>
      <name val="Arial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vertical="top" wrapText="1"/>
    </xf>
    <xf numFmtId="164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0" fillId="0" borderId="0" xfId="0" applyNumberFormat="1"/>
    <xf numFmtId="169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1" fillId="0" borderId="0" xfId="0" applyFont="1"/>
    <xf numFmtId="164" fontId="4" fillId="0" borderId="0" xfId="0" applyNumberFormat="1" applyFont="1"/>
    <xf numFmtId="0" fontId="4" fillId="0" borderId="0" xfId="0" applyFont="1"/>
    <xf numFmtId="1" fontId="4" fillId="0" borderId="0" xfId="0" applyNumberFormat="1" applyFont="1"/>
    <xf numFmtId="168" fontId="2" fillId="0" borderId="0" xfId="0" applyNumberFormat="1" applyFont="1"/>
    <xf numFmtId="168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6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10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/>
  <cols>
    <col min="1" max="1" width="11.7109375" customWidth="1"/>
    <col min="2" max="2" width="12.7109375" customWidth="1"/>
    <col min="3" max="6" width="9.7109375" customWidth="1"/>
    <col min="7" max="35" width="11.7109375" customWidth="1"/>
  </cols>
  <sheetData>
    <row r="1" spans="1:3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4"/>
      <c r="U1" s="4"/>
      <c r="V1" s="4"/>
      <c r="W1" s="4"/>
      <c r="X1" s="4"/>
      <c r="Y1" s="5" t="s">
        <v>4</v>
      </c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ht="54" customHeight="1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  <c r="Z2" s="6" t="s">
        <v>30</v>
      </c>
      <c r="AA2" s="6" t="s">
        <v>31</v>
      </c>
      <c r="AB2" s="6" t="s">
        <v>32</v>
      </c>
      <c r="AC2" s="6" t="s">
        <v>33</v>
      </c>
      <c r="AD2" s="6" t="s">
        <v>34</v>
      </c>
      <c r="AE2" s="6" t="s">
        <v>35</v>
      </c>
      <c r="AF2" s="6" t="s">
        <v>36</v>
      </c>
      <c r="AG2" s="6" t="s">
        <v>37</v>
      </c>
      <c r="AH2" s="6" t="s">
        <v>38</v>
      </c>
      <c r="AI2" s="6" t="s">
        <v>39</v>
      </c>
    </row>
    <row r="3" spans="1:35">
      <c r="A3" s="7">
        <v>46085</v>
      </c>
      <c r="B3" s="8" t="s">
        <v>40</v>
      </c>
      <c r="C3" s="8" t="s">
        <v>41</v>
      </c>
      <c r="D3" s="8" t="s">
        <v>42</v>
      </c>
      <c r="E3" s="9">
        <v>102</v>
      </c>
      <c r="F3" s="9">
        <v>106</v>
      </c>
      <c r="G3" s="10">
        <v>-7.5</v>
      </c>
      <c r="H3" s="11">
        <v>237.5</v>
      </c>
      <c r="I3" s="10">
        <v>-9.5</v>
      </c>
      <c r="J3" s="12">
        <v>1.235294117647059</v>
      </c>
      <c r="K3" s="12">
        <v>4.3</v>
      </c>
      <c r="L3" s="11">
        <v>241.5</v>
      </c>
      <c r="M3" s="12">
        <v>1.909090909090909</v>
      </c>
      <c r="N3" s="12">
        <v>1.909090909090909</v>
      </c>
      <c r="O3" s="10">
        <v>-7.5</v>
      </c>
      <c r="P3" s="12">
        <v>1.980392156862745</v>
      </c>
      <c r="Q3" s="12">
        <v>1.847457627118644</v>
      </c>
      <c r="R3" s="12">
        <v>1.307692307692308</v>
      </c>
      <c r="S3" s="12">
        <v>3.6</v>
      </c>
      <c r="T3" s="8" t="s">
        <v>43</v>
      </c>
      <c r="U3" s="8" t="s">
        <v>44</v>
      </c>
      <c r="V3" s="11">
        <v>238.5</v>
      </c>
      <c r="W3" s="12">
        <v>1.952380952380952</v>
      </c>
      <c r="X3" s="12">
        <v>1.869565217391304</v>
      </c>
      <c r="Y3" s="13">
        <f>(1/R3)/((1/R3)+(1/S3))</f>
        <v>0.7335423197492164</v>
      </c>
      <c r="Z3" s="13">
        <f>(1/J3)/((1/J3)+(1/K3))</f>
        <v>0.7768331562167907</v>
      </c>
      <c r="AA3" s="14">
        <f>1/R3+1/S3-1</f>
        <v>0.0424836601307188</v>
      </c>
      <c r="AB3" s="15">
        <f>O3-I3</f>
        <v>2.0</v>
      </c>
      <c r="AC3" s="15">
        <f>IF(G3="","",G3-O3)</f>
        <v>0.0</v>
      </c>
      <c r="AD3" s="15">
        <f>H3-V3</f>
        <v>-1.0</v>
      </c>
      <c r="AE3" s="16">
        <f>IF(F3&gt;E3,1,0)</f>
        <v>1</v>
      </c>
      <c r="AF3" s="16">
        <f>F3+E3</f>
        <v>208</v>
      </c>
      <c r="AG3" s="16">
        <f>IF(Y3=0.5,"",IF((Y3&gt;0.5)=(AE3=1),1,0))</f>
        <v>1</v>
      </c>
      <c r="AH3" s="16">
        <f>IF(Z3=0.5,"",IF((Z3&gt;0.5)=(AE3=1),1,0))</f>
        <v>1</v>
      </c>
      <c r="AI3" s="17" t="str">
        <f>IF(AF3&gt;V3,"Üst",IF(AF3&lt;V3,"Alt","Push"))</f>
        <v>Alt</v>
      </c>
    </row>
    <row r="4" spans="1:35">
      <c r="A4" s="7">
        <v>46085</v>
      </c>
      <c r="B4" s="8" t="s">
        <v>45</v>
      </c>
      <c r="C4" s="8" t="s">
        <v>46</v>
      </c>
      <c r="D4" s="8" t="s">
        <v>47</v>
      </c>
      <c r="E4" s="9">
        <v>122</v>
      </c>
      <c r="F4" s="9">
        <v>114</v>
      </c>
      <c r="G4" s="10">
        <v>9.5</v>
      </c>
      <c r="H4" s="11">
        <v>231.5</v>
      </c>
      <c r="I4" s="10">
        <v>7.5</v>
      </c>
      <c r="J4" s="12">
        <v>3.2</v>
      </c>
      <c r="K4" s="12">
        <v>1.37037037037037</v>
      </c>
      <c r="L4" s="11">
        <v>236.5</v>
      </c>
      <c r="M4" s="12">
        <v>1.909090909090909</v>
      </c>
      <c r="N4" s="12">
        <v>1.909090909090909</v>
      </c>
      <c r="O4" s="10">
        <v>9.5</v>
      </c>
      <c r="P4" s="12">
        <v>1.925925925925926</v>
      </c>
      <c r="Q4" s="12">
        <v>1.892857142857143</v>
      </c>
      <c r="R4" s="12">
        <v>4.1</v>
      </c>
      <c r="S4" s="12">
        <v>1.253164556962025</v>
      </c>
      <c r="T4" s="8" t="s">
        <v>48</v>
      </c>
      <c r="U4" s="8" t="s">
        <v>49</v>
      </c>
      <c r="V4" s="11">
        <v>231.5</v>
      </c>
      <c r="W4" s="12">
        <v>1.925925925925926</v>
      </c>
      <c r="X4" s="12">
        <v>1.892857142857143</v>
      </c>
      <c r="Y4" s="13">
        <f>(1/R4)/((1/R4)+(1/S4))</f>
        <v>0.23409789548356588</v>
      </c>
      <c r="Z4" s="13">
        <f>(1/J4)/((1/J4)+(1/K4))</f>
        <v>0.299837925445705</v>
      </c>
      <c r="AA4" s="14">
        <f>1/R4+1/S4-1</f>
        <v>0.04188223700418825</v>
      </c>
      <c r="AB4" s="15">
        <f>O4-I4</f>
        <v>2.0</v>
      </c>
      <c r="AC4" s="15">
        <f>IF(G4="","",G4-O4)</f>
        <v>0.0</v>
      </c>
      <c r="AD4" s="15">
        <f>H4-V4</f>
        <v>0.0</v>
      </c>
      <c r="AE4" s="16">
        <f>IF(F4&gt;E4,1,0)</f>
        <v>0</v>
      </c>
      <c r="AF4" s="16">
        <f>F4+E4</f>
        <v>236</v>
      </c>
      <c r="AG4" s="16">
        <f>IF(Y4=0.5,"",IF((Y4&gt;0.5)=(AE4=1),1,0))</f>
        <v>1</v>
      </c>
      <c r="AH4" s="16">
        <f>IF(Z4=0.5,"",IF((Z4&gt;0.5)=(AE4=1),1,0))</f>
        <v>1</v>
      </c>
      <c r="AI4" s="17" t="str">
        <f>IF(AF4&gt;V4,"Üst",IF(AF4&lt;V4,"Alt","Push"))</f>
        <v>Üst</v>
      </c>
    </row>
    <row r="5" spans="1:35">
      <c r="A5" s="7">
        <v>46085</v>
      </c>
      <c r="B5" s="8" t="s">
        <v>50</v>
      </c>
      <c r="C5" s="8" t="s">
        <v>51</v>
      </c>
      <c r="D5" s="8" t="s">
        <v>52</v>
      </c>
      <c r="E5" s="9">
        <v>131</v>
      </c>
      <c r="F5" s="9">
        <v>113</v>
      </c>
      <c r="G5" s="10">
        <v>-1.5</v>
      </c>
      <c r="H5" s="11">
        <v>232.5</v>
      </c>
      <c r="I5" s="10">
        <v>-1.5</v>
      </c>
      <c r="J5" s="12">
        <v>1.909090909090909</v>
      </c>
      <c r="K5" s="12">
        <v>1.909090909090909</v>
      </c>
      <c r="L5" s="11">
        <v>230.5</v>
      </c>
      <c r="M5" s="12">
        <v>1.909090909090909</v>
      </c>
      <c r="N5" s="12">
        <v>1.909090909090909</v>
      </c>
      <c r="O5" s="10">
        <v>-1.5</v>
      </c>
      <c r="P5" s="12">
        <v>1.980392156862745</v>
      </c>
      <c r="Q5" s="12">
        <v>1.847457627118644</v>
      </c>
      <c r="R5" s="12">
        <v>1.869565217391304</v>
      </c>
      <c r="S5" s="12">
        <v>1.952380952380952</v>
      </c>
      <c r="T5" s="8" t="s">
        <v>53</v>
      </c>
      <c r="U5" s="8" t="s">
        <v>54</v>
      </c>
      <c r="V5" s="11">
        <v>232.5</v>
      </c>
      <c r="W5" s="12">
        <v>1.909090909090909</v>
      </c>
      <c r="X5" s="12">
        <v>1.909090909090909</v>
      </c>
      <c r="Y5" s="13">
        <f>(1/R5)/((1/R5)+(1/S5))</f>
        <v>0.5108342361863489</v>
      </c>
      <c r="Z5" s="13">
        <f>(1/J5)/((1/J5)+(1/K5))</f>
        <v>0.5</v>
      </c>
      <c r="AA5" s="14">
        <f>1/R5+1/S5-1</f>
        <v>0.04707884288145214</v>
      </c>
      <c r="AB5" s="15">
        <f>O5-I5</f>
        <v>0.0</v>
      </c>
      <c r="AC5" s="15">
        <f>IF(G5="","",G5-O5)</f>
        <v>0.0</v>
      </c>
      <c r="AD5" s="15">
        <f>H5-V5</f>
        <v>0.0</v>
      </c>
      <c r="AE5" s="16">
        <f>IF(F5&gt;E5,1,0)</f>
        <v>0</v>
      </c>
      <c r="AF5" s="16">
        <f>F5+E5</f>
        <v>244</v>
      </c>
      <c r="AG5" s="16">
        <f>IF(Y5=0.5,"",IF((Y5&gt;0.5)=(AE5=1),1,0))</f>
        <v>0</v>
      </c>
      <c r="AH5" s="16">
        <f>IF(Z5=0.5,"",IF((Z5&gt;0.5)=(AE5=1),1,0))</f>
        <v/>
      </c>
      <c r="AI5" s="17" t="str">
        <f>IF(AF5&gt;V5,"Üst",IF(AF5&lt;V5,"Alt","Push"))</f>
        <v>Üst</v>
      </c>
    </row>
    <row r="6" spans="1:35">
      <c r="A6" s="7">
        <v>46085</v>
      </c>
      <c r="B6" s="8" t="s">
        <v>55</v>
      </c>
      <c r="C6" s="8" t="s">
        <v>56</v>
      </c>
      <c r="D6" s="8" t="s">
        <v>57</v>
      </c>
      <c r="E6" s="9">
        <v>107</v>
      </c>
      <c r="F6" s="9">
        <v>130</v>
      </c>
      <c r="G6" s="10">
        <v>-11.5</v>
      </c>
      <c r="H6" s="11">
        <v>230.5</v>
      </c>
      <c r="I6" s="10">
        <v>-12.5</v>
      </c>
      <c r="J6" s="12">
        <v>1.142857142857143</v>
      </c>
      <c r="K6" s="12">
        <v>6</v>
      </c>
      <c r="L6" s="11">
        <v>224.5</v>
      </c>
      <c r="M6" s="12">
        <v>1.909090909090909</v>
      </c>
      <c r="N6" s="12">
        <v>1.909090909090909</v>
      </c>
      <c r="O6" s="10">
        <v>-11.5</v>
      </c>
      <c r="P6" s="12">
        <v>1.909090909090909</v>
      </c>
      <c r="Q6" s="12">
        <v>1.909090909090909</v>
      </c>
      <c r="R6" s="12">
        <v>1.153846153846154</v>
      </c>
      <c r="S6" s="12">
        <v>5.7</v>
      </c>
      <c r="T6" s="8" t="s">
        <v>58</v>
      </c>
      <c r="U6" s="8" t="s">
        <v>59</v>
      </c>
      <c r="V6" s="11">
        <v>230.5</v>
      </c>
      <c r="W6" s="12">
        <v>1.925925925925926</v>
      </c>
      <c r="X6" s="12">
        <v>1.892857142857143</v>
      </c>
      <c r="Y6" s="13">
        <f>(1/R6)/((1/R6)+(1/S6))</f>
        <v>0.8316498316498315</v>
      </c>
      <c r="Z6" s="13">
        <f>(1/J6)/((1/J6)+(1/K6))</f>
        <v>0.84</v>
      </c>
      <c r="AA6" s="14">
        <f>1/R6+1/S6-1</f>
        <v>0.04210526315789487</v>
      </c>
      <c r="AB6" s="15">
        <f>O6-I6</f>
        <v>1.0</v>
      </c>
      <c r="AC6" s="15">
        <f>IF(G6="","",G6-O6)</f>
        <v>0.0</v>
      </c>
      <c r="AD6" s="15">
        <f>H6-V6</f>
        <v>0.0</v>
      </c>
      <c r="AE6" s="16">
        <f>IF(F6&gt;E6,1,0)</f>
        <v>1</v>
      </c>
      <c r="AF6" s="16">
        <f>F6+E6</f>
        <v>237</v>
      </c>
      <c r="AG6" s="16">
        <f>IF(Y6=0.5,"",IF((Y6&gt;0.5)=(AE6=1),1,0))</f>
        <v>1</v>
      </c>
      <c r="AH6" s="16">
        <f>IF(Z6=0.5,"",IF((Z6&gt;0.5)=(AE6=1),1,0))</f>
        <v>1</v>
      </c>
      <c r="AI6" s="17" t="str">
        <f>IF(AF6&gt;V6,"Üst",IF(AF6&lt;V6,"Alt","Push"))</f>
        <v>Üst</v>
      </c>
    </row>
    <row r="7" spans="1:35">
      <c r="A7" s="7">
        <v>46086</v>
      </c>
      <c r="B7" s="8" t="s">
        <v>60</v>
      </c>
      <c r="C7" s="8" t="s">
        <v>61</v>
      </c>
      <c r="D7" s="8" t="s">
        <v>62</v>
      </c>
      <c r="E7" s="9">
        <v>114</v>
      </c>
      <c r="F7" s="9">
        <v>115</v>
      </c>
      <c r="G7" s="10">
        <v>-7.5</v>
      </c>
      <c r="H7" s="11">
        <v>230.5</v>
      </c>
      <c r="I7" s="10">
        <v>-8.5</v>
      </c>
      <c r="J7" s="12">
        <v>1.28169014084507</v>
      </c>
      <c r="K7" s="12">
        <v>3.8</v>
      </c>
      <c r="L7" s="11">
        <v>227.5</v>
      </c>
      <c r="M7" s="12">
        <v>1.869565217391304</v>
      </c>
      <c r="N7" s="12">
        <v>1.952380952380952</v>
      </c>
      <c r="O7" s="10">
        <v>-7.5</v>
      </c>
      <c r="P7" s="12">
        <v>1.833333333333333</v>
      </c>
      <c r="Q7" s="12">
        <v>2</v>
      </c>
      <c r="R7" s="12">
        <v>1.307692307692308</v>
      </c>
      <c r="S7" s="12">
        <v>3.6</v>
      </c>
      <c r="T7" s="8" t="s">
        <v>43</v>
      </c>
      <c r="U7" s="8" t="s">
        <v>44</v>
      </c>
      <c r="V7" s="11">
        <v>230.5</v>
      </c>
      <c r="W7" s="12">
        <v>1.925925925925926</v>
      </c>
      <c r="X7" s="12">
        <v>1.892857142857143</v>
      </c>
      <c r="Y7" s="13">
        <f>(1/R7)/((1/R7)+(1/S7))</f>
        <v>0.7335423197492164</v>
      </c>
      <c r="Z7" s="13">
        <f>(1/J7)/((1/J7)+(1/K7))</f>
        <v>0.7477827050997783</v>
      </c>
      <c r="AA7" s="14">
        <f>1/R7+1/S7-1</f>
        <v>0.0424836601307188</v>
      </c>
      <c r="AB7" s="15">
        <f>O7-I7</f>
        <v>1.0</v>
      </c>
      <c r="AC7" s="15">
        <f>IF(G7="","",G7-O7)</f>
        <v>0.0</v>
      </c>
      <c r="AD7" s="15">
        <f>H7-V7</f>
        <v>0.0</v>
      </c>
      <c r="AE7" s="16">
        <f>IF(F7&gt;E7,1,0)</f>
        <v>1</v>
      </c>
      <c r="AF7" s="16">
        <f>F7+E7</f>
        <v>229</v>
      </c>
      <c r="AG7" s="16">
        <f>IF(Y7=0.5,"",IF((Y7&gt;0.5)=(AE7=1),1,0))</f>
        <v>1</v>
      </c>
      <c r="AH7" s="16">
        <f>IF(Z7=0.5,"",IF((Z7&gt;0.5)=(AE7=1),1,0))</f>
        <v>1</v>
      </c>
      <c r="AI7" s="17" t="str">
        <f>IF(AF7&gt;V7,"Üst",IF(AF7&lt;V7,"Alt","Push"))</f>
        <v>Alt</v>
      </c>
    </row>
    <row r="8" spans="1:35">
      <c r="A8" s="7">
        <v>46086</v>
      </c>
      <c r="B8" s="8" t="s">
        <v>63</v>
      </c>
      <c r="C8" s="8" t="s">
        <v>41</v>
      </c>
      <c r="D8" s="8" t="s">
        <v>64</v>
      </c>
      <c r="E8" s="9">
        <v>122</v>
      </c>
      <c r="F8" s="9">
        <v>112</v>
      </c>
      <c r="G8" s="10">
        <v>-3.5</v>
      </c>
      <c r="H8" s="11">
        <v>240.5</v>
      </c>
      <c r="I8" s="10">
        <v>-2.5</v>
      </c>
      <c r="J8" s="12">
        <v>1.704225352112676</v>
      </c>
      <c r="K8" s="12">
        <v>2.2</v>
      </c>
      <c r="L8" s="11">
        <v>242.5</v>
      </c>
      <c r="M8" s="12">
        <v>1.909090909090909</v>
      </c>
      <c r="N8" s="12">
        <v>1.909090909090909</v>
      </c>
      <c r="O8" s="10">
        <v>-3.5</v>
      </c>
      <c r="P8" s="12">
        <v>1.869565217391304</v>
      </c>
      <c r="Q8" s="12">
        <v>1.952380952380952</v>
      </c>
      <c r="R8" s="12">
        <v>1.602409638554217</v>
      </c>
      <c r="S8" s="12">
        <v>2.4</v>
      </c>
      <c r="T8" s="8" t="s">
        <v>65</v>
      </c>
      <c r="U8" s="8" t="s">
        <v>66</v>
      </c>
      <c r="V8" s="11">
        <v>240.5</v>
      </c>
      <c r="W8" s="12">
        <v>1.909090909090909</v>
      </c>
      <c r="X8" s="12">
        <v>1.909090909090909</v>
      </c>
      <c r="Y8" s="13">
        <f>(1/R8)/((1/R8)+(1/S8))</f>
        <v>0.5996387718242023</v>
      </c>
      <c r="Z8" s="13">
        <f>(1/J8)/((1/J8)+(1/K8))</f>
        <v>0.5634920634920635</v>
      </c>
      <c r="AA8" s="14">
        <f>1/R8+1/S8-1</f>
        <v>0.0407268170426065</v>
      </c>
      <c r="AB8" s="15">
        <f>O8-I8</f>
        <v>-1.0</v>
      </c>
      <c r="AC8" s="15">
        <f>IF(G8="","",G8-O8)</f>
        <v>0.0</v>
      </c>
      <c r="AD8" s="15">
        <f>H8-V8</f>
        <v>0.0</v>
      </c>
      <c r="AE8" s="16">
        <f>IF(F8&gt;E8,1,0)</f>
        <v>0</v>
      </c>
      <c r="AF8" s="16">
        <f>F8+E8</f>
        <v>234</v>
      </c>
      <c r="AG8" s="16">
        <f>IF(Y8=0.5,"",IF((Y8&gt;0.5)=(AE8=1),1,0))</f>
        <v>0</v>
      </c>
      <c r="AH8" s="16">
        <f>IF(Z8=0.5,"",IF((Z8&gt;0.5)=(AE8=1),1,0))</f>
        <v>0</v>
      </c>
      <c r="AI8" s="17" t="str">
        <f>IF(AF8&gt;V8,"Üst",IF(AF8&lt;V8,"Alt","Push"))</f>
        <v>Alt</v>
      </c>
    </row>
    <row r="9" spans="1:35">
      <c r="A9" s="7">
        <v>46086</v>
      </c>
      <c r="B9" s="8" t="s">
        <v>67</v>
      </c>
      <c r="C9" s="8" t="s">
        <v>68</v>
      </c>
      <c r="D9" s="8" t="s">
        <v>69</v>
      </c>
      <c r="E9" s="9">
        <v>110</v>
      </c>
      <c r="F9" s="9">
        <v>126</v>
      </c>
      <c r="G9" s="10">
        <v>-12.5</v>
      </c>
      <c r="H9" s="11">
        <v>224.5</v>
      </c>
      <c r="I9" s="10">
        <v>-13.5</v>
      </c>
      <c r="J9" s="12">
        <v>1.125</v>
      </c>
      <c r="K9" s="12">
        <v>6.5</v>
      </c>
      <c r="L9" s="11">
        <v>225.5</v>
      </c>
      <c r="M9" s="12">
        <v>1.909090909090909</v>
      </c>
      <c r="N9" s="12">
        <v>1.909090909090909</v>
      </c>
      <c r="O9" s="10">
        <v>-12.5</v>
      </c>
      <c r="P9" s="12">
        <v>1.892857142857143</v>
      </c>
      <c r="Q9" s="12">
        <v>1.925925925925926</v>
      </c>
      <c r="R9" s="12">
        <v>1.125</v>
      </c>
      <c r="S9" s="12">
        <v>6.5</v>
      </c>
      <c r="T9" s="8" t="s">
        <v>70</v>
      </c>
      <c r="U9" s="8" t="s">
        <v>71</v>
      </c>
      <c r="V9" s="11">
        <v>225.5</v>
      </c>
      <c r="W9" s="12">
        <v>1.909090909090909</v>
      </c>
      <c r="X9" s="12">
        <v>1.909090909090909</v>
      </c>
      <c r="Y9" s="13">
        <f>(1/R9)/((1/R9)+(1/S9))</f>
        <v>0.8524590163934427</v>
      </c>
      <c r="Z9" s="13">
        <f>(1/J9)/((1/J9)+(1/K9))</f>
        <v>0.8524590163934427</v>
      </c>
      <c r="AA9" s="14">
        <f>1/R9+1/S9-1</f>
        <v>0.04273504273504258</v>
      </c>
      <c r="AB9" s="15">
        <f>O9-I9</f>
        <v>1.0</v>
      </c>
      <c r="AC9" s="15">
        <f>IF(G9="","",G9-O9)</f>
        <v>0.0</v>
      </c>
      <c r="AD9" s="15">
        <f>H9-V9</f>
        <v>-1.0</v>
      </c>
      <c r="AE9" s="16">
        <f>IF(F9&gt;E9,1,0)</f>
        <v>1</v>
      </c>
      <c r="AF9" s="16">
        <f>F9+E9</f>
        <v>236</v>
      </c>
      <c r="AG9" s="16">
        <f>IF(Y9=0.5,"",IF((Y9&gt;0.5)=(AE9=1),1,0))</f>
        <v>1</v>
      </c>
      <c r="AH9" s="16">
        <f>IF(Z9=0.5,"",IF((Z9&gt;0.5)=(AE9=1),1,0))</f>
        <v>1</v>
      </c>
      <c r="AI9" s="17" t="str">
        <f>IF(AF9&gt;V9,"Üst",IF(AF9&lt;V9,"Alt","Push"))</f>
        <v>Üst</v>
      </c>
    </row>
    <row r="10" spans="1:35">
      <c r="A10" s="7">
        <v>46086</v>
      </c>
      <c r="B10" s="8" t="s">
        <v>72</v>
      </c>
      <c r="C10" s="8" t="s">
        <v>73</v>
      </c>
      <c r="D10" s="8" t="s">
        <v>74</v>
      </c>
      <c r="E10" s="9">
        <v>115</v>
      </c>
      <c r="F10" s="9">
        <v>113</v>
      </c>
      <c r="G10" s="10">
        <v>-9.5</v>
      </c>
      <c r="H10" s="11">
        <v>214.5</v>
      </c>
      <c r="I10" s="10">
        <v>-8.5</v>
      </c>
      <c r="J10" s="12">
        <v>1.307692307692308</v>
      </c>
      <c r="K10" s="12">
        <v>3.6</v>
      </c>
      <c r="L10" s="11">
        <v>214.5</v>
      </c>
      <c r="M10" s="12">
        <v>1.909090909090909</v>
      </c>
      <c r="N10" s="12">
        <v>1.909090909090909</v>
      </c>
      <c r="O10" s="10">
        <v>-9.5</v>
      </c>
      <c r="P10" s="12">
        <v>1.892857142857143</v>
      </c>
      <c r="Q10" s="12">
        <v>1.925925925925926</v>
      </c>
      <c r="R10" s="12">
        <v>1.253164556962025</v>
      </c>
      <c r="S10" s="12">
        <v>4.1</v>
      </c>
      <c r="T10" s="8" t="s">
        <v>49</v>
      </c>
      <c r="U10" s="8" t="s">
        <v>48</v>
      </c>
      <c r="V10" s="11">
        <v>214.5</v>
      </c>
      <c r="W10" s="12">
        <v>1.909090909090909</v>
      </c>
      <c r="X10" s="12">
        <v>1.909090909090909</v>
      </c>
      <c r="Y10" s="13">
        <f>(1/R10)/((1/R10)+(1/S10))</f>
        <v>0.7659021045164341</v>
      </c>
      <c r="Z10" s="13">
        <f>(1/J10)/((1/J10)+(1/K10))</f>
        <v>0.7335423197492164</v>
      </c>
      <c r="AA10" s="14">
        <f>1/R10+1/S10-1</f>
        <v>0.04188223700418825</v>
      </c>
      <c r="AB10" s="15">
        <f>O10-I10</f>
        <v>-1.0</v>
      </c>
      <c r="AC10" s="15">
        <f>IF(G10="","",G10-O10)</f>
        <v>0.0</v>
      </c>
      <c r="AD10" s="15">
        <f>H10-V10</f>
        <v>0.0</v>
      </c>
      <c r="AE10" s="16">
        <f>IF(F10&gt;E10,1,0)</f>
        <v>0</v>
      </c>
      <c r="AF10" s="16">
        <f>F10+E10</f>
        <v>228</v>
      </c>
      <c r="AG10" s="16">
        <f>IF(Y10=0.5,"",IF((Y10&gt;0.5)=(AE10=1),1,0))</f>
        <v>0</v>
      </c>
      <c r="AH10" s="16">
        <f>IF(Z10=0.5,"",IF((Z10&gt;0.5)=(AE10=1),1,0))</f>
        <v>0</v>
      </c>
      <c r="AI10" s="17" t="str">
        <f>IF(AF10&gt;V10,"Üst",IF(AF10&lt;V10,"Alt","Push"))</f>
        <v>Üst</v>
      </c>
    </row>
    <row r="11" spans="1:35">
      <c r="A11" s="7">
        <v>46086</v>
      </c>
      <c r="B11" s="8" t="s">
        <v>75</v>
      </c>
      <c r="C11" s="8" t="s">
        <v>76</v>
      </c>
      <c r="D11" s="8" t="s">
        <v>77</v>
      </c>
      <c r="E11" s="9">
        <v>107</v>
      </c>
      <c r="F11" s="9">
        <v>115</v>
      </c>
      <c r="G11" s="10">
        <v>-5.5</v>
      </c>
      <c r="H11" s="11">
        <v>226.5</v>
      </c>
      <c r="I11" s="10">
        <v>-6.5</v>
      </c>
      <c r="J11" s="12">
        <v>1.420168067226891</v>
      </c>
      <c r="K11" s="12">
        <v>2.95</v>
      </c>
      <c r="L11" s="11">
        <v>228.5</v>
      </c>
      <c r="M11" s="12">
        <v>1.909090909090909</v>
      </c>
      <c r="N11" s="12">
        <v>1.909090909090909</v>
      </c>
      <c r="O11" s="10">
        <v>-4.5</v>
      </c>
      <c r="P11" s="12">
        <v>1.847457627118644</v>
      </c>
      <c r="Q11" s="12">
        <v>1.980392156862745</v>
      </c>
      <c r="R11" s="12">
        <v>1.458715596330275</v>
      </c>
      <c r="S11" s="12">
        <v>2.8</v>
      </c>
      <c r="T11" s="8" t="s">
        <v>78</v>
      </c>
      <c r="U11" s="8" t="s">
        <v>79</v>
      </c>
      <c r="V11" s="11">
        <v>226.5</v>
      </c>
      <c r="W11" s="12">
        <v>1.925925925925926</v>
      </c>
      <c r="X11" s="12">
        <v>1.892857142857143</v>
      </c>
      <c r="Y11" s="13">
        <f>(1/R11)/((1/R11)+(1/S11))</f>
        <v>0.6574752261956053</v>
      </c>
      <c r="Z11" s="13">
        <f>(1/J11)/((1/J11)+(1/K11))</f>
        <v>0.6750312469954812</v>
      </c>
      <c r="AA11" s="14">
        <f>1/R11+1/S11-1</f>
        <v>0.04267744833782583</v>
      </c>
      <c r="AB11" s="15">
        <f>O11-I11</f>
        <v>2.0</v>
      </c>
      <c r="AC11" s="15">
        <f>IF(G11="","",G11-O11)</f>
        <v>-1.0</v>
      </c>
      <c r="AD11" s="15">
        <f>H11-V11</f>
        <v>0.0</v>
      </c>
      <c r="AE11" s="16">
        <f>IF(F11&gt;E11,1,0)</f>
        <v>1</v>
      </c>
      <c r="AF11" s="16">
        <f>F11+E11</f>
        <v>222</v>
      </c>
      <c r="AG11" s="16">
        <f>IF(Y11=0.5,"",IF((Y11&gt;0.5)=(AE11=1),1,0))</f>
        <v>1</v>
      </c>
      <c r="AH11" s="16">
        <f>IF(Z11=0.5,"",IF((Z11&gt;0.5)=(AE11=1),1,0))</f>
        <v>1</v>
      </c>
      <c r="AI11" s="17" t="str">
        <f>IF(AF11&gt;V11,"Üst",IF(AF11&lt;V11,"Alt","Push"))</f>
        <v>Alt</v>
      </c>
    </row>
    <row r="12" spans="1:35">
      <c r="A12" s="7">
        <v>46086</v>
      </c>
      <c r="B12" s="8" t="s">
        <v>80</v>
      </c>
      <c r="C12" s="8" t="s">
        <v>81</v>
      </c>
      <c r="D12" s="8" t="s">
        <v>82</v>
      </c>
      <c r="E12" s="9">
        <v>106</v>
      </c>
      <c r="F12" s="9">
        <v>121</v>
      </c>
      <c r="G12" s="10">
        <v>-2.5</v>
      </c>
      <c r="H12" s="11">
        <v>227.5</v>
      </c>
      <c r="I12" s="10">
        <v>-2.5</v>
      </c>
      <c r="J12" s="12">
        <v>1.675675675675676</v>
      </c>
      <c r="K12" s="12">
        <v>2.24</v>
      </c>
      <c r="L12" s="11">
        <v>227.5</v>
      </c>
      <c r="M12" s="12">
        <v>1.909090909090909</v>
      </c>
      <c r="N12" s="12">
        <v>1.909090909090909</v>
      </c>
      <c r="O12" s="10">
        <v>-2.5</v>
      </c>
      <c r="P12" s="12">
        <v>1.869565217391304</v>
      </c>
      <c r="Q12" s="12">
        <v>1.952380952380952</v>
      </c>
      <c r="R12" s="12">
        <v>1.675675675675676</v>
      </c>
      <c r="S12" s="12">
        <v>2.24</v>
      </c>
      <c r="T12" s="8" t="s">
        <v>83</v>
      </c>
      <c r="U12" s="8" t="s">
        <v>84</v>
      </c>
      <c r="V12" s="11">
        <v>227.5</v>
      </c>
      <c r="W12" s="12">
        <v>1.909090909090909</v>
      </c>
      <c r="X12" s="12">
        <v>1.909090909090909</v>
      </c>
      <c r="Y12" s="13">
        <f>(1/R12)/((1/R12)+(1/S12))</f>
        <v>0.5720596355604638</v>
      </c>
      <c r="Z12" s="13">
        <f>(1/J12)/((1/J12)+(1/K12))</f>
        <v>0.5720596355604638</v>
      </c>
      <c r="AA12" s="14">
        <f>1/R12+1/S12-1</f>
        <v>0.04320276497695863</v>
      </c>
      <c r="AB12" s="15">
        <f>O12-I12</f>
        <v>0.0</v>
      </c>
      <c r="AC12" s="15">
        <f>IF(G12="","",G12-O12)</f>
        <v>0.0</v>
      </c>
      <c r="AD12" s="15">
        <f>H12-V12</f>
        <v>0.0</v>
      </c>
      <c r="AE12" s="16">
        <f>IF(F12&gt;E12,1,0)</f>
        <v>1</v>
      </c>
      <c r="AF12" s="16">
        <f>F12+E12</f>
        <v>227</v>
      </c>
      <c r="AG12" s="16">
        <f>IF(Y12=0.5,"",IF((Y12&gt;0.5)=(AE12=1),1,0))</f>
        <v>1</v>
      </c>
      <c r="AH12" s="16">
        <f>IF(Z12=0.5,"",IF((Z12&gt;0.5)=(AE12=1),1,0))</f>
        <v>1</v>
      </c>
      <c r="AI12" s="17" t="str">
        <f>IF(AF12&gt;V12,"Üst",IF(AF12&lt;V12,"Alt","Push"))</f>
        <v>Alt</v>
      </c>
    </row>
    <row r="13" spans="1:35">
      <c r="A13" s="7">
        <v>46086</v>
      </c>
      <c r="B13" s="8" t="s">
        <v>85</v>
      </c>
      <c r="C13" s="8" t="s">
        <v>86</v>
      </c>
      <c r="D13" s="8" t="s">
        <v>87</v>
      </c>
      <c r="E13" s="9">
        <v>105</v>
      </c>
      <c r="F13" s="9">
        <v>103</v>
      </c>
      <c r="G13" s="10">
        <v>-11.5</v>
      </c>
      <c r="H13" s="11">
        <v>225.5</v>
      </c>
      <c r="I13" s="10">
        <v>-10.5</v>
      </c>
      <c r="J13" s="12">
        <v>1.212765957446809</v>
      </c>
      <c r="K13" s="12">
        <v>4.6</v>
      </c>
      <c r="L13" s="11">
        <v>225.5</v>
      </c>
      <c r="M13" s="12">
        <v>1.909090909090909</v>
      </c>
      <c r="N13" s="12">
        <v>1.909090909090909</v>
      </c>
      <c r="O13" s="10">
        <v>-10.5</v>
      </c>
      <c r="P13" s="12">
        <v>1.847457627118644</v>
      </c>
      <c r="Q13" s="12">
        <v>1.980392156862745</v>
      </c>
      <c r="R13" s="12">
        <v>1.166666666666667</v>
      </c>
      <c r="S13" s="12">
        <v>5.4</v>
      </c>
      <c r="T13" s="8" t="s">
        <v>88</v>
      </c>
      <c r="U13" s="8" t="s">
        <v>89</v>
      </c>
      <c r="V13" s="11">
        <v>224.5</v>
      </c>
      <c r="W13" s="12">
        <v>1.869565217391304</v>
      </c>
      <c r="X13" s="12">
        <v>1.952380952380952</v>
      </c>
      <c r="Y13" s="13">
        <f>(1/R13)/((1/R13)+(1/S13))</f>
        <v>0.8223350253807106</v>
      </c>
      <c r="Z13" s="13">
        <f>(1/J13)/((1/J13)+(1/K13))</f>
        <v>0.7913616398243044</v>
      </c>
      <c r="AA13" s="14">
        <f>1/R13+1/S13-1</f>
        <v>0.042328042328042326</v>
      </c>
      <c r="AB13" s="15">
        <f>O13-I13</f>
        <v>0.0</v>
      </c>
      <c r="AC13" s="15">
        <f>IF(G13="","",G13-O13)</f>
        <v>-1.0</v>
      </c>
      <c r="AD13" s="15">
        <f>H13-V13</f>
        <v>1.0</v>
      </c>
      <c r="AE13" s="16">
        <f>IF(F13&gt;E13,1,0)</f>
        <v>0</v>
      </c>
      <c r="AF13" s="16">
        <f>F13+E13</f>
        <v>208</v>
      </c>
      <c r="AG13" s="16">
        <f>IF(Y13=0.5,"",IF((Y13&gt;0.5)=(AE13=1),1,0))</f>
        <v>0</v>
      </c>
      <c r="AH13" s="16">
        <f>IF(Z13=0.5,"",IF((Z13&gt;0.5)=(AE13=1),1,0))</f>
        <v>0</v>
      </c>
      <c r="AI13" s="17" t="str">
        <f>IF(AF13&gt;V13,"Üst",IF(AF13&lt;V13,"Alt","Push"))</f>
        <v>Alt</v>
      </c>
    </row>
    <row r="14" spans="1:35">
      <c r="A14" s="7">
        <v>46086</v>
      </c>
      <c r="B14" s="8" t="s">
        <v>90</v>
      </c>
      <c r="C14" s="8" t="s">
        <v>91</v>
      </c>
      <c r="D14" s="8" t="s">
        <v>92</v>
      </c>
      <c r="E14" s="9">
        <v>113</v>
      </c>
      <c r="F14" s="9">
        <v>120</v>
      </c>
      <c r="G14" s="10">
        <v>-3.5</v>
      </c>
      <c r="H14" s="11">
        <v>240.5</v>
      </c>
      <c r="I14" s="10">
        <v>-4.5</v>
      </c>
      <c r="J14" s="12">
        <v>1.555555555555556</v>
      </c>
      <c r="K14" s="12">
        <v>2.5</v>
      </c>
      <c r="L14" s="11">
        <v>238.5</v>
      </c>
      <c r="M14" s="12">
        <v>1.952380952380952</v>
      </c>
      <c r="N14" s="12">
        <v>1.869565217391304</v>
      </c>
      <c r="O14" s="10">
        <v>-3.5</v>
      </c>
      <c r="P14" s="12">
        <v>1.869565217391304</v>
      </c>
      <c r="Q14" s="12">
        <v>1.952380952380952</v>
      </c>
      <c r="R14" s="12">
        <v>1.588235294117647</v>
      </c>
      <c r="S14" s="12">
        <v>2.42</v>
      </c>
      <c r="T14" s="8" t="s">
        <v>93</v>
      </c>
      <c r="U14" s="8" t="s">
        <v>94</v>
      </c>
      <c r="V14" s="11">
        <v>240.5</v>
      </c>
      <c r="W14" s="12">
        <v>1.925925925925926</v>
      </c>
      <c r="X14" s="12">
        <v>1.892857142857143</v>
      </c>
      <c r="Y14" s="13">
        <f>(1/R14)/((1/R14)+(1/S14))</f>
        <v>0.6037569709421778</v>
      </c>
      <c r="Z14" s="13">
        <f>(1/J14)/((1/J14)+(1/K14))</f>
        <v>0.6164383561643836</v>
      </c>
      <c r="AA14" s="14">
        <f>1/R14+1/S14-1</f>
        <v>0.042852770125497264</v>
      </c>
      <c r="AB14" s="15">
        <f>O14-I14</f>
        <v>1.0</v>
      </c>
      <c r="AC14" s="15">
        <f>IF(G14="","",G14-O14)</f>
        <v>0.0</v>
      </c>
      <c r="AD14" s="15">
        <f>H14-V14</f>
        <v>0.0</v>
      </c>
      <c r="AE14" s="16">
        <f>IF(F14&gt;E14,1,0)</f>
        <v>1</v>
      </c>
      <c r="AF14" s="16">
        <f>F14+E14</f>
        <v>233</v>
      </c>
      <c r="AG14" s="16">
        <f>IF(Y14=0.5,"",IF((Y14&gt;0.5)=(AE14=1),1,0))</f>
        <v>1</v>
      </c>
      <c r="AH14" s="16">
        <f>IF(Z14=0.5,"",IF((Z14&gt;0.5)=(AE14=1),1,0))</f>
        <v>1</v>
      </c>
      <c r="AI14" s="17" t="str">
        <f>IF(AF14&gt;V14,"Üst",IF(AF14&lt;V14,"Alt","Push"))</f>
        <v>Alt</v>
      </c>
    </row>
    <row r="15" spans="1:35">
      <c r="A15" s="7">
        <v>46086</v>
      </c>
      <c r="B15" s="8" t="s">
        <v>95</v>
      </c>
      <c r="C15" s="8" t="s">
        <v>96</v>
      </c>
      <c r="D15" s="8" t="s">
        <v>97</v>
      </c>
      <c r="E15" s="9">
        <v>133</v>
      </c>
      <c r="F15" s="9">
        <v>123</v>
      </c>
      <c r="G15" s="10">
        <v>6.5</v>
      </c>
      <c r="H15" s="11">
        <v>236.5</v>
      </c>
      <c r="I15" s="10">
        <v>4.5</v>
      </c>
      <c r="J15" s="12">
        <v>2.5</v>
      </c>
      <c r="K15" s="12">
        <v>1.555555555555556</v>
      </c>
      <c r="L15" s="11">
        <v>231.5</v>
      </c>
      <c r="M15" s="12">
        <v>1.909090909090909</v>
      </c>
      <c r="N15" s="12">
        <v>1.909090909090909</v>
      </c>
      <c r="O15" s="10">
        <v>6.5</v>
      </c>
      <c r="P15" s="12">
        <v>1.952380952380952</v>
      </c>
      <c r="Q15" s="12">
        <v>1.869565217391304</v>
      </c>
      <c r="R15" s="12">
        <v>3.15</v>
      </c>
      <c r="S15" s="12">
        <v>1.377358490566038</v>
      </c>
      <c r="T15" s="8" t="s">
        <v>98</v>
      </c>
      <c r="U15" s="8" t="s">
        <v>99</v>
      </c>
      <c r="V15" s="11">
        <v>236.5</v>
      </c>
      <c r="W15" s="12">
        <v>1.952380952380952</v>
      </c>
      <c r="X15" s="12">
        <v>1.869565217391304</v>
      </c>
      <c r="Y15" s="13">
        <f>(1/R15)/((1/R15)+(1/S15))</f>
        <v>0.30423004792665137</v>
      </c>
      <c r="Z15" s="13">
        <f>(1/J15)/((1/J15)+(1/K15))</f>
        <v>0.38356164383561653</v>
      </c>
      <c r="AA15" s="14">
        <f>1/R15+1/S15-1</f>
        <v>0.04348771472059143</v>
      </c>
      <c r="AB15" s="15">
        <f>O15-I15</f>
        <v>2.0</v>
      </c>
      <c r="AC15" s="15">
        <f>IF(G15="","",G15-O15)</f>
        <v>0.0</v>
      </c>
      <c r="AD15" s="15">
        <f>H15-V15</f>
        <v>0.0</v>
      </c>
      <c r="AE15" s="16">
        <f>IF(F15&gt;E15,1,0)</f>
        <v>0</v>
      </c>
      <c r="AF15" s="16">
        <f>F15+E15</f>
        <v>256</v>
      </c>
      <c r="AG15" s="16">
        <f>IF(Y15=0.5,"",IF((Y15&gt;0.5)=(AE15=1),1,0))</f>
        <v>1</v>
      </c>
      <c r="AH15" s="16">
        <f>IF(Z15=0.5,"",IF((Z15&gt;0.5)=(AE15=1),1,0))</f>
        <v>1</v>
      </c>
      <c r="AI15" s="17" t="str">
        <f>IF(AF15&gt;V15,"Üst",IF(AF15&lt;V15,"Alt","Push"))</f>
        <v>Üst</v>
      </c>
    </row>
    <row r="16" spans="1:35">
      <c r="A16" s="7">
        <v>46087</v>
      </c>
      <c r="B16" s="8" t="s">
        <v>100</v>
      </c>
      <c r="C16" s="8" t="s">
        <v>61</v>
      </c>
      <c r="D16" s="8" t="s">
        <v>101</v>
      </c>
      <c r="E16" s="9">
        <v>100</v>
      </c>
      <c r="F16" s="9">
        <v>120</v>
      </c>
      <c r="G16" s="10">
        <v>-15.5</v>
      </c>
      <c r="H16" s="11">
        <v>225.5</v>
      </c>
      <c r="I16" s="10">
        <v>-15.5</v>
      </c>
      <c r="J16" s="12">
        <v>1.095238095238095</v>
      </c>
      <c r="K16" s="12">
        <v>7.75</v>
      </c>
      <c r="L16" s="11">
        <v>225.5</v>
      </c>
      <c r="M16" s="12">
        <v>1.909090909090909</v>
      </c>
      <c r="N16" s="12">
        <v>1.909090909090909</v>
      </c>
      <c r="O16" s="10">
        <v>-15.5</v>
      </c>
      <c r="P16" s="12">
        <v>1.925925925925926</v>
      </c>
      <c r="Q16" s="12">
        <v>1.892857142857143</v>
      </c>
      <c r="R16" s="12">
        <v>1.083333333333333</v>
      </c>
      <c r="S16" s="12">
        <v>8.5</v>
      </c>
      <c r="T16" s="8" t="s">
        <v>102</v>
      </c>
      <c r="U16" s="8" t="s">
        <v>103</v>
      </c>
      <c r="V16" s="11">
        <v>226.5</v>
      </c>
      <c r="W16" s="12">
        <v>1.892857142857143</v>
      </c>
      <c r="X16" s="12">
        <v>1.925925925925926</v>
      </c>
      <c r="Y16" s="13">
        <f>(1/R16)/((1/R16)+(1/S16))</f>
        <v>0.8869565217391304</v>
      </c>
      <c r="Z16" s="13">
        <f>(1/J16)/((1/J16)+(1/K16))</f>
        <v>0.8761776581426649</v>
      </c>
      <c r="AA16" s="14">
        <f>1/R16+1/S16-1</f>
        <v>0.040723981900452566</v>
      </c>
      <c r="AB16" s="15">
        <f>O16-I16</f>
        <v>0.0</v>
      </c>
      <c r="AC16" s="15">
        <f>IF(G16="","",G16-O16)</f>
        <v>0.0</v>
      </c>
      <c r="AD16" s="15">
        <f>H16-V16</f>
        <v>-1.0</v>
      </c>
      <c r="AE16" s="16">
        <f>IF(F16&gt;E16,1,0)</f>
        <v>1</v>
      </c>
      <c r="AF16" s="16">
        <f>F16+E16</f>
        <v>220</v>
      </c>
      <c r="AG16" s="16">
        <f>IF(Y16=0.5,"",IF((Y16&gt;0.5)=(AE16=1),1,0))</f>
        <v>1</v>
      </c>
      <c r="AH16" s="16">
        <f>IF(Z16=0.5,"",IF((Z16&gt;0.5)=(AE16=1),1,0))</f>
        <v>1</v>
      </c>
      <c r="AI16" s="17" t="str">
        <f>IF(AF16&gt;V16,"Üst",IF(AF16&lt;V16,"Alt","Push"))</f>
        <v>Alt</v>
      </c>
    </row>
    <row r="17" spans="1:35">
      <c r="A17" s="7">
        <v>46087</v>
      </c>
      <c r="B17" s="8" t="s">
        <v>104</v>
      </c>
      <c r="C17" s="8" t="s">
        <v>69</v>
      </c>
      <c r="D17" s="8" t="s">
        <v>105</v>
      </c>
      <c r="E17" s="9">
        <v>128</v>
      </c>
      <c r="F17" s="9">
        <v>120</v>
      </c>
      <c r="G17" s="10">
        <v>-7.5</v>
      </c>
      <c r="H17" s="11">
        <v>229.5</v>
      </c>
      <c r="I17" s="10">
        <v>-6.5</v>
      </c>
      <c r="J17" s="12">
        <v>1.408163265306122</v>
      </c>
      <c r="K17" s="12">
        <v>3</v>
      </c>
      <c r="L17" s="11">
        <v>230.5</v>
      </c>
      <c r="M17" s="12">
        <v>1.909090909090909</v>
      </c>
      <c r="N17" s="12">
        <v>1.909090909090909</v>
      </c>
      <c r="O17" s="10">
        <v>-7.5</v>
      </c>
      <c r="P17" s="12">
        <v>1.925925925925926</v>
      </c>
      <c r="Q17" s="12">
        <v>1.892857142857143</v>
      </c>
      <c r="R17" s="12">
        <v>1.335570469798658</v>
      </c>
      <c r="S17" s="12">
        <v>3.4</v>
      </c>
      <c r="T17" s="8" t="s">
        <v>106</v>
      </c>
      <c r="U17" s="8" t="s">
        <v>107</v>
      </c>
      <c r="V17" s="11">
        <v>229.5</v>
      </c>
      <c r="W17" s="12">
        <v>1.892857142857143</v>
      </c>
      <c r="X17" s="12">
        <v>1.925925925925926</v>
      </c>
      <c r="Y17" s="13">
        <f>(1/R17)/((1/R17)+(1/S17))</f>
        <v>0.7179705215419501</v>
      </c>
      <c r="Z17" s="13">
        <f>(1/J17)/((1/J17)+(1/K17))</f>
        <v>0.6805555555555556</v>
      </c>
      <c r="AA17" s="14">
        <f>1/R17+1/S17-1</f>
        <v>0.04286136565178844</v>
      </c>
      <c r="AB17" s="15">
        <f>O17-I17</f>
        <v>-1.0</v>
      </c>
      <c r="AC17" s="15">
        <f>IF(G17="","",G17-O17)</f>
        <v>0.0</v>
      </c>
      <c r="AD17" s="15">
        <f>H17-V17</f>
        <v>0.0</v>
      </c>
      <c r="AE17" s="16">
        <f>IF(F17&gt;E17,1,0)</f>
        <v>0</v>
      </c>
      <c r="AF17" s="16">
        <f>F17+E17</f>
        <v>248</v>
      </c>
      <c r="AG17" s="16">
        <f>IF(Y17=0.5,"",IF((Y17&gt;0.5)=(AE17=1),1,0))</f>
        <v>0</v>
      </c>
      <c r="AH17" s="16">
        <f>IF(Z17=0.5,"",IF((Z17&gt;0.5)=(AE17=1),1,0))</f>
        <v>0</v>
      </c>
      <c r="AI17" s="17" t="str">
        <f>IF(AF17&gt;V17,"Üst",IF(AF17&lt;V17,"Alt","Push"))</f>
        <v>Üst</v>
      </c>
    </row>
    <row r="18" spans="1:35">
      <c r="A18" s="7">
        <v>46087</v>
      </c>
      <c r="B18" s="8" t="s">
        <v>108</v>
      </c>
      <c r="C18" s="8" t="s">
        <v>46</v>
      </c>
      <c r="D18" s="8" t="s">
        <v>74</v>
      </c>
      <c r="E18" s="9">
        <v>99</v>
      </c>
      <c r="F18" s="9">
        <v>106</v>
      </c>
      <c r="G18" s="10">
        <v>-6.5</v>
      </c>
      <c r="H18" s="11">
        <v>221.5</v>
      </c>
      <c r="I18" s="10">
        <v>-7.5</v>
      </c>
      <c r="J18" s="12">
        <v>1.359712230215827</v>
      </c>
      <c r="K18" s="12">
        <v>3.25</v>
      </c>
      <c r="L18" s="11">
        <v>223.5</v>
      </c>
      <c r="M18" s="12">
        <v>1.909090909090909</v>
      </c>
      <c r="N18" s="12">
        <v>1.909090909090909</v>
      </c>
      <c r="O18" s="10">
        <v>-6.5</v>
      </c>
      <c r="P18" s="12">
        <v>1.925925925925926</v>
      </c>
      <c r="Q18" s="12">
        <v>1.892857142857143</v>
      </c>
      <c r="R18" s="12">
        <v>1.377358490566038</v>
      </c>
      <c r="S18" s="12">
        <v>3.15</v>
      </c>
      <c r="T18" s="8" t="s">
        <v>99</v>
      </c>
      <c r="U18" s="8" t="s">
        <v>98</v>
      </c>
      <c r="V18" s="11">
        <v>220.5</v>
      </c>
      <c r="W18" s="12">
        <v>1.892857142857143</v>
      </c>
      <c r="X18" s="12">
        <v>1.925925925925926</v>
      </c>
      <c r="Y18" s="13">
        <f>(1/R18)/((1/R18)+(1/S18))</f>
        <v>0.6957699520733487</v>
      </c>
      <c r="Z18" s="13">
        <f>(1/J18)/((1/J18)+(1/K18))</f>
        <v>0.705033164260632</v>
      </c>
      <c r="AA18" s="14">
        <f>1/R18+1/S18-1</f>
        <v>0.04348771472059143</v>
      </c>
      <c r="AB18" s="15">
        <f>O18-I18</f>
        <v>1.0</v>
      </c>
      <c r="AC18" s="15">
        <f>IF(G18="","",G18-O18)</f>
        <v>0.0</v>
      </c>
      <c r="AD18" s="15">
        <f>H18-V18</f>
        <v>1.0</v>
      </c>
      <c r="AE18" s="16">
        <f>IF(F18&gt;E18,1,0)</f>
        <v>1</v>
      </c>
      <c r="AF18" s="16">
        <f>F18+E18</f>
        <v>205</v>
      </c>
      <c r="AG18" s="16">
        <f>IF(Y18=0.5,"",IF((Y18&gt;0.5)=(AE18=1),1,0))</f>
        <v>1</v>
      </c>
      <c r="AH18" s="16">
        <f>IF(Z18=0.5,"",IF((Z18&gt;0.5)=(AE18=1),1,0))</f>
        <v>1</v>
      </c>
      <c r="AI18" s="17" t="str">
        <f>IF(AF18&gt;V18,"Üst",IF(AF18&lt;V18,"Alt","Push"))</f>
        <v>Alt</v>
      </c>
    </row>
    <row r="19" spans="1:35">
      <c r="A19" s="7">
        <v>46087</v>
      </c>
      <c r="B19" s="8" t="s">
        <v>109</v>
      </c>
      <c r="C19" s="8" t="s">
        <v>110</v>
      </c>
      <c r="D19" s="8" t="s">
        <v>92</v>
      </c>
      <c r="E19" s="9">
        <v>142</v>
      </c>
      <c r="F19" s="9">
        <v>103</v>
      </c>
      <c r="G19" s="10">
        <v>-1.5</v>
      </c>
      <c r="H19" s="11">
        <v>229.5</v>
      </c>
      <c r="I19" s="10">
        <v>1.5</v>
      </c>
      <c r="J19" s="12">
        <v>1.909090909090909</v>
      </c>
      <c r="K19" s="12">
        <v>1.909090909090909</v>
      </c>
      <c r="L19" s="11">
        <v>232.5</v>
      </c>
      <c r="M19" s="12">
        <v>1.909090909090909</v>
      </c>
      <c r="N19" s="12">
        <v>1.909090909090909</v>
      </c>
      <c r="O19" s="10">
        <v>-1.5</v>
      </c>
      <c r="P19" s="12">
        <v>1.980392156862745</v>
      </c>
      <c r="Q19" s="12">
        <v>1.847457627118644</v>
      </c>
      <c r="R19" s="12">
        <v>1.869565217391304</v>
      </c>
      <c r="S19" s="12">
        <v>1.952380952380952</v>
      </c>
      <c r="T19" s="8" t="s">
        <v>53</v>
      </c>
      <c r="U19" s="8" t="s">
        <v>54</v>
      </c>
      <c r="V19" s="11">
        <v>229.5</v>
      </c>
      <c r="W19" s="12">
        <v>1.909090909090909</v>
      </c>
      <c r="X19" s="12">
        <v>1.909090909090909</v>
      </c>
      <c r="Y19" s="13">
        <f>(1/R19)/((1/R19)+(1/S19))</f>
        <v>0.5108342361863489</v>
      </c>
      <c r="Z19" s="13">
        <f>(1/J19)/((1/J19)+(1/K19))</f>
        <v>0.5</v>
      </c>
      <c r="AA19" s="14">
        <f>1/R19+1/S19-1</f>
        <v>0.04707884288145214</v>
      </c>
      <c r="AB19" s="15">
        <f>O19-I19</f>
        <v>-3.0</v>
      </c>
      <c r="AC19" s="15">
        <f>IF(G19="","",G19-O19)</f>
        <v>0.0</v>
      </c>
      <c r="AD19" s="15">
        <f>H19-V19</f>
        <v>0.0</v>
      </c>
      <c r="AE19" s="16">
        <f>IF(F19&gt;E19,1,0)</f>
        <v>0</v>
      </c>
      <c r="AF19" s="16">
        <f>F19+E19</f>
        <v>245</v>
      </c>
      <c r="AG19" s="16">
        <f>IF(Y19=0.5,"",IF((Y19&gt;0.5)=(AE19=1),1,0))</f>
        <v>0</v>
      </c>
      <c r="AH19" s="16">
        <f>IF(Z19=0.5,"",IF((Z19&gt;0.5)=(AE19=1),1,0))</f>
        <v/>
      </c>
      <c r="AI19" s="17" t="str">
        <f>IF(AF19&gt;V19,"Üst",IF(AF19&lt;V19,"Alt","Push"))</f>
        <v>Üst</v>
      </c>
    </row>
    <row r="20" spans="1:35">
      <c r="A20" s="7">
        <v>46087</v>
      </c>
      <c r="B20" s="8" t="s">
        <v>111</v>
      </c>
      <c r="C20" s="8" t="s">
        <v>96</v>
      </c>
      <c r="D20" s="8" t="s">
        <v>87</v>
      </c>
      <c r="E20" s="9">
        <v>116</v>
      </c>
      <c r="F20" s="9">
        <v>118</v>
      </c>
      <c r="G20" s="10">
        <v>-4.5</v>
      </c>
      <c r="H20" s="11">
        <v>228.5</v>
      </c>
      <c r="I20" s="10">
        <v>-5.5</v>
      </c>
      <c r="J20" s="12">
        <v>1.444444444444444</v>
      </c>
      <c r="K20" s="12">
        <v>2.85</v>
      </c>
      <c r="L20" s="11">
        <v>225.5</v>
      </c>
      <c r="M20" s="12">
        <v>1.909090909090909</v>
      </c>
      <c r="N20" s="12">
        <v>1.909090909090909</v>
      </c>
      <c r="O20" s="10">
        <v>-3.5</v>
      </c>
      <c r="P20" s="12">
        <v>1.869565217391304</v>
      </c>
      <c r="Q20" s="12">
        <v>1.952380952380952</v>
      </c>
      <c r="R20" s="12">
        <v>1.571428571428571</v>
      </c>
      <c r="S20" s="12">
        <v>2.45</v>
      </c>
      <c r="T20" s="8" t="s">
        <v>112</v>
      </c>
      <c r="U20" s="8" t="s">
        <v>113</v>
      </c>
      <c r="V20" s="11">
        <v>228.5</v>
      </c>
      <c r="W20" s="12">
        <v>1.925925925925926</v>
      </c>
      <c r="X20" s="12">
        <v>1.892857142857143</v>
      </c>
      <c r="Y20" s="13">
        <f>(1/R20)/((1/R20)+(1/S20))</f>
        <v>0.6092362344582594</v>
      </c>
      <c r="Z20" s="13">
        <f>(1/J20)/((1/J20)+(1/K20))</f>
        <v>0.6636481241914618</v>
      </c>
      <c r="AA20" s="14">
        <f>1/R20+1/S20-1</f>
        <v>0.0445269016697587</v>
      </c>
      <c r="AB20" s="15">
        <f>O20-I20</f>
        <v>2.0</v>
      </c>
      <c r="AC20" s="15">
        <f>IF(G20="","",G20-O20)</f>
        <v>-1.0</v>
      </c>
      <c r="AD20" s="15">
        <f>H20-V20</f>
        <v>0.0</v>
      </c>
      <c r="AE20" s="16">
        <f>IF(F20&gt;E20,1,0)</f>
        <v>1</v>
      </c>
      <c r="AF20" s="16">
        <f>F20+E20</f>
        <v>234</v>
      </c>
      <c r="AG20" s="16">
        <f>IF(Y20=0.5,"",IF((Y20&gt;0.5)=(AE20=1),1,0))</f>
        <v>1</v>
      </c>
      <c r="AH20" s="16">
        <f>IF(Z20=0.5,"",IF((Z20&gt;0.5)=(AE20=1),1,0))</f>
        <v>1</v>
      </c>
      <c r="AI20" s="17" t="str">
        <f>IF(AF20&gt;V20,"Üst",IF(AF20&lt;V20,"Alt","Push"))</f>
        <v>Üst</v>
      </c>
    </row>
    <row r="21" spans="1:35">
      <c r="A21" s="7">
        <v>46087</v>
      </c>
      <c r="B21" s="8" t="s">
        <v>114</v>
      </c>
      <c r="C21" s="8" t="s">
        <v>57</v>
      </c>
      <c r="D21" s="8" t="s">
        <v>82</v>
      </c>
      <c r="E21" s="9">
        <v>112</v>
      </c>
      <c r="F21" s="9">
        <v>116</v>
      </c>
      <c r="G21" s="10">
        <v>-7.5</v>
      </c>
      <c r="H21" s="11">
        <v>221.5</v>
      </c>
      <c r="I21" s="10">
        <v>-8.5</v>
      </c>
      <c r="J21" s="12">
        <v>1.32258064516129</v>
      </c>
      <c r="K21" s="12">
        <v>3.5</v>
      </c>
      <c r="L21" s="11">
        <v>223.5</v>
      </c>
      <c r="M21" s="12">
        <v>1.952380952380952</v>
      </c>
      <c r="N21" s="12">
        <v>1.869565217391304</v>
      </c>
      <c r="O21" s="10">
        <v>-7.5</v>
      </c>
      <c r="P21" s="12">
        <v>1.952380952380952</v>
      </c>
      <c r="Q21" s="12">
        <v>1.869565217391304</v>
      </c>
      <c r="R21" s="12">
        <v>1.359712230215827</v>
      </c>
      <c r="S21" s="12">
        <v>3.25</v>
      </c>
      <c r="T21" s="8" t="s">
        <v>115</v>
      </c>
      <c r="U21" s="8" t="s">
        <v>116</v>
      </c>
      <c r="V21" s="11">
        <v>221.5</v>
      </c>
      <c r="W21" s="12">
        <v>1.925925925925926</v>
      </c>
      <c r="X21" s="12">
        <v>1.892857142857143</v>
      </c>
      <c r="Y21" s="13">
        <f>(1/R21)/((1/R21)+(1/S21))</f>
        <v>0.705033164260632</v>
      </c>
      <c r="Z21" s="13">
        <f>(1/J21)/((1/J21)+(1/K21))</f>
        <v>0.725752508361204</v>
      </c>
      <c r="AA21" s="14">
        <f>1/R21+1/S21-1</f>
        <v>0.043142043142043285</v>
      </c>
      <c r="AB21" s="15">
        <f>O21-I21</f>
        <v>1.0</v>
      </c>
      <c r="AC21" s="15">
        <f>IF(G21="","",G21-O21)</f>
        <v>0.0</v>
      </c>
      <c r="AD21" s="15">
        <f>H21-V21</f>
        <v>0.0</v>
      </c>
      <c r="AE21" s="16">
        <f>IF(F21&gt;E21,1,0)</f>
        <v>1</v>
      </c>
      <c r="AF21" s="16">
        <f>F21+E21</f>
        <v>228</v>
      </c>
      <c r="AG21" s="16">
        <f>IF(Y21=0.5,"",IF((Y21&gt;0.5)=(AE21=1),1,0))</f>
        <v>1</v>
      </c>
      <c r="AH21" s="16">
        <f>IF(Z21=0.5,"",IF((Z21&gt;0.5)=(AE21=1),1,0))</f>
        <v>1</v>
      </c>
      <c r="AI21" s="17" t="str">
        <f>IF(AF21&gt;V21,"Üst",IF(AF21&lt;V21,"Alt","Push"))</f>
        <v>Üst</v>
      </c>
    </row>
    <row r="22" spans="1:35">
      <c r="A22" s="7">
        <v>46087</v>
      </c>
      <c r="B22" s="8" t="s">
        <v>117</v>
      </c>
      <c r="C22" s="8" t="s">
        <v>56</v>
      </c>
      <c r="D22" s="8" t="s">
        <v>91</v>
      </c>
      <c r="E22" s="9">
        <v>117</v>
      </c>
      <c r="F22" s="9">
        <v>128</v>
      </c>
      <c r="G22" s="10">
        <v>-8.5</v>
      </c>
      <c r="H22" s="11">
        <v>235.5</v>
      </c>
      <c r="I22" s="10">
        <v>-10.5</v>
      </c>
      <c r="J22" s="12">
        <v>1.206185567010309</v>
      </c>
      <c r="K22" s="12">
        <v>4.7</v>
      </c>
      <c r="L22" s="11">
        <v>235.5</v>
      </c>
      <c r="M22" s="12">
        <v>1.909090909090909</v>
      </c>
      <c r="N22" s="12">
        <v>1.909090909090909</v>
      </c>
      <c r="O22" s="10">
        <v>-9.5</v>
      </c>
      <c r="P22" s="12">
        <v>1.980392156862745</v>
      </c>
      <c r="Q22" s="12">
        <v>1.847457627118644</v>
      </c>
      <c r="R22" s="12">
        <v>1.24390243902439</v>
      </c>
      <c r="S22" s="12">
        <v>4.2</v>
      </c>
      <c r="T22" s="8" t="s">
        <v>118</v>
      </c>
      <c r="U22" s="8" t="s">
        <v>119</v>
      </c>
      <c r="V22" s="11">
        <v>235.5</v>
      </c>
      <c r="W22" s="12">
        <v>1.925925925925926</v>
      </c>
      <c r="X22" s="12">
        <v>1.892857142857143</v>
      </c>
      <c r="Y22" s="13">
        <f>(1/R22)/((1/R22)+(1/S22))</f>
        <v>0.771505376344086</v>
      </c>
      <c r="Z22" s="13">
        <f>(1/J22)/((1/J22)+(1/K22))</f>
        <v>0.7957758771164253</v>
      </c>
      <c r="AA22" s="14">
        <f>1/R22+1/S22-1</f>
        <v>0.04201680672268915</v>
      </c>
      <c r="AB22" s="15">
        <f>O22-I22</f>
        <v>1.0</v>
      </c>
      <c r="AC22" s="15">
        <f>IF(G22="","",G22-O22)</f>
        <v>1.0</v>
      </c>
      <c r="AD22" s="15">
        <f>H22-V22</f>
        <v>0.0</v>
      </c>
      <c r="AE22" s="16">
        <f>IF(F22&gt;E22,1,0)</f>
        <v>1</v>
      </c>
      <c r="AF22" s="16">
        <f>F22+E22</f>
        <v>245</v>
      </c>
      <c r="AG22" s="16">
        <f>IF(Y22=0.5,"",IF((Y22&gt;0.5)=(AE22=1),1,0))</f>
        <v>1</v>
      </c>
      <c r="AH22" s="16">
        <f>IF(Z22=0.5,"",IF((Z22&gt;0.5)=(AE22=1),1,0))</f>
        <v>1</v>
      </c>
      <c r="AI22" s="17" t="str">
        <f>IF(AF22&gt;V22,"Üst",IF(AF22&lt;V22,"Alt","Push"))</f>
        <v>Üst</v>
      </c>
    </row>
    <row r="23" spans="1:35">
      <c r="A23" s="7">
        <v>46088</v>
      </c>
      <c r="B23" s="8" t="s">
        <v>120</v>
      </c>
      <c r="C23" s="8" t="s">
        <v>62</v>
      </c>
      <c r="D23" s="8" t="s">
        <v>77</v>
      </c>
      <c r="E23" s="9">
        <v>119</v>
      </c>
      <c r="F23" s="9">
        <v>92</v>
      </c>
      <c r="G23" s="10">
        <v>-6.5</v>
      </c>
      <c r="H23" s="11">
        <v>224.5</v>
      </c>
      <c r="I23" s="10">
        <v>-7.5</v>
      </c>
      <c r="J23" s="12">
        <v>1.335570469798658</v>
      </c>
      <c r="K23" s="12">
        <v>3.4</v>
      </c>
      <c r="L23" s="11">
        <v>226.5</v>
      </c>
      <c r="M23" s="12">
        <v>1.909090909090909</v>
      </c>
      <c r="N23" s="12">
        <v>1.909090909090909</v>
      </c>
      <c r="O23" s="10">
        <v>-6.5</v>
      </c>
      <c r="P23" s="12">
        <v>1.869565217391304</v>
      </c>
      <c r="Q23" s="12">
        <v>1.952380952380952</v>
      </c>
      <c r="R23" s="12">
        <v>1.377358490566038</v>
      </c>
      <c r="S23" s="12">
        <v>3.15</v>
      </c>
      <c r="T23" s="8" t="s">
        <v>99</v>
      </c>
      <c r="U23" s="8" t="s">
        <v>98</v>
      </c>
      <c r="V23" s="11">
        <v>224.5</v>
      </c>
      <c r="W23" s="12">
        <v>1.909090909090909</v>
      </c>
      <c r="X23" s="12">
        <v>1.909090909090909</v>
      </c>
      <c r="Y23" s="13">
        <f>(1/R23)/((1/R23)+(1/S23))</f>
        <v>0.6957699520733487</v>
      </c>
      <c r="Z23" s="13">
        <f>(1/J23)/((1/J23)+(1/K23))</f>
        <v>0.7179705215419501</v>
      </c>
      <c r="AA23" s="14">
        <f>1/R23+1/S23-1</f>
        <v>0.04348771472059143</v>
      </c>
      <c r="AB23" s="15">
        <f>O23-I23</f>
        <v>1.0</v>
      </c>
      <c r="AC23" s="15">
        <f>IF(G23="","",G23-O23)</f>
        <v>0.0</v>
      </c>
      <c r="AD23" s="15">
        <f>H23-V23</f>
        <v>0.0</v>
      </c>
      <c r="AE23" s="16">
        <f>IF(F23&gt;E23,1,0)</f>
        <v>0</v>
      </c>
      <c r="AF23" s="16">
        <f>F23+E23</f>
        <v>211</v>
      </c>
      <c r="AG23" s="16">
        <f>IF(Y23=0.5,"",IF((Y23&gt;0.5)=(AE23=1),1,0))</f>
        <v>0</v>
      </c>
      <c r="AH23" s="16">
        <f>IF(Z23=0.5,"",IF((Z23&gt;0.5)=(AE23=1),1,0))</f>
        <v>0</v>
      </c>
      <c r="AI23" s="17" t="str">
        <f>IF(AF23&gt;V23,"Üst",IF(AF23&lt;V23,"Alt","Push"))</f>
        <v>Alt</v>
      </c>
    </row>
    <row r="24" spans="1:35">
      <c r="A24" s="7">
        <v>46088</v>
      </c>
      <c r="B24" s="8" t="s">
        <v>121</v>
      </c>
      <c r="C24" s="8" t="s">
        <v>68</v>
      </c>
      <c r="D24" s="8" t="s">
        <v>81</v>
      </c>
      <c r="E24" s="9">
        <v>107</v>
      </c>
      <c r="F24" s="9">
        <v>105</v>
      </c>
      <c r="G24" s="10">
        <v>-13.5</v>
      </c>
      <c r="H24" s="11">
        <v>215.5</v>
      </c>
      <c r="I24" s="10">
        <v>-13.5</v>
      </c>
      <c r="J24" s="12">
        <v>1.133333333333333</v>
      </c>
      <c r="K24" s="12">
        <v>6.25</v>
      </c>
      <c r="L24" s="11">
        <v>214.5</v>
      </c>
      <c r="M24" s="12">
        <v>1.909090909090909</v>
      </c>
      <c r="N24" s="12">
        <v>1.909090909090909</v>
      </c>
      <c r="O24" s="10">
        <v>-13.5</v>
      </c>
      <c r="P24" s="12">
        <v>1.909090909090909</v>
      </c>
      <c r="Q24" s="12">
        <v>1.909090909090909</v>
      </c>
      <c r="R24" s="12">
        <v>1.125</v>
      </c>
      <c r="S24" s="12">
        <v>6.5</v>
      </c>
      <c r="T24" s="8" t="s">
        <v>70</v>
      </c>
      <c r="U24" s="8" t="s">
        <v>71</v>
      </c>
      <c r="V24" s="11">
        <v>214.5</v>
      </c>
      <c r="W24" s="12">
        <v>1.909090909090909</v>
      </c>
      <c r="X24" s="12">
        <v>1.909090909090909</v>
      </c>
      <c r="Y24" s="13">
        <f>(1/R24)/((1/R24)+(1/S24))</f>
        <v>0.8524590163934427</v>
      </c>
      <c r="Z24" s="13">
        <f>(1/J24)/((1/J24)+(1/K24))</f>
        <v>0.8465011286681716</v>
      </c>
      <c r="AA24" s="14">
        <f>1/R24+1/S24-1</f>
        <v>0.04273504273504258</v>
      </c>
      <c r="AB24" s="15">
        <f>O24-I24</f>
        <v>0.0</v>
      </c>
      <c r="AC24" s="15">
        <f>IF(G24="","",G24-O24)</f>
        <v>0.0</v>
      </c>
      <c r="AD24" s="15">
        <f>H24-V24</f>
        <v>1.0</v>
      </c>
      <c r="AE24" s="16">
        <f>IF(F24&gt;E24,1,0)</f>
        <v>0</v>
      </c>
      <c r="AF24" s="16">
        <f>F24+E24</f>
        <v>212</v>
      </c>
      <c r="AG24" s="16">
        <f>IF(Y24=0.5,"",IF((Y24&gt;0.5)=(AE24=1),1,0))</f>
        <v>0</v>
      </c>
      <c r="AH24" s="16">
        <f>IF(Z24=0.5,"",IF((Z24&gt;0.5)=(AE24=1),1,0))</f>
        <v>0</v>
      </c>
      <c r="AI24" s="17" t="str">
        <f>IF(AF24&gt;V24,"Üst",IF(AF24&lt;V24,"Alt","Push"))</f>
        <v>Alt</v>
      </c>
    </row>
    <row r="25" spans="1:35">
      <c r="A25" s="7">
        <v>46088</v>
      </c>
      <c r="B25" s="8" t="s">
        <v>122</v>
      </c>
      <c r="C25" s="8" t="s">
        <v>42</v>
      </c>
      <c r="D25" s="8" t="s">
        <v>51</v>
      </c>
      <c r="E25" s="9">
        <v>116</v>
      </c>
      <c r="F25" s="9">
        <v>125</v>
      </c>
      <c r="G25" s="10">
        <v>-6.5</v>
      </c>
      <c r="H25" s="11">
        <v>234.5</v>
      </c>
      <c r="I25" s="10">
        <v>-4.5</v>
      </c>
      <c r="J25" s="12">
        <v>1.540540540540541</v>
      </c>
      <c r="K25" s="12">
        <v>2.54</v>
      </c>
      <c r="L25" s="11">
        <v>232.5</v>
      </c>
      <c r="M25" s="12">
        <v>1.909090909090909</v>
      </c>
      <c r="N25" s="12">
        <v>1.909090909090909</v>
      </c>
      <c r="O25" s="10">
        <v>-6.5</v>
      </c>
      <c r="P25" s="12">
        <v>1.892857142857143</v>
      </c>
      <c r="Q25" s="12">
        <v>1.925925925925926</v>
      </c>
      <c r="R25" s="12">
        <v>1.359712230215827</v>
      </c>
      <c r="S25" s="12">
        <v>3.25</v>
      </c>
      <c r="T25" s="8" t="s">
        <v>115</v>
      </c>
      <c r="U25" s="8" t="s">
        <v>116</v>
      </c>
      <c r="V25" s="11">
        <v>234.5</v>
      </c>
      <c r="W25" s="12">
        <v>1.952380952380952</v>
      </c>
      <c r="X25" s="12">
        <v>1.869565217391304</v>
      </c>
      <c r="Y25" s="13">
        <f>(1/R25)/((1/R25)+(1/S25))</f>
        <v>0.705033164260632</v>
      </c>
      <c r="Z25" s="13">
        <f>(1/J25)/((1/J25)+(1/K25))</f>
        <v>0.6224665518611737</v>
      </c>
      <c r="AA25" s="14">
        <f>1/R25+1/S25-1</f>
        <v>0.043142043142043285</v>
      </c>
      <c r="AB25" s="15">
        <f>O25-I25</f>
        <v>-2.0</v>
      </c>
      <c r="AC25" s="15">
        <f>IF(G25="","",G25-O25)</f>
        <v>0.0</v>
      </c>
      <c r="AD25" s="15">
        <f>H25-V25</f>
        <v>0.0</v>
      </c>
      <c r="AE25" s="16">
        <f>IF(F25&gt;E25,1,0)</f>
        <v>1</v>
      </c>
      <c r="AF25" s="16">
        <f>F25+E25</f>
        <v>241</v>
      </c>
      <c r="AG25" s="16">
        <f>IF(Y25=0.5,"",IF((Y25&gt;0.5)=(AE25=1),1,0))</f>
        <v>1</v>
      </c>
      <c r="AH25" s="16">
        <f>IF(Z25=0.5,"",IF((Z25&gt;0.5)=(AE25=1),1,0))</f>
        <v>1</v>
      </c>
      <c r="AI25" s="17" t="str">
        <f>IF(AF25&gt;V25,"Üst",IF(AF25&lt;V25,"Alt","Push"))</f>
        <v>Üst</v>
      </c>
    </row>
    <row r="26" spans="1:35">
      <c r="A26" s="7">
        <v>46088</v>
      </c>
      <c r="B26" s="8" t="s">
        <v>123</v>
      </c>
      <c r="C26" s="8" t="s">
        <v>57</v>
      </c>
      <c r="D26" s="8" t="s">
        <v>47</v>
      </c>
      <c r="E26" s="9">
        <v>123</v>
      </c>
      <c r="F26" s="9">
        <v>120</v>
      </c>
      <c r="G26" s="10">
        <v>7.5</v>
      </c>
      <c r="H26" s="11">
        <v>229.5</v>
      </c>
      <c r="I26" s="10">
        <v>6.5</v>
      </c>
      <c r="J26" s="12">
        <v>3.25</v>
      </c>
      <c r="K26" s="12">
        <v>1.359712230215827</v>
      </c>
      <c r="L26" s="11">
        <v>227.5</v>
      </c>
      <c r="M26" s="12">
        <v>1.952380952380952</v>
      </c>
      <c r="N26" s="12">
        <v>1.869565217391304</v>
      </c>
      <c r="O26" s="10">
        <v>7.5</v>
      </c>
      <c r="P26" s="12">
        <v>1.925925925925926</v>
      </c>
      <c r="Q26" s="12">
        <v>1.892857142857143</v>
      </c>
      <c r="R26" s="12">
        <v>3.45</v>
      </c>
      <c r="S26" s="12">
        <v>1.327868852459016</v>
      </c>
      <c r="T26" s="8" t="s">
        <v>124</v>
      </c>
      <c r="U26" s="8" t="s">
        <v>125</v>
      </c>
      <c r="V26" s="11">
        <v>229.5</v>
      </c>
      <c r="W26" s="12">
        <v>1.925925925925926</v>
      </c>
      <c r="X26" s="12">
        <v>1.892857142857143</v>
      </c>
      <c r="Y26" s="13">
        <f>(1/R26)/((1/R26)+(1/S26))</f>
        <v>0.27792074112197634</v>
      </c>
      <c r="Z26" s="13">
        <f>(1/J26)/((1/J26)+(1/K26))</f>
        <v>0.2949668357393679</v>
      </c>
      <c r="AA26" s="14">
        <f>1/R26+1/S26-1</f>
        <v>0.042941492216854504</v>
      </c>
      <c r="AB26" s="15">
        <f>O26-I26</f>
        <v>1.0</v>
      </c>
      <c r="AC26" s="15">
        <f>IF(G26="","",G26-O26)</f>
        <v>0.0</v>
      </c>
      <c r="AD26" s="15">
        <f>H26-V26</f>
        <v>0.0</v>
      </c>
      <c r="AE26" s="16">
        <f>IF(F26&gt;E26,1,0)</f>
        <v>0</v>
      </c>
      <c r="AF26" s="16">
        <f>F26+E26</f>
        <v>243</v>
      </c>
      <c r="AG26" s="16">
        <f>IF(Y26=0.5,"",IF((Y26&gt;0.5)=(AE26=1),1,0))</f>
        <v>1</v>
      </c>
      <c r="AH26" s="16">
        <f>IF(Z26=0.5,"",IF((Z26&gt;0.5)=(AE26=1),1,0))</f>
        <v>1</v>
      </c>
      <c r="AI26" s="17" t="str">
        <f>IF(AF26&gt;V26,"Üst",IF(AF26&lt;V26,"Alt","Push"))</f>
        <v>Üst</v>
      </c>
    </row>
    <row r="27" spans="1:35">
      <c r="A27" s="7">
        <v>46088</v>
      </c>
      <c r="B27" s="8" t="s">
        <v>126</v>
      </c>
      <c r="C27" s="8" t="s">
        <v>41</v>
      </c>
      <c r="D27" s="8" t="s">
        <v>52</v>
      </c>
      <c r="E27" s="9">
        <v>99</v>
      </c>
      <c r="F27" s="9">
        <v>113</v>
      </c>
      <c r="G27" s="10">
        <v>-9.5</v>
      </c>
      <c r="H27" s="11">
        <v>230.5</v>
      </c>
      <c r="I27" s="10">
        <v>-9.5</v>
      </c>
      <c r="J27" s="12">
        <v>1.206185567010309</v>
      </c>
      <c r="K27" s="12">
        <v>4.7</v>
      </c>
      <c r="L27" s="11">
        <v>234.5</v>
      </c>
      <c r="M27" s="12">
        <v>1.909090909090909</v>
      </c>
      <c r="N27" s="12">
        <v>1.909090909090909</v>
      </c>
      <c r="O27" s="10">
        <v>-9.5</v>
      </c>
      <c r="P27" s="12">
        <v>1.952380952380952</v>
      </c>
      <c r="Q27" s="12">
        <v>1.869565217391304</v>
      </c>
      <c r="R27" s="12">
        <v>1.227272727272727</v>
      </c>
      <c r="S27" s="12">
        <v>4.4</v>
      </c>
      <c r="T27" s="8" t="s">
        <v>127</v>
      </c>
      <c r="U27" s="8" t="s">
        <v>128</v>
      </c>
      <c r="V27" s="11">
        <v>230.5</v>
      </c>
      <c r="W27" s="12">
        <v>1.892857142857143</v>
      </c>
      <c r="X27" s="12">
        <v>1.925925925925926</v>
      </c>
      <c r="Y27" s="13">
        <f>(1/R27)/((1/R27)+(1/S27))</f>
        <v>0.7819063004846527</v>
      </c>
      <c r="Z27" s="13">
        <f>(1/J27)/((1/J27)+(1/K27))</f>
        <v>0.7957758771164253</v>
      </c>
      <c r="AA27" s="14">
        <f>1/R27+1/S27-1</f>
        <v>0.04208754208754195</v>
      </c>
      <c r="AB27" s="15">
        <f>O27-I27</f>
        <v>0.0</v>
      </c>
      <c r="AC27" s="15">
        <f>IF(G27="","",G27-O27)</f>
        <v>0.0</v>
      </c>
      <c r="AD27" s="15">
        <f>H27-V27</f>
        <v>0.0</v>
      </c>
      <c r="AE27" s="16">
        <f>IF(F27&gt;E27,1,0)</f>
        <v>1</v>
      </c>
      <c r="AF27" s="16">
        <f>F27+E27</f>
        <v>212</v>
      </c>
      <c r="AG27" s="16">
        <f>IF(Y27=0.5,"",IF((Y27&gt;0.5)=(AE27=1),1,0))</f>
        <v>1</v>
      </c>
      <c r="AH27" s="16">
        <f>IF(Z27=0.5,"",IF((Z27&gt;0.5)=(AE27=1),1,0))</f>
        <v>1</v>
      </c>
      <c r="AI27" s="17" t="str">
        <f>IF(AF27&gt;V27,"Üst",IF(AF27&lt;V27,"Alt","Push"))</f>
        <v>Alt</v>
      </c>
    </row>
    <row r="28" spans="1:35">
      <c r="A28" s="7">
        <v>46088</v>
      </c>
      <c r="B28" s="8" t="s">
        <v>129</v>
      </c>
      <c r="C28" s="8" t="s">
        <v>73</v>
      </c>
      <c r="D28" s="8" t="s">
        <v>130</v>
      </c>
      <c r="E28" s="9">
        <v>97</v>
      </c>
      <c r="F28" s="9">
        <v>104</v>
      </c>
      <c r="G28" s="10">
        <v>-12.5</v>
      </c>
      <c r="H28" s="11">
        <v>220.5</v>
      </c>
      <c r="I28" s="10">
        <v>-15.5</v>
      </c>
      <c r="J28" s="12">
        <v>1.125</v>
      </c>
      <c r="K28" s="12">
        <v>6.5</v>
      </c>
      <c r="L28" s="11">
        <v>219.5</v>
      </c>
      <c r="M28" s="12">
        <v>1.909090909090909</v>
      </c>
      <c r="N28" s="12">
        <v>1.909090909090909</v>
      </c>
      <c r="O28" s="10">
        <v>-11.5</v>
      </c>
      <c r="P28" s="12">
        <v>1.869565217391304</v>
      </c>
      <c r="Q28" s="12">
        <v>1.952380952380952</v>
      </c>
      <c r="R28" s="12">
        <v>1.16</v>
      </c>
      <c r="S28" s="12">
        <v>5.55</v>
      </c>
      <c r="T28" s="8" t="s">
        <v>131</v>
      </c>
      <c r="U28" s="8" t="s">
        <v>132</v>
      </c>
      <c r="V28" s="11">
        <v>219.5</v>
      </c>
      <c r="W28" s="12">
        <v>1.892857142857143</v>
      </c>
      <c r="X28" s="12">
        <v>1.925925925925926</v>
      </c>
      <c r="Y28" s="13">
        <f>(1/R28)/((1/R28)+(1/S28))</f>
        <v>0.827123695976155</v>
      </c>
      <c r="Z28" s="13">
        <f>(1/J28)/((1/J28)+(1/K28))</f>
        <v>0.8524590163934427</v>
      </c>
      <c r="AA28" s="14">
        <f>1/R28+1/S28-1</f>
        <v>0.042249145697421664</v>
      </c>
      <c r="AB28" s="15">
        <f>O28-I28</f>
        <v>4.0</v>
      </c>
      <c r="AC28" s="15">
        <f>IF(G28="","",G28-O28)</f>
        <v>-1.0</v>
      </c>
      <c r="AD28" s="15">
        <f>H28-V28</f>
        <v>1.0</v>
      </c>
      <c r="AE28" s="16">
        <f>IF(F28&gt;E28,1,0)</f>
        <v>1</v>
      </c>
      <c r="AF28" s="16">
        <f>F28+E28</f>
        <v>201</v>
      </c>
      <c r="AG28" s="16">
        <f>IF(Y28=0.5,"",IF((Y28&gt;0.5)=(AE28=1),1,0))</f>
        <v>1</v>
      </c>
      <c r="AH28" s="16">
        <f>IF(Z28=0.5,"",IF((Z28&gt;0.5)=(AE28=1),1,0))</f>
        <v>1</v>
      </c>
      <c r="AI28" s="17" t="str">
        <f>IF(AF28&gt;V28,"Üst",IF(AF28&lt;V28,"Alt","Push"))</f>
        <v>Alt</v>
      </c>
    </row>
    <row r="29" spans="1:35">
      <c r="A29" s="7">
        <v>46089</v>
      </c>
      <c r="B29" s="8" t="s">
        <v>133</v>
      </c>
      <c r="C29" s="8" t="s">
        <v>101</v>
      </c>
      <c r="D29" s="8" t="s">
        <v>134</v>
      </c>
      <c r="E29" s="9">
        <v>109</v>
      </c>
      <c r="F29" s="9">
        <v>98</v>
      </c>
      <c r="G29" s="10">
        <v>-1.5</v>
      </c>
      <c r="H29" s="11">
        <v>224.5</v>
      </c>
      <c r="I29" s="10">
        <v>1.5</v>
      </c>
      <c r="J29" s="12">
        <v>1.909090909090909</v>
      </c>
      <c r="K29" s="12">
        <v>1.909090909090909</v>
      </c>
      <c r="L29" s="11">
        <v>225.5</v>
      </c>
      <c r="M29" s="12">
        <v>1.909090909090909</v>
      </c>
      <c r="N29" s="12">
        <v>1.909090909090909</v>
      </c>
      <c r="O29" s="10">
        <v>-1.5</v>
      </c>
      <c r="P29" s="12">
        <v>1.925925925925926</v>
      </c>
      <c r="Q29" s="12">
        <v>1.892857142857143</v>
      </c>
      <c r="R29" s="12">
        <v>1.833333333333333</v>
      </c>
      <c r="S29" s="12">
        <v>2</v>
      </c>
      <c r="T29" s="8" t="s">
        <v>135</v>
      </c>
      <c r="U29" s="8" t="s">
        <v>136</v>
      </c>
      <c r="V29" s="11">
        <v>224.5</v>
      </c>
      <c r="W29" s="12">
        <v>1.952380952380952</v>
      </c>
      <c r="X29" s="12">
        <v>1.869565217391304</v>
      </c>
      <c r="Y29" s="13">
        <f>(1/R29)/((1/R29)+(1/S29))</f>
        <v>0.5217391304347826</v>
      </c>
      <c r="Z29" s="13">
        <f>(1/J29)/((1/J29)+(1/K29))</f>
        <v>0.5</v>
      </c>
      <c r="AA29" s="14">
        <f>1/R29+1/S29-1</f>
        <v>0.045454545454545414</v>
      </c>
      <c r="AB29" s="15">
        <f>O29-I29</f>
        <v>-3.0</v>
      </c>
      <c r="AC29" s="15">
        <f>IF(G29="","",G29-O29)</f>
        <v>0.0</v>
      </c>
      <c r="AD29" s="15">
        <f>H29-V29</f>
        <v>0.0</v>
      </c>
      <c r="AE29" s="16">
        <f>IF(F29&gt;E29,1,0)</f>
        <v>0</v>
      </c>
      <c r="AF29" s="16">
        <f>F29+E29</f>
        <v>207</v>
      </c>
      <c r="AG29" s="16">
        <f>IF(Y29=0.5,"",IF((Y29&gt;0.5)=(AE29=1),1,0))</f>
        <v>0</v>
      </c>
      <c r="AH29" s="16">
        <f>IF(Z29=0.5,"",IF((Z29&gt;0.5)=(AE29=1),1,0))</f>
        <v/>
      </c>
      <c r="AI29" s="17" t="str">
        <f>IF(AF29&gt;V29,"Üst",IF(AF29&lt;V29,"Alt","Push"))</f>
        <v>Alt</v>
      </c>
    </row>
    <row r="30" spans="1:35">
      <c r="A30" s="7">
        <v>46089</v>
      </c>
      <c r="B30" s="8" t="s">
        <v>137</v>
      </c>
      <c r="C30" s="8" t="s">
        <v>110</v>
      </c>
      <c r="D30" s="8" t="s">
        <v>91</v>
      </c>
      <c r="E30" s="9">
        <v>97</v>
      </c>
      <c r="F30" s="9">
        <v>110</v>
      </c>
      <c r="G30" s="10">
        <v>5.5</v>
      </c>
      <c r="H30" s="11">
        <v>226.5</v>
      </c>
      <c r="I30" s="10">
        <v>3.5</v>
      </c>
      <c r="J30" s="12">
        <v>2.4</v>
      </c>
      <c r="K30" s="12">
        <v>1.602409638554217</v>
      </c>
      <c r="L30" s="11">
        <v>228.5</v>
      </c>
      <c r="M30" s="12">
        <v>1.909090909090909</v>
      </c>
      <c r="N30" s="12">
        <v>1.909090909090909</v>
      </c>
      <c r="O30" s="10">
        <v>5.5</v>
      </c>
      <c r="P30" s="12">
        <v>1.892857142857143</v>
      </c>
      <c r="Q30" s="12">
        <v>1.925925925925926</v>
      </c>
      <c r="R30" s="12">
        <v>2.64</v>
      </c>
      <c r="S30" s="12">
        <v>1.505050505050505</v>
      </c>
      <c r="T30" s="8" t="s">
        <v>138</v>
      </c>
      <c r="U30" s="8" t="s">
        <v>139</v>
      </c>
      <c r="V30" s="11">
        <v>226.5</v>
      </c>
      <c r="W30" s="12">
        <v>1.925925925925926</v>
      </c>
      <c r="X30" s="12">
        <v>1.892857142857143</v>
      </c>
      <c r="Y30" s="13">
        <f>(1/R30)/((1/R30)+(1/S30))</f>
        <v>0.36309581830587784</v>
      </c>
      <c r="Z30" s="13">
        <f>(1/J30)/((1/J30)+(1/K30))</f>
        <v>0.4003612281757977</v>
      </c>
      <c r="AA30" s="14">
        <f>1/R30+1/S30-1</f>
        <v>0.043217408989220996</v>
      </c>
      <c r="AB30" s="15">
        <f>O30-I30</f>
        <v>2.0</v>
      </c>
      <c r="AC30" s="15">
        <f>IF(G30="","",G30-O30)</f>
        <v>0.0</v>
      </c>
      <c r="AD30" s="15">
        <f>H30-V30</f>
        <v>0.0</v>
      </c>
      <c r="AE30" s="16">
        <f>IF(F30&gt;E30,1,0)</f>
        <v>1</v>
      </c>
      <c r="AF30" s="16">
        <f>F30+E30</f>
        <v>207</v>
      </c>
      <c r="AG30" s="16">
        <f>IF(Y30=0.5,"",IF((Y30&gt;0.5)=(AE30=1),1,0))</f>
        <v>0</v>
      </c>
      <c r="AH30" s="16">
        <f>IF(Z30=0.5,"",IF((Z30&gt;0.5)=(AE30=1),1,0))</f>
        <v>0</v>
      </c>
      <c r="AI30" s="17" t="str">
        <f>IF(AF30&gt;V30,"Üst",IF(AF30&lt;V30,"Alt","Push"))</f>
        <v>Alt</v>
      </c>
    </row>
    <row r="31" spans="1:35">
      <c r="A31" s="7">
        <v>46089</v>
      </c>
      <c r="B31" s="8" t="s">
        <v>140</v>
      </c>
      <c r="C31" s="8" t="s">
        <v>81</v>
      </c>
      <c r="D31" s="8" t="s">
        <v>69</v>
      </c>
      <c r="E31" s="9">
        <v>110</v>
      </c>
      <c r="F31" s="9">
        <v>121</v>
      </c>
      <c r="G31" s="10">
        <v>1.5</v>
      </c>
      <c r="H31" s="11">
        <v>231.5</v>
      </c>
      <c r="I31" s="10">
        <v>1.5</v>
      </c>
      <c r="J31" s="12">
        <v>2.05</v>
      </c>
      <c r="K31" s="12">
        <v>1.8</v>
      </c>
      <c r="L31" s="11">
        <v>228.5</v>
      </c>
      <c r="M31" s="12">
        <v>1.909090909090909</v>
      </c>
      <c r="N31" s="12">
        <v>1.909090909090909</v>
      </c>
      <c r="O31" s="10">
        <v>1.5</v>
      </c>
      <c r="P31" s="12">
        <v>1.847457627118644</v>
      </c>
      <c r="Q31" s="12">
        <v>1.980392156862745</v>
      </c>
      <c r="R31" s="12">
        <v>1.952380952380952</v>
      </c>
      <c r="S31" s="12">
        <v>1.869565217391304</v>
      </c>
      <c r="T31" s="8" t="s">
        <v>54</v>
      </c>
      <c r="U31" s="8" t="s">
        <v>53</v>
      </c>
      <c r="V31" s="11">
        <v>230.5</v>
      </c>
      <c r="W31" s="12">
        <v>1.869565217391304</v>
      </c>
      <c r="X31" s="12">
        <v>1.952380952380952</v>
      </c>
      <c r="Y31" s="13">
        <f>(1/R31)/((1/R31)+(1/S31))</f>
        <v>0.4891657638136511</v>
      </c>
      <c r="Z31" s="13">
        <f>(1/J31)/((1/J31)+(1/K31))</f>
        <v>0.4675324675324676</v>
      </c>
      <c r="AA31" s="14">
        <f>1/R31+1/S31-1</f>
        <v>0.04707884288145214</v>
      </c>
      <c r="AB31" s="15">
        <f>O31-I31</f>
        <v>0.0</v>
      </c>
      <c r="AC31" s="15">
        <f>IF(G31="","",G31-O31)</f>
        <v>0.0</v>
      </c>
      <c r="AD31" s="15">
        <f>H31-V31</f>
        <v>1.0</v>
      </c>
      <c r="AE31" s="16">
        <f>IF(F31&gt;E31,1,0)</f>
        <v>1</v>
      </c>
      <c r="AF31" s="16">
        <f>F31+E31</f>
        <v>231</v>
      </c>
      <c r="AG31" s="16">
        <f>IF(Y31=0.5,"",IF((Y31&gt;0.5)=(AE31=1),1,0))</f>
        <v>0</v>
      </c>
      <c r="AH31" s="16">
        <f>IF(Z31=0.5,"",IF((Z31&gt;0.5)=(AE31=1),1,0))</f>
        <v>0</v>
      </c>
      <c r="AI31" s="17" t="str">
        <f>IF(AF31&gt;V31,"Üst",IF(AF31&lt;V31,"Alt","Push"))</f>
        <v>Üst</v>
      </c>
    </row>
    <row r="32" spans="1:35">
      <c r="A32" s="7">
        <v>46089</v>
      </c>
      <c r="B32" s="8" t="s">
        <v>141</v>
      </c>
      <c r="C32" s="8" t="s">
        <v>61</v>
      </c>
      <c r="D32" s="8" t="s">
        <v>76</v>
      </c>
      <c r="E32" s="9">
        <v>92</v>
      </c>
      <c r="F32" s="9">
        <v>122</v>
      </c>
      <c r="G32" s="10">
        <v>-9.5</v>
      </c>
      <c r="H32" s="11">
        <v>233.5</v>
      </c>
      <c r="I32" s="10">
        <v>-9.5</v>
      </c>
      <c r="J32" s="12">
        <v>1.24390243902439</v>
      </c>
      <c r="K32" s="12">
        <v>4.2</v>
      </c>
      <c r="L32" s="11">
        <v>227.5</v>
      </c>
      <c r="M32" s="12">
        <v>1.909090909090909</v>
      </c>
      <c r="N32" s="12">
        <v>1.909090909090909</v>
      </c>
      <c r="O32" s="10">
        <v>-9.5</v>
      </c>
      <c r="P32" s="12">
        <v>1.847457627118644</v>
      </c>
      <c r="Q32" s="12">
        <v>1.980392156862745</v>
      </c>
      <c r="R32" s="12">
        <v>1.253164556962025</v>
      </c>
      <c r="S32" s="12">
        <v>4.1</v>
      </c>
      <c r="T32" s="8" t="s">
        <v>49</v>
      </c>
      <c r="U32" s="8" t="s">
        <v>48</v>
      </c>
      <c r="V32" s="11">
        <v>233.5</v>
      </c>
      <c r="W32" s="12">
        <v>1.909090909090909</v>
      </c>
      <c r="X32" s="12">
        <v>1.909090909090909</v>
      </c>
      <c r="Y32" s="13">
        <f>(1/R32)/((1/R32)+(1/S32))</f>
        <v>0.7659021045164341</v>
      </c>
      <c r="Z32" s="13">
        <f>(1/J32)/((1/J32)+(1/K32))</f>
        <v>0.771505376344086</v>
      </c>
      <c r="AA32" s="14">
        <f>1/R32+1/S32-1</f>
        <v>0.04188223700418825</v>
      </c>
      <c r="AB32" s="15">
        <f>O32-I32</f>
        <v>0.0</v>
      </c>
      <c r="AC32" s="15">
        <f>IF(G32="","",G32-O32)</f>
        <v>0.0</v>
      </c>
      <c r="AD32" s="15">
        <f>H32-V32</f>
        <v>0.0</v>
      </c>
      <c r="AE32" s="16">
        <f>IF(F32&gt;E32,1,0)</f>
        <v>1</v>
      </c>
      <c r="AF32" s="16">
        <f>F32+E32</f>
        <v>214</v>
      </c>
      <c r="AG32" s="16">
        <f>IF(Y32=0.5,"",IF((Y32&gt;0.5)=(AE32=1),1,0))</f>
        <v>1</v>
      </c>
      <c r="AH32" s="16">
        <f>IF(Z32=0.5,"",IF((Z32&gt;0.5)=(AE32=1),1,0))</f>
        <v>1</v>
      </c>
      <c r="AI32" s="17" t="str">
        <f>IF(AF32&gt;V32,"Üst",IF(AF32&lt;V32,"Alt","Push"))</f>
        <v>Alt</v>
      </c>
    </row>
    <row r="33" spans="1:35">
      <c r="A33" s="7">
        <v>46089</v>
      </c>
      <c r="B33" s="8" t="s">
        <v>142</v>
      </c>
      <c r="C33" s="8" t="s">
        <v>64</v>
      </c>
      <c r="D33" s="8" t="s">
        <v>96</v>
      </c>
      <c r="E33" s="9">
        <v>118</v>
      </c>
      <c r="F33" s="9">
        <v>138</v>
      </c>
      <c r="G33" s="10">
        <v>-12.5</v>
      </c>
      <c r="H33" s="11">
        <v>244.5</v>
      </c>
      <c r="I33" s="10">
        <v>-8.5</v>
      </c>
      <c r="J33" s="12">
        <v>1.277777777777778</v>
      </c>
      <c r="K33" s="12">
        <v>3.85</v>
      </c>
      <c r="L33" s="11">
        <v>239.5</v>
      </c>
      <c r="M33" s="12">
        <v>1.909090909090909</v>
      </c>
      <c r="N33" s="12">
        <v>1.909090909090909</v>
      </c>
      <c r="O33" s="10">
        <v>-11.5</v>
      </c>
      <c r="P33" s="12">
        <v>1.892857142857143</v>
      </c>
      <c r="Q33" s="12">
        <v>1.925925925925926</v>
      </c>
      <c r="R33" s="12">
        <v>1.186915887850467</v>
      </c>
      <c r="S33" s="12">
        <v>5</v>
      </c>
      <c r="T33" s="8" t="s">
        <v>143</v>
      </c>
      <c r="U33" s="8" t="s">
        <v>144</v>
      </c>
      <c r="V33" s="11">
        <v>244.5</v>
      </c>
      <c r="W33" s="12">
        <v>1.909090909090909</v>
      </c>
      <c r="X33" s="12">
        <v>1.909090909090909</v>
      </c>
      <c r="Y33" s="13">
        <f>(1/R33)/((1/R33)+(1/S33))</f>
        <v>0.8081570996978852</v>
      </c>
      <c r="Z33" s="13">
        <f>(1/J33)/((1/J33)+(1/K33))</f>
        <v>0.7508125677139762</v>
      </c>
      <c r="AA33" s="14">
        <f>1/R33+1/S33-1</f>
        <v>0.04251968503937009</v>
      </c>
      <c r="AB33" s="15">
        <f>O33-I33</f>
        <v>-3.0</v>
      </c>
      <c r="AC33" s="15">
        <f>IF(G33="","",G33-O33)</f>
        <v>-1.0</v>
      </c>
      <c r="AD33" s="15">
        <f>H33-V33</f>
        <v>0.0</v>
      </c>
      <c r="AE33" s="16">
        <f>IF(F33&gt;E33,1,0)</f>
        <v>1</v>
      </c>
      <c r="AF33" s="16">
        <f>F33+E33</f>
        <v>256</v>
      </c>
      <c r="AG33" s="16">
        <f>IF(Y33=0.5,"",IF((Y33&gt;0.5)=(AE33=1),1,0))</f>
        <v>1</v>
      </c>
      <c r="AH33" s="16">
        <f>IF(Z33=0.5,"",IF((Z33&gt;0.5)=(AE33=1),1,0))</f>
        <v>1</v>
      </c>
      <c r="AI33" s="17" t="str">
        <f>IF(AF33&gt;V33,"Üst",IF(AF33&lt;V33,"Alt","Push"))</f>
        <v>Üst</v>
      </c>
    </row>
    <row r="34" spans="1:35">
      <c r="A34" s="7">
        <v>46089</v>
      </c>
      <c r="B34" s="8" t="s">
        <v>145</v>
      </c>
      <c r="C34" s="8" t="s">
        <v>62</v>
      </c>
      <c r="D34" s="8" t="s">
        <v>52</v>
      </c>
      <c r="E34" s="9">
        <v>130</v>
      </c>
      <c r="F34" s="9">
        <v>91</v>
      </c>
      <c r="G34" s="10">
        <v>6.5</v>
      </c>
      <c r="H34" s="11">
        <v>217.5</v>
      </c>
      <c r="I34" s="10">
        <v>1.5</v>
      </c>
      <c r="J34" s="12">
        <v>1.980392156862745</v>
      </c>
      <c r="K34" s="12">
        <v>1.847457627118644</v>
      </c>
      <c r="L34" s="11">
        <v>221.5</v>
      </c>
      <c r="M34" s="12">
        <v>1.909090909090909</v>
      </c>
      <c r="N34" s="12">
        <v>1.909090909090909</v>
      </c>
      <c r="O34" s="10">
        <v>6.5</v>
      </c>
      <c r="P34" s="12">
        <v>1.869565217391304</v>
      </c>
      <c r="Q34" s="12">
        <v>1.952380952380952</v>
      </c>
      <c r="R34" s="12">
        <v>2.85</v>
      </c>
      <c r="S34" s="12">
        <v>1.444444444444444</v>
      </c>
      <c r="T34" s="8" t="s">
        <v>146</v>
      </c>
      <c r="U34" s="8" t="s">
        <v>147</v>
      </c>
      <c r="V34" s="11">
        <v>216.5</v>
      </c>
      <c r="W34" s="12">
        <v>1.892857142857143</v>
      </c>
      <c r="X34" s="12">
        <v>1.925925925925926</v>
      </c>
      <c r="Y34" s="13">
        <f>(1/R34)/((1/R34)+(1/S34))</f>
        <v>0.33635187580853815</v>
      </c>
      <c r="Z34" s="13">
        <f>(1/J34)/((1/J34)+(1/K34))</f>
        <v>0.4826358742837298</v>
      </c>
      <c r="AA34" s="14">
        <f>1/R34+1/S34-1</f>
        <v>0.04318488529014841</v>
      </c>
      <c r="AB34" s="15">
        <f>O34-I34</f>
        <v>5.0</v>
      </c>
      <c r="AC34" s="15">
        <f>IF(G34="","",G34-O34)</f>
        <v>0.0</v>
      </c>
      <c r="AD34" s="15">
        <f>H34-V34</f>
        <v>1.0</v>
      </c>
      <c r="AE34" s="16">
        <f>IF(F34&gt;E34,1,0)</f>
        <v>0</v>
      </c>
      <c r="AF34" s="16">
        <f>F34+E34</f>
        <v>221</v>
      </c>
      <c r="AG34" s="16">
        <f>IF(Y34=0.5,"",IF((Y34&gt;0.5)=(AE34=1),1,0))</f>
        <v>1</v>
      </c>
      <c r="AH34" s="16">
        <f>IF(Z34=0.5,"",IF((Z34&gt;0.5)=(AE34=1),1,0))</f>
        <v>1</v>
      </c>
      <c r="AI34" s="17" t="str">
        <f>IF(AF34&gt;V34,"Üst",IF(AF34&lt;V34,"Alt","Push"))</f>
        <v>Üst</v>
      </c>
    </row>
    <row r="35" spans="1:35">
      <c r="A35" s="7">
        <v>46089</v>
      </c>
      <c r="B35" s="8" t="s">
        <v>148</v>
      </c>
      <c r="C35" s="8" t="s">
        <v>74</v>
      </c>
      <c r="D35" s="8" t="s">
        <v>82</v>
      </c>
      <c r="E35" s="9">
        <v>120</v>
      </c>
      <c r="F35" s="9">
        <v>145</v>
      </c>
      <c r="G35" s="10">
        <v>-6.5</v>
      </c>
      <c r="H35" s="11">
        <v>222.5</v>
      </c>
      <c r="I35" s="10">
        <v>-4.5</v>
      </c>
      <c r="J35" s="12">
        <v>1.555555555555556</v>
      </c>
      <c r="K35" s="12">
        <v>2.5</v>
      </c>
      <c r="L35" s="11">
        <v>223.5</v>
      </c>
      <c r="M35" s="12">
        <v>1.909090909090909</v>
      </c>
      <c r="N35" s="12">
        <v>1.909090909090909</v>
      </c>
      <c r="O35" s="10">
        <v>-5.5</v>
      </c>
      <c r="P35" s="12">
        <v>1.847457627118644</v>
      </c>
      <c r="Q35" s="12">
        <v>1.980392156862745</v>
      </c>
      <c r="R35" s="12">
        <v>1.434782608695652</v>
      </c>
      <c r="S35" s="12">
        <v>2.9</v>
      </c>
      <c r="T35" s="8" t="s">
        <v>149</v>
      </c>
      <c r="U35" s="8" t="s">
        <v>150</v>
      </c>
      <c r="V35" s="11">
        <v>223.5</v>
      </c>
      <c r="W35" s="12">
        <v>1.952380952380952</v>
      </c>
      <c r="X35" s="12">
        <v>1.869565217391304</v>
      </c>
      <c r="Y35" s="13">
        <f>(1/R35)/((1/R35)+(1/S35))</f>
        <v>0.6690070210631895</v>
      </c>
      <c r="Z35" s="13">
        <f>(1/J35)/((1/J35)+(1/K35))</f>
        <v>0.6164383561643836</v>
      </c>
      <c r="AA35" s="14">
        <f>1/R35+1/S35-1</f>
        <v>0.04179728317659359</v>
      </c>
      <c r="AB35" s="15">
        <f>O35-I35</f>
        <v>-1.0</v>
      </c>
      <c r="AC35" s="15">
        <f>IF(G35="","",G35-O35)</f>
        <v>-1.0</v>
      </c>
      <c r="AD35" s="15">
        <f>H35-V35</f>
        <v>-1.0</v>
      </c>
      <c r="AE35" s="16">
        <f>IF(F35&gt;E35,1,0)</f>
        <v>1</v>
      </c>
      <c r="AF35" s="16">
        <f>F35+E35</f>
        <v>265</v>
      </c>
      <c r="AG35" s="16">
        <f>IF(Y35=0.5,"",IF((Y35&gt;0.5)=(AE35=1),1,0))</f>
        <v>1</v>
      </c>
      <c r="AH35" s="16">
        <f>IF(Z35=0.5,"",IF((Z35&gt;0.5)=(AE35=1),1,0))</f>
        <v>1</v>
      </c>
      <c r="AI35" s="17" t="str">
        <f>IF(AF35&gt;V35,"Üst",IF(AF35&lt;V35,"Alt","Push"))</f>
        <v>Üst</v>
      </c>
    </row>
    <row r="36" spans="1:35">
      <c r="A36" s="7">
        <v>46089</v>
      </c>
      <c r="B36" s="8" t="s">
        <v>151</v>
      </c>
      <c r="C36" s="8" t="s">
        <v>105</v>
      </c>
      <c r="D36" s="8" t="s">
        <v>87</v>
      </c>
      <c r="E36" s="9">
        <v>99</v>
      </c>
      <c r="F36" s="9">
        <v>111</v>
      </c>
      <c r="G36" s="10">
        <v>4.5</v>
      </c>
      <c r="H36" s="11">
        <v>218.5</v>
      </c>
      <c r="I36" s="10">
        <v>3.5</v>
      </c>
      <c r="J36" s="12">
        <v>2.36</v>
      </c>
      <c r="K36" s="12">
        <v>1.617283950617284</v>
      </c>
      <c r="L36" s="11">
        <v>219.5</v>
      </c>
      <c r="M36" s="12">
        <v>1.909090909090909</v>
      </c>
      <c r="N36" s="12">
        <v>1.909090909090909</v>
      </c>
      <c r="O36" s="10">
        <v>4.5</v>
      </c>
      <c r="P36" s="12">
        <v>1.952380952380952</v>
      </c>
      <c r="Q36" s="12">
        <v>1.869565217391304</v>
      </c>
      <c r="R36" s="12">
        <v>2.7</v>
      </c>
      <c r="S36" s="12">
        <v>1.48780487804878</v>
      </c>
      <c r="T36" s="8" t="s">
        <v>152</v>
      </c>
      <c r="U36" s="8" t="s">
        <v>153</v>
      </c>
      <c r="V36" s="11">
        <v>218.5</v>
      </c>
      <c r="W36" s="12">
        <v>1.909090909090909</v>
      </c>
      <c r="X36" s="12">
        <v>1.909090909090909</v>
      </c>
      <c r="Y36" s="13">
        <f>(1/R36)/((1/R36)+(1/S36))</f>
        <v>0.35527082119976705</v>
      </c>
      <c r="Z36" s="13">
        <f>(1/J36)/((1/J36)+(1/K36))</f>
        <v>0.4066302458405761</v>
      </c>
      <c r="AA36" s="14">
        <f>1/R36+1/S36-1</f>
        <v>0.042501517911353925</v>
      </c>
      <c r="AB36" s="15">
        <f>O36-I36</f>
        <v>1.0</v>
      </c>
      <c r="AC36" s="15">
        <f>IF(G36="","",G36-O36)</f>
        <v>0.0</v>
      </c>
      <c r="AD36" s="15">
        <f>H36-V36</f>
        <v>0.0</v>
      </c>
      <c r="AE36" s="16">
        <f>IF(F36&gt;E36,1,0)</f>
        <v>1</v>
      </c>
      <c r="AF36" s="16">
        <f>F36+E36</f>
        <v>210</v>
      </c>
      <c r="AG36" s="16">
        <f>IF(Y36=0.5,"",IF((Y36&gt;0.5)=(AE36=1),1,0))</f>
        <v>0</v>
      </c>
      <c r="AH36" s="16">
        <f>IF(Z36=0.5,"",IF((Z36&gt;0.5)=(AE36=1),1,0))</f>
        <v>0</v>
      </c>
      <c r="AI36" s="17" t="str">
        <f>IF(AF36&gt;V36,"Üst",IF(AF36&lt;V36,"Alt","Push"))</f>
        <v>Alt</v>
      </c>
    </row>
    <row r="37" spans="1:35">
      <c r="A37" s="7">
        <v>46089</v>
      </c>
      <c r="B37" s="8" t="s">
        <v>154</v>
      </c>
      <c r="C37" s="8" t="s">
        <v>56</v>
      </c>
      <c r="D37" s="8" t="s">
        <v>46</v>
      </c>
      <c r="E37" s="9">
        <v>111</v>
      </c>
      <c r="F37" s="9">
        <v>131</v>
      </c>
      <c r="G37" s="10">
        <v>-9.5</v>
      </c>
      <c r="H37" s="11">
        <v>238.5</v>
      </c>
      <c r="I37" s="10">
        <v>-7.5</v>
      </c>
      <c r="J37" s="12">
        <v>1.32258064516129</v>
      </c>
      <c r="K37" s="12">
        <v>3.5</v>
      </c>
      <c r="L37" s="11">
        <v>236.5</v>
      </c>
      <c r="M37" s="12">
        <v>1.952380952380952</v>
      </c>
      <c r="N37" s="12">
        <v>1.869565217391304</v>
      </c>
      <c r="O37" s="10">
        <v>-9.5</v>
      </c>
      <c r="P37" s="12">
        <v>1.980392156862745</v>
      </c>
      <c r="Q37" s="12">
        <v>1.847457627118644</v>
      </c>
      <c r="R37" s="12">
        <v>1.24390243902439</v>
      </c>
      <c r="S37" s="12">
        <v>4.2</v>
      </c>
      <c r="T37" s="8" t="s">
        <v>118</v>
      </c>
      <c r="U37" s="8" t="s">
        <v>119</v>
      </c>
      <c r="V37" s="11">
        <v>238.5</v>
      </c>
      <c r="W37" s="12">
        <v>1.952380952380952</v>
      </c>
      <c r="X37" s="12">
        <v>1.869565217391304</v>
      </c>
      <c r="Y37" s="13">
        <f>(1/R37)/((1/R37)+(1/S37))</f>
        <v>0.771505376344086</v>
      </c>
      <c r="Z37" s="13">
        <f>(1/J37)/((1/J37)+(1/K37))</f>
        <v>0.725752508361204</v>
      </c>
      <c r="AA37" s="14">
        <f>1/R37+1/S37-1</f>
        <v>0.04201680672268915</v>
      </c>
      <c r="AB37" s="15">
        <f>O37-I37</f>
        <v>-2.0</v>
      </c>
      <c r="AC37" s="15">
        <f>IF(G37="","",G37-O37)</f>
        <v>0.0</v>
      </c>
      <c r="AD37" s="15">
        <f>H37-V37</f>
        <v>0.0</v>
      </c>
      <c r="AE37" s="16">
        <f>IF(F37&gt;E37,1,0)</f>
        <v>1</v>
      </c>
      <c r="AF37" s="16">
        <f>F37+E37</f>
        <v>242</v>
      </c>
      <c r="AG37" s="16">
        <f>IF(Y37=0.5,"",IF((Y37&gt;0.5)=(AE37=1),1,0))</f>
        <v>1</v>
      </c>
      <c r="AH37" s="16">
        <f>IF(Z37=0.5,"",IF((Z37&gt;0.5)=(AE37=1),1,0))</f>
        <v>1</v>
      </c>
      <c r="AI37" s="17" t="str">
        <f>IF(AF37&gt;V37,"Üst",IF(AF37&lt;V37,"Alt","Push"))</f>
        <v>Üst</v>
      </c>
    </row>
    <row r="38" spans="1:35">
      <c r="A38" s="7">
        <v>46089</v>
      </c>
      <c r="B38" s="8" t="s">
        <v>155</v>
      </c>
      <c r="C38" s="8" t="s">
        <v>86</v>
      </c>
      <c r="D38" s="8" t="s">
        <v>97</v>
      </c>
      <c r="E38" s="9">
        <v>110</v>
      </c>
      <c r="F38" s="9">
        <v>126</v>
      </c>
      <c r="G38" s="10">
        <v>4.5</v>
      </c>
      <c r="H38" s="11">
        <v>236.5</v>
      </c>
      <c r="I38" s="10">
        <v>3.5</v>
      </c>
      <c r="J38" s="12">
        <v>2.42</v>
      </c>
      <c r="K38" s="12">
        <v>1.588235294117647</v>
      </c>
      <c r="L38" s="11">
        <v>235.5</v>
      </c>
      <c r="M38" s="12">
        <v>1.909090909090909</v>
      </c>
      <c r="N38" s="12">
        <v>1.909090909090909</v>
      </c>
      <c r="O38" s="10">
        <v>4.5</v>
      </c>
      <c r="P38" s="12">
        <v>1.909090909090909</v>
      </c>
      <c r="Q38" s="12">
        <v>1.909090909090909</v>
      </c>
      <c r="R38" s="12">
        <v>2.7</v>
      </c>
      <c r="S38" s="12">
        <v>1.48780487804878</v>
      </c>
      <c r="T38" s="8" t="s">
        <v>152</v>
      </c>
      <c r="U38" s="8" t="s">
        <v>153</v>
      </c>
      <c r="V38" s="11">
        <v>236.5</v>
      </c>
      <c r="W38" s="12">
        <v>1.925925925925926</v>
      </c>
      <c r="X38" s="12">
        <v>1.892857142857143</v>
      </c>
      <c r="Y38" s="13">
        <f>(1/R38)/((1/R38)+(1/S38))</f>
        <v>0.35527082119976705</v>
      </c>
      <c r="Z38" s="13">
        <f>(1/J38)/((1/J38)+(1/K38))</f>
        <v>0.3962430290578222</v>
      </c>
      <c r="AA38" s="14">
        <f>1/R38+1/S38-1</f>
        <v>0.042501517911353925</v>
      </c>
      <c r="AB38" s="15">
        <f>O38-I38</f>
        <v>1.0</v>
      </c>
      <c r="AC38" s="15">
        <f>IF(G38="","",G38-O38)</f>
        <v>0.0</v>
      </c>
      <c r="AD38" s="15">
        <f>H38-V38</f>
        <v>0.0</v>
      </c>
      <c r="AE38" s="16">
        <f>IF(F38&gt;E38,1,0)</f>
        <v>1</v>
      </c>
      <c r="AF38" s="16">
        <f>F38+E38</f>
        <v>236</v>
      </c>
      <c r="AG38" s="16">
        <f>IF(Y38=0.5,"",IF((Y38&gt;0.5)=(AE38=1),1,0))</f>
        <v>0</v>
      </c>
      <c r="AH38" s="16">
        <f>IF(Z38=0.5,"",IF((Z38&gt;0.5)=(AE38=1),1,0))</f>
        <v>0</v>
      </c>
      <c r="AI38" s="17" t="str">
        <f>IF(AF38&gt;V38,"Üst",IF(AF38&lt;V38,"Alt","Push"))</f>
        <v>Alt</v>
      </c>
    </row>
    <row r="39" spans="1:35">
      <c r="A39" s="7">
        <v>46090</v>
      </c>
      <c r="B39" s="8" t="s">
        <v>156</v>
      </c>
      <c r="C39" s="8" t="s">
        <v>42</v>
      </c>
      <c r="D39" s="8" t="s">
        <v>134</v>
      </c>
      <c r="E39" s="9">
        <v>101</v>
      </c>
      <c r="F39" s="9">
        <v>115</v>
      </c>
      <c r="G39" s="10">
        <v>-14.5</v>
      </c>
      <c r="H39" s="11">
        <v>226.5</v>
      </c>
      <c r="I39" s="10">
        <v>-10.5</v>
      </c>
      <c r="J39" s="12">
        <v>1.206185567010309</v>
      </c>
      <c r="K39" s="12">
        <v>4.7</v>
      </c>
      <c r="L39" s="11">
        <v>225.5</v>
      </c>
      <c r="M39" s="12">
        <v>1.909090909090909</v>
      </c>
      <c r="N39" s="12">
        <v>1.909090909090909</v>
      </c>
      <c r="O39" s="10">
        <v>-14.5</v>
      </c>
      <c r="P39" s="12">
        <v>1.952380952380952</v>
      </c>
      <c r="Q39" s="12">
        <v>1.869565217391304</v>
      </c>
      <c r="R39" s="12">
        <v>1.117647058823529</v>
      </c>
      <c r="S39" s="12">
        <v>6.75</v>
      </c>
      <c r="T39" s="8" t="s">
        <v>157</v>
      </c>
      <c r="U39" s="8" t="s">
        <v>158</v>
      </c>
      <c r="V39" s="11">
        <v>226.5</v>
      </c>
      <c r="W39" s="12">
        <v>1.909090909090909</v>
      </c>
      <c r="X39" s="12">
        <v>1.909090909090909</v>
      </c>
      <c r="Y39" s="13">
        <f>(1/R39)/((1/R39)+(1/S39))</f>
        <v>0.8579439252336449</v>
      </c>
      <c r="Z39" s="13">
        <f>(1/J39)/((1/J39)+(1/K39))</f>
        <v>0.7957758771164253</v>
      </c>
      <c r="AA39" s="14">
        <f>1/R39+1/S39-1</f>
        <v>0.04288499025341119</v>
      </c>
      <c r="AB39" s="15">
        <f>O39-I39</f>
        <v>-4.0</v>
      </c>
      <c r="AC39" s="15">
        <f>IF(G39="","",G39-O39)</f>
        <v>0.0</v>
      </c>
      <c r="AD39" s="15">
        <f>H39-V39</f>
        <v>0.0</v>
      </c>
      <c r="AE39" s="16">
        <f>IF(F39&gt;E39,1,0)</f>
        <v>1</v>
      </c>
      <c r="AF39" s="16">
        <f>F39+E39</f>
        <v>216</v>
      </c>
      <c r="AG39" s="16">
        <f>IF(Y39=0.5,"",IF((Y39&gt;0.5)=(AE39=1),1,0))</f>
        <v>1</v>
      </c>
      <c r="AH39" s="16">
        <f>IF(Z39=0.5,"",IF((Z39&gt;0.5)=(AE39=1),1,0))</f>
        <v>1</v>
      </c>
      <c r="AI39" s="17" t="str">
        <f>IF(AF39&gt;V39,"Üst",IF(AF39&lt;V39,"Alt","Push"))</f>
        <v>Alt</v>
      </c>
    </row>
    <row r="40" spans="1:35">
      <c r="A40" s="7">
        <v>46090</v>
      </c>
      <c r="B40" s="8" t="s">
        <v>159</v>
      </c>
      <c r="C40" s="8" t="s">
        <v>47</v>
      </c>
      <c r="D40" s="8" t="s">
        <v>68</v>
      </c>
      <c r="E40" s="9">
        <v>115</v>
      </c>
      <c r="F40" s="9">
        <v>126</v>
      </c>
      <c r="G40" s="10">
        <v>-1.5</v>
      </c>
      <c r="H40" s="11">
        <v>220.5</v>
      </c>
      <c r="I40" s="10">
        <v>1.5</v>
      </c>
      <c r="J40" s="12">
        <v>1.925925925925926</v>
      </c>
      <c r="K40" s="12">
        <v>1.892857142857143</v>
      </c>
      <c r="L40" s="11">
        <v>223.5</v>
      </c>
      <c r="M40" s="12">
        <v>1.909090909090909</v>
      </c>
      <c r="N40" s="12">
        <v>1.909090909090909</v>
      </c>
      <c r="O40" s="10">
        <v>-1.5</v>
      </c>
      <c r="P40" s="12">
        <v>1.909090909090909</v>
      </c>
      <c r="Q40" s="12">
        <v>1.909090909090909</v>
      </c>
      <c r="R40" s="12">
        <v>1.819672131147541</v>
      </c>
      <c r="S40" s="12">
        <v>2.02</v>
      </c>
      <c r="T40" s="8" t="s">
        <v>160</v>
      </c>
      <c r="U40" s="8" t="s">
        <v>161</v>
      </c>
      <c r="V40" s="11">
        <v>220.5</v>
      </c>
      <c r="W40" s="12">
        <v>1.952380952380952</v>
      </c>
      <c r="X40" s="12">
        <v>1.869565217391304</v>
      </c>
      <c r="Y40" s="13">
        <f>(1/R40)/((1/R40)+(1/S40))</f>
        <v>0.5260865852617197</v>
      </c>
      <c r="Z40" s="13">
        <f>(1/J40)/((1/J40)+(1/K40))</f>
        <v>0.4956702459300312</v>
      </c>
      <c r="AA40" s="14">
        <f>1/R40+1/S40-1</f>
        <v>0.04459905450004453</v>
      </c>
      <c r="AB40" s="15">
        <f>O40-I40</f>
        <v>-3.0</v>
      </c>
      <c r="AC40" s="15">
        <f>IF(G40="","",G40-O40)</f>
        <v>0.0</v>
      </c>
      <c r="AD40" s="15">
        <f>H40-V40</f>
        <v>0.0</v>
      </c>
      <c r="AE40" s="16">
        <f>IF(F40&gt;E40,1,0)</f>
        <v>1</v>
      </c>
      <c r="AF40" s="16">
        <f>F40+E40</f>
        <v>241</v>
      </c>
      <c r="AG40" s="16">
        <f>IF(Y40=0.5,"",IF((Y40&gt;0.5)=(AE40=1),1,0))</f>
        <v>1</v>
      </c>
      <c r="AH40" s="16">
        <f>IF(Z40=0.5,"",IF((Z40&gt;0.5)=(AE40=1),1,0))</f>
        <v>0</v>
      </c>
      <c r="AI40" s="17" t="str">
        <f>IF(AF40&gt;V40,"Üst",IF(AF40&lt;V40,"Alt","Push"))</f>
        <v>Üst</v>
      </c>
    </row>
    <row r="41" spans="1:35">
      <c r="A41" s="7">
        <v>46090</v>
      </c>
      <c r="B41" s="8" t="s">
        <v>162</v>
      </c>
      <c r="C41" s="8" t="s">
        <v>92</v>
      </c>
      <c r="D41" s="8" t="s">
        <v>130</v>
      </c>
      <c r="E41" s="9">
        <v>126</v>
      </c>
      <c r="F41" s="9">
        <v>129</v>
      </c>
      <c r="G41" s="10">
        <v>-3.5</v>
      </c>
      <c r="H41" s="11">
        <v>237.5</v>
      </c>
      <c r="I41" s="10">
        <v>-7.5</v>
      </c>
      <c r="J41" s="12">
        <v>1.335570469798658</v>
      </c>
      <c r="K41" s="12">
        <v>3.4</v>
      </c>
      <c r="L41" s="11">
        <v>231.5</v>
      </c>
      <c r="M41" s="12">
        <v>1.909090909090909</v>
      </c>
      <c r="N41" s="12">
        <v>1.909090909090909</v>
      </c>
      <c r="O41" s="10">
        <v>-3.5</v>
      </c>
      <c r="P41" s="12">
        <v>1.892857142857143</v>
      </c>
      <c r="Q41" s="12">
        <v>1.925925925925926</v>
      </c>
      <c r="R41" s="12">
        <v>1.645161290322581</v>
      </c>
      <c r="S41" s="12">
        <v>2.3</v>
      </c>
      <c r="T41" s="8" t="s">
        <v>163</v>
      </c>
      <c r="U41" s="8" t="s">
        <v>164</v>
      </c>
      <c r="V41" s="11">
        <v>237.5</v>
      </c>
      <c r="W41" s="12">
        <v>1.909090909090909</v>
      </c>
      <c r="X41" s="12">
        <v>1.909090909090909</v>
      </c>
      <c r="Y41" s="13">
        <f>(1/R41)/((1/R41)+(1/S41))</f>
        <v>0.5829926410466066</v>
      </c>
      <c r="Z41" s="13">
        <f>(1/J41)/((1/J41)+(1/K41))</f>
        <v>0.7179705215419501</v>
      </c>
      <c r="AA41" s="14">
        <f>1/R41+1/S41-1</f>
        <v>0.04262574595055435</v>
      </c>
      <c r="AB41" s="15">
        <f>O41-I41</f>
        <v>4.0</v>
      </c>
      <c r="AC41" s="15">
        <f>IF(G41="","",G41-O41)</f>
        <v>0.0</v>
      </c>
      <c r="AD41" s="15">
        <f>H41-V41</f>
        <v>0.0</v>
      </c>
      <c r="AE41" s="16">
        <f>IF(F41&gt;E41,1,0)</f>
        <v>1</v>
      </c>
      <c r="AF41" s="16">
        <f>F41+E41</f>
        <v>255</v>
      </c>
      <c r="AG41" s="16">
        <f>IF(Y41=0.5,"",IF((Y41&gt;0.5)=(AE41=1),1,0))</f>
        <v>1</v>
      </c>
      <c r="AH41" s="16">
        <f>IF(Z41=0.5,"",IF((Z41&gt;0.5)=(AE41=1),1,0))</f>
        <v>1</v>
      </c>
      <c r="AI41" s="17" t="str">
        <f>IF(AF41&gt;V41,"Üst",IF(AF41&lt;V41,"Alt","Push"))</f>
        <v>Üst</v>
      </c>
    </row>
    <row r="42" spans="1:35">
      <c r="A42" s="7">
        <v>46090</v>
      </c>
      <c r="B42" s="8" t="s">
        <v>165</v>
      </c>
      <c r="C42" s="8" t="s">
        <v>73</v>
      </c>
      <c r="D42" s="8" t="s">
        <v>41</v>
      </c>
      <c r="E42" s="9">
        <v>116</v>
      </c>
      <c r="F42" s="9">
        <v>119</v>
      </c>
      <c r="G42" s="10">
        <v>6.5</v>
      </c>
      <c r="H42" s="11">
        <v>225.5</v>
      </c>
      <c r="I42" s="10">
        <v>5.5</v>
      </c>
      <c r="J42" s="12">
        <v>2.7</v>
      </c>
      <c r="K42" s="12">
        <v>1.48780487804878</v>
      </c>
      <c r="L42" s="11">
        <v>228.5</v>
      </c>
      <c r="M42" s="12">
        <v>1.909090909090909</v>
      </c>
      <c r="N42" s="12">
        <v>1.909090909090909</v>
      </c>
      <c r="O42" s="10">
        <v>6.5</v>
      </c>
      <c r="P42" s="12">
        <v>1.909090909090909</v>
      </c>
      <c r="Q42" s="12">
        <v>1.909090909090909</v>
      </c>
      <c r="R42" s="12">
        <v>3.15</v>
      </c>
      <c r="S42" s="12">
        <v>1.377358490566038</v>
      </c>
      <c r="T42" s="8" t="s">
        <v>98</v>
      </c>
      <c r="U42" s="8" t="s">
        <v>99</v>
      </c>
      <c r="V42" s="11">
        <v>224.5</v>
      </c>
      <c r="W42" s="12">
        <v>1.909090909090909</v>
      </c>
      <c r="X42" s="12">
        <v>1.909090909090909</v>
      </c>
      <c r="Y42" s="13">
        <f>(1/R42)/((1/R42)+(1/S42))</f>
        <v>0.30423004792665137</v>
      </c>
      <c r="Z42" s="13">
        <f>(1/J42)/((1/J42)+(1/K42))</f>
        <v>0.35527082119976705</v>
      </c>
      <c r="AA42" s="14">
        <f>1/R42+1/S42-1</f>
        <v>0.04348771472059143</v>
      </c>
      <c r="AB42" s="15">
        <f>O42-I42</f>
        <v>1.0</v>
      </c>
      <c r="AC42" s="15">
        <f>IF(G42="","",G42-O42)</f>
        <v>0.0</v>
      </c>
      <c r="AD42" s="15">
        <f>H42-V42</f>
        <v>1.0</v>
      </c>
      <c r="AE42" s="16">
        <f>IF(F42&gt;E42,1,0)</f>
        <v>1</v>
      </c>
      <c r="AF42" s="16">
        <f>F42+E42</f>
        <v>235</v>
      </c>
      <c r="AG42" s="16">
        <f>IF(Y42=0.5,"",IF((Y42&gt;0.5)=(AE42=1),1,0))</f>
        <v>0</v>
      </c>
      <c r="AH42" s="16">
        <f>IF(Z42=0.5,"",IF((Z42&gt;0.5)=(AE42=1),1,0))</f>
        <v>0</v>
      </c>
      <c r="AI42" s="17" t="str">
        <f>IF(AF42&gt;V42,"Üst",IF(AF42&lt;V42,"Alt","Push"))</f>
        <v>Üst</v>
      </c>
    </row>
    <row r="43" spans="1:35">
      <c r="A43" s="7">
        <v>46090</v>
      </c>
      <c r="B43" s="8" t="s">
        <v>166</v>
      </c>
      <c r="C43" s="8" t="s">
        <v>110</v>
      </c>
      <c r="D43" s="8" t="s">
        <v>57</v>
      </c>
      <c r="E43" s="9">
        <v>118</v>
      </c>
      <c r="F43" s="9">
        <v>126</v>
      </c>
      <c r="G43" s="10">
        <v>1.5</v>
      </c>
      <c r="H43" s="11">
        <v>220.5</v>
      </c>
      <c r="I43" s="10">
        <v>1.5</v>
      </c>
      <c r="J43" s="12">
        <v>2.05</v>
      </c>
      <c r="K43" s="12">
        <v>1.8</v>
      </c>
      <c r="L43" s="11">
        <v>220.5</v>
      </c>
      <c r="M43" s="12">
        <v>1.909090909090909</v>
      </c>
      <c r="N43" s="12">
        <v>1.909090909090909</v>
      </c>
      <c r="O43" s="10">
        <v>1.5</v>
      </c>
      <c r="P43" s="12">
        <v>1.925925925925926</v>
      </c>
      <c r="Q43" s="12">
        <v>1.892857142857143</v>
      </c>
      <c r="R43" s="12">
        <v>2.1</v>
      </c>
      <c r="S43" s="12">
        <v>1.769230769230769</v>
      </c>
      <c r="T43" s="8" t="s">
        <v>167</v>
      </c>
      <c r="U43" s="8" t="s">
        <v>168</v>
      </c>
      <c r="V43" s="11">
        <v>220.5</v>
      </c>
      <c r="W43" s="12">
        <v>1.892857142857143</v>
      </c>
      <c r="X43" s="12">
        <v>1.925925925925926</v>
      </c>
      <c r="Y43" s="13">
        <f>(1/R43)/((1/R43)+(1/S43))</f>
        <v>0.4572564612326044</v>
      </c>
      <c r="Z43" s="13">
        <f>(1/J43)/((1/J43)+(1/K43))</f>
        <v>0.4675324675324676</v>
      </c>
      <c r="AA43" s="14">
        <f>1/R43+1/S43-1</f>
        <v>0.04140786749482395</v>
      </c>
      <c r="AB43" s="15">
        <f>O43-I43</f>
        <v>0.0</v>
      </c>
      <c r="AC43" s="15">
        <f>IF(G43="","",G43-O43)</f>
        <v>0.0</v>
      </c>
      <c r="AD43" s="15">
        <f>H43-V43</f>
        <v>0.0</v>
      </c>
      <c r="AE43" s="16">
        <f>IF(F43&gt;E43,1,0)</f>
        <v>1</v>
      </c>
      <c r="AF43" s="16">
        <f>F43+E43</f>
        <v>244</v>
      </c>
      <c r="AG43" s="16">
        <f>IF(Y43=0.5,"",IF((Y43&gt;0.5)=(AE43=1),1,0))</f>
        <v>0</v>
      </c>
      <c r="AH43" s="16">
        <f>IF(Z43=0.5,"",IF((Z43&gt;0.5)=(AE43=1),1,0))</f>
        <v>0</v>
      </c>
      <c r="AI43" s="17" t="str">
        <f>IF(AF43&gt;V43,"Üst",IF(AF43&lt;V43,"Alt","Push"))</f>
        <v>Üst</v>
      </c>
    </row>
    <row r="44" spans="1:35">
      <c r="A44" s="7">
        <v>46091</v>
      </c>
      <c r="B44" s="8" t="s">
        <v>169</v>
      </c>
      <c r="C44" s="8" t="s">
        <v>47</v>
      </c>
      <c r="D44" s="8" t="s">
        <v>42</v>
      </c>
      <c r="E44" s="9">
        <v>129</v>
      </c>
      <c r="F44" s="9">
        <v>139</v>
      </c>
      <c r="G44" s="10">
        <v>-4.5</v>
      </c>
      <c r="H44" s="11">
        <v>229.5</v>
      </c>
      <c r="I44" s="10">
        <v>-5.5</v>
      </c>
      <c r="J44" s="12">
        <v>1.458715596330275</v>
      </c>
      <c r="K44" s="12">
        <v>2.8</v>
      </c>
      <c r="L44" s="11">
        <v>229.5</v>
      </c>
      <c r="M44" s="12">
        <v>1.909090909090909</v>
      </c>
      <c r="N44" s="12">
        <v>1.909090909090909</v>
      </c>
      <c r="O44" s="10">
        <v>-4.5</v>
      </c>
      <c r="P44" s="12">
        <v>1.909090909090909</v>
      </c>
      <c r="Q44" s="12">
        <v>1.909090909090909</v>
      </c>
      <c r="R44" s="12">
        <v>1.520833333333333</v>
      </c>
      <c r="S44" s="12">
        <v>2.6</v>
      </c>
      <c r="T44" s="8" t="s">
        <v>170</v>
      </c>
      <c r="U44" s="8" t="s">
        <v>171</v>
      </c>
      <c r="V44" s="11">
        <v>229.5</v>
      </c>
      <c r="W44" s="12">
        <v>1.925925925925926</v>
      </c>
      <c r="X44" s="12">
        <v>1.892857142857143</v>
      </c>
      <c r="Y44" s="13">
        <f>(1/R44)/((1/R44)+(1/S44))</f>
        <v>0.6309403437815976</v>
      </c>
      <c r="Z44" s="13">
        <f>(1/J44)/((1/J44)+(1/K44))</f>
        <v>0.6574752261956053</v>
      </c>
      <c r="AA44" s="14">
        <f>1/R44+1/S44-1</f>
        <v>0.04214963119072701</v>
      </c>
      <c r="AB44" s="15">
        <f>O44-I44</f>
        <v>1.0</v>
      </c>
      <c r="AC44" s="15">
        <f>IF(G44="","",G44-O44)</f>
        <v>0.0</v>
      </c>
      <c r="AD44" s="15">
        <f>H44-V44</f>
        <v>0.0</v>
      </c>
      <c r="AE44" s="16">
        <f>IF(F44&gt;E44,1,0)</f>
        <v>1</v>
      </c>
      <c r="AF44" s="16">
        <f>F44+E44</f>
        <v>268</v>
      </c>
      <c r="AG44" s="16">
        <f>IF(Y44=0.5,"",IF((Y44&gt;0.5)=(AE44=1),1,0))</f>
        <v>1</v>
      </c>
      <c r="AH44" s="16">
        <f>IF(Z44=0.5,"",IF((Z44&gt;0.5)=(AE44=1),1,0))</f>
        <v>1</v>
      </c>
      <c r="AI44" s="17" t="str">
        <f>IF(AF44&gt;V44,"Üst",IF(AF44&lt;V44,"Alt","Push"))</f>
        <v>Üst</v>
      </c>
    </row>
    <row r="45" spans="1:35">
      <c r="A45" s="7">
        <v>46091</v>
      </c>
      <c r="B45" s="8" t="s">
        <v>172</v>
      </c>
      <c r="C45" s="8" t="s">
        <v>81</v>
      </c>
      <c r="D45" s="8" t="s">
        <v>68</v>
      </c>
      <c r="E45" s="9">
        <v>138</v>
      </c>
      <c r="F45" s="9">
        <v>100</v>
      </c>
      <c r="G45" s="10">
        <v>14.5</v>
      </c>
      <c r="H45" s="11">
        <v>216.5</v>
      </c>
      <c r="I45" s="10">
        <v>14.5</v>
      </c>
      <c r="J45" s="12">
        <v>7.5</v>
      </c>
      <c r="K45" s="12">
        <v>1.1</v>
      </c>
      <c r="L45" s="11">
        <v>216.5</v>
      </c>
      <c r="M45" s="12">
        <v>1.909090909090909</v>
      </c>
      <c r="N45" s="12">
        <v>1.909090909090909</v>
      </c>
      <c r="O45" s="10">
        <v>15.5</v>
      </c>
      <c r="P45" s="12">
        <v>1.847457627118644</v>
      </c>
      <c r="Q45" s="12">
        <v>1.980392156862745</v>
      </c>
      <c r="R45" s="12">
        <v>8</v>
      </c>
      <c r="S45" s="12">
        <v>1.090909090909091</v>
      </c>
      <c r="T45" s="8" t="s">
        <v>173</v>
      </c>
      <c r="U45" s="8" t="s">
        <v>174</v>
      </c>
      <c r="V45" s="11">
        <v>216.5</v>
      </c>
      <c r="W45" s="12">
        <v>1.952380952380952</v>
      </c>
      <c r="X45" s="12">
        <v>1.869565217391304</v>
      </c>
      <c r="Y45" s="13">
        <f>(1/R45)/((1/R45)+(1/S45))</f>
        <v>0.12</v>
      </c>
      <c r="Z45" s="13">
        <f>(1/J45)/((1/J45)+(1/K45))</f>
        <v>0.12790697674418605</v>
      </c>
      <c r="AA45" s="14">
        <f>1/R45+1/S45-1</f>
        <v>0.04166666666666674</v>
      </c>
      <c r="AB45" s="15">
        <f>O45-I45</f>
        <v>1.0</v>
      </c>
      <c r="AC45" s="15">
        <f>IF(G45="","",G45-O45)</f>
        <v>-1.0</v>
      </c>
      <c r="AD45" s="15">
        <f>H45-V45</f>
        <v>0.0</v>
      </c>
      <c r="AE45" s="16">
        <f>IF(F45&gt;E45,1,0)</f>
        <v>0</v>
      </c>
      <c r="AF45" s="16">
        <f>F45+E45</f>
        <v>238</v>
      </c>
      <c r="AG45" s="16">
        <f>IF(Y45=0.5,"",IF((Y45&gt;0.5)=(AE45=1),1,0))</f>
        <v>1</v>
      </c>
      <c r="AH45" s="16">
        <f>IF(Z45=0.5,"",IF((Z45&gt;0.5)=(AE45=1),1,0))</f>
        <v>1</v>
      </c>
      <c r="AI45" s="17" t="str">
        <f>IF(AF45&gt;V45,"Üst",IF(AF45&lt;V45,"Alt","Push"))</f>
        <v>Üst</v>
      </c>
    </row>
    <row r="46" spans="1:35">
      <c r="A46" s="7">
        <v>46091</v>
      </c>
      <c r="B46" s="8" t="s">
        <v>175</v>
      </c>
      <c r="C46" s="8" t="s">
        <v>64</v>
      </c>
      <c r="D46" s="8" t="s">
        <v>69</v>
      </c>
      <c r="E46" s="9">
        <v>129</v>
      </c>
      <c r="F46" s="9">
        <v>150</v>
      </c>
      <c r="G46" s="10">
        <v>-15.5</v>
      </c>
      <c r="H46" s="11">
        <v>236.5</v>
      </c>
      <c r="I46" s="10">
        <v>-15.5</v>
      </c>
      <c r="J46" s="12">
        <v>1.083333333333333</v>
      </c>
      <c r="K46" s="12">
        <v>8.5</v>
      </c>
      <c r="L46" s="11">
        <v>241.5</v>
      </c>
      <c r="M46" s="12">
        <v>1.909090909090909</v>
      </c>
      <c r="N46" s="12">
        <v>1.909090909090909</v>
      </c>
      <c r="O46" s="10">
        <v>-15.5</v>
      </c>
      <c r="P46" s="12">
        <v>1.869565217391304</v>
      </c>
      <c r="Q46" s="12">
        <v>1.952380952380952</v>
      </c>
      <c r="R46" s="12">
        <v>1.083333333333333</v>
      </c>
      <c r="S46" s="12">
        <v>8.5</v>
      </c>
      <c r="T46" s="8" t="s">
        <v>102</v>
      </c>
      <c r="U46" s="8" t="s">
        <v>103</v>
      </c>
      <c r="V46" s="11">
        <v>235.5</v>
      </c>
      <c r="W46" s="12">
        <v>1.869565217391304</v>
      </c>
      <c r="X46" s="12">
        <v>1.952380952380952</v>
      </c>
      <c r="Y46" s="13">
        <f>(1/R46)/((1/R46)+(1/S46))</f>
        <v>0.8869565217391304</v>
      </c>
      <c r="Z46" s="13">
        <f>(1/J46)/((1/J46)+(1/K46))</f>
        <v>0.8869565217391304</v>
      </c>
      <c r="AA46" s="14">
        <f>1/R46+1/S46-1</f>
        <v>0.040723981900452566</v>
      </c>
      <c r="AB46" s="15">
        <f>O46-I46</f>
        <v>0.0</v>
      </c>
      <c r="AC46" s="15">
        <f>IF(G46="","",G46-O46)</f>
        <v>0.0</v>
      </c>
      <c r="AD46" s="15">
        <f>H46-V46</f>
        <v>1.0</v>
      </c>
      <c r="AE46" s="16">
        <f>IF(F46&gt;E46,1,0)</f>
        <v>1</v>
      </c>
      <c r="AF46" s="16">
        <f>F46+E46</f>
        <v>279</v>
      </c>
      <c r="AG46" s="16">
        <f>IF(Y46=0.5,"",IF((Y46&gt;0.5)=(AE46=1),1,0))</f>
        <v>1</v>
      </c>
      <c r="AH46" s="16">
        <f>IF(Z46=0.5,"",IF((Z46&gt;0.5)=(AE46=1),1,0))</f>
        <v>1</v>
      </c>
      <c r="AI46" s="17" t="str">
        <f>IF(AF46&gt;V46,"Üst",IF(AF46&lt;V46,"Alt","Push"))</f>
        <v>Üst</v>
      </c>
    </row>
    <row r="47" spans="1:35">
      <c r="A47" s="7">
        <v>46091</v>
      </c>
      <c r="B47" s="8" t="s">
        <v>176</v>
      </c>
      <c r="C47" s="8" t="s">
        <v>61</v>
      </c>
      <c r="D47" s="8" t="s">
        <v>51</v>
      </c>
      <c r="E47" s="9">
        <v>112</v>
      </c>
      <c r="F47" s="9">
        <v>124</v>
      </c>
      <c r="G47" s="10">
        <v>-9.5</v>
      </c>
      <c r="H47" s="11">
        <v>241.5</v>
      </c>
      <c r="I47" s="10">
        <v>-8.5</v>
      </c>
      <c r="J47" s="12">
        <v>1.277777777777778</v>
      </c>
      <c r="K47" s="12">
        <v>3.85</v>
      </c>
      <c r="L47" s="11">
        <v>238.5</v>
      </c>
      <c r="M47" s="12">
        <v>1.869565217391304</v>
      </c>
      <c r="N47" s="12">
        <v>1.952380952380952</v>
      </c>
      <c r="O47" s="10">
        <v>-9.5</v>
      </c>
      <c r="P47" s="12">
        <v>1.869565217391304</v>
      </c>
      <c r="Q47" s="12">
        <v>1.952380952380952</v>
      </c>
      <c r="R47" s="12">
        <v>1.235294117647059</v>
      </c>
      <c r="S47" s="12">
        <v>4.3</v>
      </c>
      <c r="T47" s="8" t="s">
        <v>177</v>
      </c>
      <c r="U47" s="8" t="s">
        <v>178</v>
      </c>
      <c r="V47" s="11">
        <v>240.5</v>
      </c>
      <c r="W47" s="12">
        <v>1.892857142857143</v>
      </c>
      <c r="X47" s="12">
        <v>1.925925925925926</v>
      </c>
      <c r="Y47" s="13">
        <f>(1/R47)/((1/R47)+(1/S47))</f>
        <v>0.7768331562167907</v>
      </c>
      <c r="Z47" s="13">
        <f>(1/J47)/((1/J47)+(1/K47))</f>
        <v>0.7508125677139762</v>
      </c>
      <c r="AA47" s="14">
        <f>1/R47+1/S47-1</f>
        <v>0.042081949058693224</v>
      </c>
      <c r="AB47" s="15">
        <f>O47-I47</f>
        <v>-1.0</v>
      </c>
      <c r="AC47" s="15">
        <f>IF(G47="","",G47-O47)</f>
        <v>0.0</v>
      </c>
      <c r="AD47" s="15">
        <f>H47-V47</f>
        <v>1.0</v>
      </c>
      <c r="AE47" s="16">
        <f>IF(F47&gt;E47,1,0)</f>
        <v>1</v>
      </c>
      <c r="AF47" s="16">
        <f>F47+E47</f>
        <v>236</v>
      </c>
      <c r="AG47" s="16">
        <f>IF(Y47=0.5,"",IF((Y47&gt;0.5)=(AE47=1),1,0))</f>
        <v>1</v>
      </c>
      <c r="AH47" s="16">
        <f>IF(Z47=0.5,"",IF((Z47&gt;0.5)=(AE47=1),1,0))</f>
        <v>1</v>
      </c>
      <c r="AI47" s="17" t="str">
        <f>IF(AF47&gt;V47,"Üst",IF(AF47&lt;V47,"Alt","Push"))</f>
        <v>Alt</v>
      </c>
    </row>
    <row r="48" spans="1:35">
      <c r="A48" s="7">
        <v>46091</v>
      </c>
      <c r="B48" s="8" t="s">
        <v>179</v>
      </c>
      <c r="C48" s="8" t="s">
        <v>76</v>
      </c>
      <c r="D48" s="8" t="s">
        <v>74</v>
      </c>
      <c r="E48" s="9">
        <v>99</v>
      </c>
      <c r="F48" s="9">
        <v>113</v>
      </c>
      <c r="G48" s="10">
        <v>-4.5</v>
      </c>
      <c r="H48" s="11">
        <v>220.5</v>
      </c>
      <c r="I48" s="10">
        <v>-5.5</v>
      </c>
      <c r="J48" s="12">
        <v>1.458715596330275</v>
      </c>
      <c r="K48" s="12">
        <v>2.8</v>
      </c>
      <c r="L48" s="11">
        <v>218.5</v>
      </c>
      <c r="M48" s="12">
        <v>1.909090909090909</v>
      </c>
      <c r="N48" s="12">
        <v>1.909090909090909</v>
      </c>
      <c r="O48" s="10">
        <v>-4.5</v>
      </c>
      <c r="P48" s="12">
        <v>1.925925925925926</v>
      </c>
      <c r="Q48" s="12">
        <v>1.892857142857143</v>
      </c>
      <c r="R48" s="12">
        <v>1.520833333333333</v>
      </c>
      <c r="S48" s="12">
        <v>2.6</v>
      </c>
      <c r="T48" s="8" t="s">
        <v>170</v>
      </c>
      <c r="U48" s="8" t="s">
        <v>171</v>
      </c>
      <c r="V48" s="11">
        <v>220.5</v>
      </c>
      <c r="W48" s="12">
        <v>1.952380952380952</v>
      </c>
      <c r="X48" s="12">
        <v>1.869565217391304</v>
      </c>
      <c r="Y48" s="13">
        <f>(1/R48)/((1/R48)+(1/S48))</f>
        <v>0.6309403437815976</v>
      </c>
      <c r="Z48" s="13">
        <f>(1/J48)/((1/J48)+(1/K48))</f>
        <v>0.6574752261956053</v>
      </c>
      <c r="AA48" s="14">
        <f>1/R48+1/S48-1</f>
        <v>0.04214963119072701</v>
      </c>
      <c r="AB48" s="15">
        <f>O48-I48</f>
        <v>1.0</v>
      </c>
      <c r="AC48" s="15">
        <f>IF(G48="","",G48-O48)</f>
        <v>0.0</v>
      </c>
      <c r="AD48" s="15">
        <f>H48-V48</f>
        <v>0.0</v>
      </c>
      <c r="AE48" s="16">
        <f>IF(F48&gt;E48,1,0)</f>
        <v>1</v>
      </c>
      <c r="AF48" s="16">
        <f>F48+E48</f>
        <v>212</v>
      </c>
      <c r="AG48" s="16">
        <f>IF(Y48=0.5,"",IF((Y48&gt;0.5)=(AE48=1),1,0))</f>
        <v>1</v>
      </c>
      <c r="AH48" s="16">
        <f>IF(Z48=0.5,"",IF((Z48&gt;0.5)=(AE48=1),1,0))</f>
        <v>1</v>
      </c>
      <c r="AI48" s="17" t="str">
        <f>IF(AF48&gt;V48,"Üst",IF(AF48&lt;V48,"Alt","Push"))</f>
        <v>Alt</v>
      </c>
    </row>
    <row r="49" spans="1:35">
      <c r="A49" s="7">
        <v>46091</v>
      </c>
      <c r="B49" s="8" t="s">
        <v>180</v>
      </c>
      <c r="C49" s="8" t="s">
        <v>87</v>
      </c>
      <c r="D49" s="8" t="s">
        <v>52</v>
      </c>
      <c r="E49" s="9">
        <v>129</v>
      </c>
      <c r="F49" s="9">
        <v>114</v>
      </c>
      <c r="G49" s="10">
        <v>2.5</v>
      </c>
      <c r="H49" s="11">
        <v>220.5</v>
      </c>
      <c r="I49" s="10">
        <v>2.5</v>
      </c>
      <c r="J49" s="12">
        <v>2.1</v>
      </c>
      <c r="K49" s="12">
        <v>1.769230769230769</v>
      </c>
      <c r="L49" s="11">
        <v>218.5</v>
      </c>
      <c r="M49" s="12">
        <v>1.909090909090909</v>
      </c>
      <c r="N49" s="12">
        <v>1.909090909090909</v>
      </c>
      <c r="O49" s="10">
        <v>2.5</v>
      </c>
      <c r="P49" s="12">
        <v>1.833333333333333</v>
      </c>
      <c r="Q49" s="12">
        <v>2</v>
      </c>
      <c r="R49" s="12">
        <v>2.1</v>
      </c>
      <c r="S49" s="12">
        <v>1.769230769230769</v>
      </c>
      <c r="T49" s="8" t="s">
        <v>167</v>
      </c>
      <c r="U49" s="8" t="s">
        <v>168</v>
      </c>
      <c r="V49" s="11">
        <v>219.5</v>
      </c>
      <c r="W49" s="12">
        <v>1.952380952380952</v>
      </c>
      <c r="X49" s="12">
        <v>1.869565217391304</v>
      </c>
      <c r="Y49" s="13">
        <f>(1/R49)/((1/R49)+(1/S49))</f>
        <v>0.4572564612326044</v>
      </c>
      <c r="Z49" s="13">
        <f>(1/J49)/((1/J49)+(1/K49))</f>
        <v>0.4572564612326044</v>
      </c>
      <c r="AA49" s="14">
        <f>1/R49+1/S49-1</f>
        <v>0.04140786749482395</v>
      </c>
      <c r="AB49" s="15">
        <f>O49-I49</f>
        <v>0.0</v>
      </c>
      <c r="AC49" s="15">
        <f>IF(G49="","",G49-O49)</f>
        <v>0.0</v>
      </c>
      <c r="AD49" s="15">
        <f>H49-V49</f>
        <v>1.0</v>
      </c>
      <c r="AE49" s="16">
        <f>IF(F49&gt;E49,1,0)</f>
        <v>0</v>
      </c>
      <c r="AF49" s="16">
        <f>F49+E49</f>
        <v>243</v>
      </c>
      <c r="AG49" s="16">
        <f>IF(Y49=0.5,"",IF((Y49&gt;0.5)=(AE49=1),1,0))</f>
        <v>1</v>
      </c>
      <c r="AH49" s="16">
        <f>IF(Z49=0.5,"",IF((Z49&gt;0.5)=(AE49=1),1,0))</f>
        <v>1</v>
      </c>
      <c r="AI49" s="17" t="str">
        <f>IF(AF49&gt;V49,"Üst",IF(AF49&lt;V49,"Alt","Push"))</f>
        <v>Üst</v>
      </c>
    </row>
    <row r="50" spans="1:35">
      <c r="A50" s="7">
        <v>46091</v>
      </c>
      <c r="B50" s="8" t="s">
        <v>181</v>
      </c>
      <c r="C50" s="8" t="s">
        <v>101</v>
      </c>
      <c r="D50" s="8" t="s">
        <v>82</v>
      </c>
      <c r="E50" s="9">
        <v>116</v>
      </c>
      <c r="F50" s="9">
        <v>125</v>
      </c>
      <c r="G50" s="10">
        <v>-3.5</v>
      </c>
      <c r="H50" s="11">
        <v>221.5</v>
      </c>
      <c r="I50" s="10">
        <v>-2.5</v>
      </c>
      <c r="J50" s="12">
        <v>1.740740740740741</v>
      </c>
      <c r="K50" s="12">
        <v>2.14</v>
      </c>
      <c r="L50" s="11">
        <v>223.5</v>
      </c>
      <c r="M50" s="12">
        <v>1.909090909090909</v>
      </c>
      <c r="N50" s="12">
        <v>1.909090909090909</v>
      </c>
      <c r="O50" s="10">
        <v>-3.5</v>
      </c>
      <c r="P50" s="12">
        <v>1.869565217391304</v>
      </c>
      <c r="Q50" s="12">
        <v>1.952380952380952</v>
      </c>
      <c r="R50" s="12">
        <v>1.617283950617284</v>
      </c>
      <c r="S50" s="12">
        <v>2.36</v>
      </c>
      <c r="T50" s="8" t="s">
        <v>182</v>
      </c>
      <c r="U50" s="8" t="s">
        <v>183</v>
      </c>
      <c r="V50" s="11">
        <v>221.5</v>
      </c>
      <c r="W50" s="12">
        <v>1.952380952380952</v>
      </c>
      <c r="X50" s="12">
        <v>1.869565217391304</v>
      </c>
      <c r="Y50" s="13">
        <f>(1/R50)/((1/R50)+(1/S50))</f>
        <v>0.593369754159424</v>
      </c>
      <c r="Z50" s="13">
        <f>(1/J50)/((1/J50)+(1/K50))</f>
        <v>0.551441114716549</v>
      </c>
      <c r="AA50" s="14">
        <f>1/R50+1/S50-1</f>
        <v>0.042049424246344724</v>
      </c>
      <c r="AB50" s="15">
        <f>O50-I50</f>
        <v>-1.0</v>
      </c>
      <c r="AC50" s="15">
        <f>IF(G50="","",G50-O50)</f>
        <v>0.0</v>
      </c>
      <c r="AD50" s="15">
        <f>H50-V50</f>
        <v>0.0</v>
      </c>
      <c r="AE50" s="16">
        <f>IF(F50&gt;E50,1,0)</f>
        <v>1</v>
      </c>
      <c r="AF50" s="16">
        <f>F50+E50</f>
        <v>241</v>
      </c>
      <c r="AG50" s="16">
        <f>IF(Y50=0.5,"",IF((Y50&gt;0.5)=(AE50=1),1,0))</f>
        <v>1</v>
      </c>
      <c r="AH50" s="16">
        <f>IF(Z50=0.5,"",IF((Z50&gt;0.5)=(AE50=1),1,0))</f>
        <v>1</v>
      </c>
      <c r="AI50" s="17" t="str">
        <f>IF(AF50&gt;V50,"Üst",IF(AF50&lt;V50,"Alt","Push"))</f>
        <v>Üst</v>
      </c>
    </row>
    <row r="51" spans="1:35">
      <c r="A51" s="7">
        <v>46091</v>
      </c>
      <c r="B51" s="8" t="s">
        <v>184</v>
      </c>
      <c r="C51" s="8" t="s">
        <v>86</v>
      </c>
      <c r="D51" s="8" t="s">
        <v>73</v>
      </c>
      <c r="E51" s="9">
        <v>130</v>
      </c>
      <c r="F51" s="9">
        <v>124</v>
      </c>
      <c r="G51" s="10">
        <v>-6.5</v>
      </c>
      <c r="H51" s="11">
        <v>227.5</v>
      </c>
      <c r="I51" s="10">
        <v>-5.5</v>
      </c>
      <c r="J51" s="12">
        <v>1.48780487804878</v>
      </c>
      <c r="K51" s="12">
        <v>2.7</v>
      </c>
      <c r="L51" s="11">
        <v>229.5</v>
      </c>
      <c r="M51" s="12">
        <v>1.952380952380952</v>
      </c>
      <c r="N51" s="12">
        <v>1.869565217391304</v>
      </c>
      <c r="O51" s="10">
        <v>-6.5</v>
      </c>
      <c r="P51" s="12">
        <v>1.952380952380952</v>
      </c>
      <c r="Q51" s="12">
        <v>1.869565217391304</v>
      </c>
      <c r="R51" s="12">
        <v>1.420168067226891</v>
      </c>
      <c r="S51" s="12">
        <v>2.95</v>
      </c>
      <c r="T51" s="8" t="s">
        <v>185</v>
      </c>
      <c r="U51" s="8" t="s">
        <v>186</v>
      </c>
      <c r="V51" s="11">
        <v>227.5</v>
      </c>
      <c r="W51" s="12">
        <v>1.925925925925926</v>
      </c>
      <c r="X51" s="12">
        <v>1.892857142857143</v>
      </c>
      <c r="Y51" s="13">
        <f>(1/R51)/((1/R51)+(1/S51))</f>
        <v>0.6750312469954812</v>
      </c>
      <c r="Z51" s="13">
        <f>(1/J51)/((1/J51)+(1/K51))</f>
        <v>0.644729178800233</v>
      </c>
      <c r="AA51" s="14">
        <f>1/R51+1/S51-1</f>
        <v>0.04312506268177696</v>
      </c>
      <c r="AB51" s="15">
        <f>O51-I51</f>
        <v>-1.0</v>
      </c>
      <c r="AC51" s="15">
        <f>IF(G51="","",G51-O51)</f>
        <v>0.0</v>
      </c>
      <c r="AD51" s="15">
        <f>H51-V51</f>
        <v>0.0</v>
      </c>
      <c r="AE51" s="16">
        <f>IF(F51&gt;E51,1,0)</f>
        <v>0</v>
      </c>
      <c r="AF51" s="16">
        <f>F51+E51</f>
        <v>254</v>
      </c>
      <c r="AG51" s="16">
        <f>IF(Y51=0.5,"",IF((Y51&gt;0.5)=(AE51=1),1,0))</f>
        <v>0</v>
      </c>
      <c r="AH51" s="16">
        <f>IF(Z51=0.5,"",IF((Z51&gt;0.5)=(AE51=1),1,0))</f>
        <v>0</v>
      </c>
      <c r="AI51" s="17" t="str">
        <f>IF(AF51&gt;V51,"Üst",IF(AF51&lt;V51,"Alt","Push"))</f>
        <v>Üst</v>
      </c>
    </row>
    <row r="52" spans="1:35">
      <c r="A52" s="7">
        <v>46091</v>
      </c>
      <c r="B52" s="8" t="s">
        <v>187</v>
      </c>
      <c r="C52" s="8" t="s">
        <v>105</v>
      </c>
      <c r="D52" s="8" t="s">
        <v>46</v>
      </c>
      <c r="E52" s="9">
        <v>103</v>
      </c>
      <c r="F52" s="9">
        <v>101</v>
      </c>
      <c r="G52" s="10">
        <v>2.5</v>
      </c>
      <c r="H52" s="11">
        <v>227.5</v>
      </c>
      <c r="I52" s="10">
        <v>3.5</v>
      </c>
      <c r="J52" s="12">
        <v>2.3</v>
      </c>
      <c r="K52" s="12">
        <v>1.645161290322581</v>
      </c>
      <c r="L52" s="11">
        <v>229.5</v>
      </c>
      <c r="M52" s="12">
        <v>1.909090909090909</v>
      </c>
      <c r="N52" s="12">
        <v>1.909090909090909</v>
      </c>
      <c r="O52" s="10">
        <v>3.5</v>
      </c>
      <c r="P52" s="12">
        <v>1.847457627118644</v>
      </c>
      <c r="Q52" s="12">
        <v>1.980392156862745</v>
      </c>
      <c r="R52" s="12">
        <v>2.3</v>
      </c>
      <c r="S52" s="12">
        <v>1.645161290322581</v>
      </c>
      <c r="T52" s="8" t="s">
        <v>164</v>
      </c>
      <c r="U52" s="8" t="s">
        <v>163</v>
      </c>
      <c r="V52" s="11">
        <v>227.5</v>
      </c>
      <c r="W52" s="12">
        <v>1.892857142857143</v>
      </c>
      <c r="X52" s="12">
        <v>1.925925925925926</v>
      </c>
      <c r="Y52" s="13">
        <f>(1/R52)/((1/R52)+(1/S52))</f>
        <v>0.41700735895339325</v>
      </c>
      <c r="Z52" s="13">
        <f>(1/J52)/((1/J52)+(1/K52))</f>
        <v>0.41700735895339325</v>
      </c>
      <c r="AA52" s="14">
        <f>1/R52+1/S52-1</f>
        <v>0.04262574595055435</v>
      </c>
      <c r="AB52" s="15">
        <f>O52-I52</f>
        <v>0.0</v>
      </c>
      <c r="AC52" s="15">
        <f>IF(G52="","",G52-O52)</f>
        <v>-1.0</v>
      </c>
      <c r="AD52" s="15">
        <f>H52-V52</f>
        <v>0.0</v>
      </c>
      <c r="AE52" s="16">
        <f>IF(F52&gt;E52,1,0)</f>
        <v>0</v>
      </c>
      <c r="AF52" s="16">
        <f>F52+E52</f>
        <v>204</v>
      </c>
      <c r="AG52" s="16">
        <f>IF(Y52=0.5,"",IF((Y52&gt;0.5)=(AE52=1),1,0))</f>
        <v>1</v>
      </c>
      <c r="AH52" s="16">
        <f>IF(Z52=0.5,"",IF((Z52&gt;0.5)=(AE52=1),1,0))</f>
        <v>1</v>
      </c>
      <c r="AI52" s="17" t="str">
        <f>IF(AF52&gt;V52,"Üst",IF(AF52&lt;V52,"Alt","Push"))</f>
        <v>Alt</v>
      </c>
    </row>
    <row r="53" spans="1:35">
      <c r="A53" s="7">
        <v>46091</v>
      </c>
      <c r="B53" s="8" t="s">
        <v>188</v>
      </c>
      <c r="C53" s="8" t="s">
        <v>56</v>
      </c>
      <c r="D53" s="8" t="s">
        <v>97</v>
      </c>
      <c r="E53" s="9">
        <v>109</v>
      </c>
      <c r="F53" s="9">
        <v>114</v>
      </c>
      <c r="G53" s="10">
        <v>-3.5</v>
      </c>
      <c r="H53" s="11">
        <v>236.5</v>
      </c>
      <c r="I53" s="10">
        <v>-3.5</v>
      </c>
      <c r="J53" s="12">
        <v>1.617283950617284</v>
      </c>
      <c r="K53" s="12">
        <v>2.36</v>
      </c>
      <c r="L53" s="11">
        <v>234.5</v>
      </c>
      <c r="M53" s="12">
        <v>1.909090909090909</v>
      </c>
      <c r="N53" s="12">
        <v>1.909090909090909</v>
      </c>
      <c r="O53" s="10">
        <v>-3.5</v>
      </c>
      <c r="P53" s="12">
        <v>1.952380952380952</v>
      </c>
      <c r="Q53" s="12">
        <v>1.869565217391304</v>
      </c>
      <c r="R53" s="12">
        <v>1.617283950617284</v>
      </c>
      <c r="S53" s="12">
        <v>2.36</v>
      </c>
      <c r="T53" s="8" t="s">
        <v>182</v>
      </c>
      <c r="U53" s="8" t="s">
        <v>183</v>
      </c>
      <c r="V53" s="11">
        <v>236.5</v>
      </c>
      <c r="W53" s="12">
        <v>1.892857142857143</v>
      </c>
      <c r="X53" s="12">
        <v>1.925925925925926</v>
      </c>
      <c r="Y53" s="13">
        <f>(1/R53)/((1/R53)+(1/S53))</f>
        <v>0.593369754159424</v>
      </c>
      <c r="Z53" s="13">
        <f>(1/J53)/((1/J53)+(1/K53))</f>
        <v>0.593369754159424</v>
      </c>
      <c r="AA53" s="14">
        <f>1/R53+1/S53-1</f>
        <v>0.042049424246344724</v>
      </c>
      <c r="AB53" s="15">
        <f>O53-I53</f>
        <v>0.0</v>
      </c>
      <c r="AC53" s="15">
        <f>IF(G53="","",G53-O53)</f>
        <v>0.0</v>
      </c>
      <c r="AD53" s="15">
        <f>H53-V53</f>
        <v>0.0</v>
      </c>
      <c r="AE53" s="16">
        <f>IF(F53&gt;E53,1,0)</f>
        <v>1</v>
      </c>
      <c r="AF53" s="16">
        <f>F53+E53</f>
        <v>223</v>
      </c>
      <c r="AG53" s="16">
        <f>IF(Y53=0.5,"",IF((Y53&gt;0.5)=(AE53=1),1,0))</f>
        <v>1</v>
      </c>
      <c r="AH53" s="16">
        <f>IF(Z53=0.5,"",IF((Z53&gt;0.5)=(AE53=1),1,0))</f>
        <v>1</v>
      </c>
      <c r="AI53" s="17" t="str">
        <f>IF(AF53&gt;V53,"Üst",IF(AF53&lt;V53,"Alt","Push"))</f>
        <v>Alt</v>
      </c>
    </row>
    <row r="54" spans="1:35">
      <c r="A54" s="7">
        <v>46091</v>
      </c>
      <c r="B54" s="8" t="s">
        <v>189</v>
      </c>
      <c r="C54" s="8" t="s">
        <v>77</v>
      </c>
      <c r="D54" s="8" t="s">
        <v>91</v>
      </c>
      <c r="E54" s="9">
        <v>106</v>
      </c>
      <c r="F54" s="9">
        <v>120</v>
      </c>
      <c r="G54" s="10">
        <v>2.5</v>
      </c>
      <c r="H54" s="11">
        <v>229.5</v>
      </c>
      <c r="I54" s="10">
        <v>1.5</v>
      </c>
      <c r="J54" s="12">
        <v>2</v>
      </c>
      <c r="K54" s="12">
        <v>1.833333333333333</v>
      </c>
      <c r="L54" s="11">
        <v>232.5</v>
      </c>
      <c r="M54" s="12">
        <v>1.909090909090909</v>
      </c>
      <c r="N54" s="12">
        <v>1.909090909090909</v>
      </c>
      <c r="O54" s="10">
        <v>2.5</v>
      </c>
      <c r="P54" s="12">
        <v>1.952380952380952</v>
      </c>
      <c r="Q54" s="12">
        <v>1.869565217391304</v>
      </c>
      <c r="R54" s="12">
        <v>2.2</v>
      </c>
      <c r="S54" s="12">
        <v>1.704225352112676</v>
      </c>
      <c r="T54" s="8" t="s">
        <v>190</v>
      </c>
      <c r="U54" s="8" t="s">
        <v>191</v>
      </c>
      <c r="V54" s="11">
        <v>229.5</v>
      </c>
      <c r="W54" s="12">
        <v>1.909090909090909</v>
      </c>
      <c r="X54" s="12">
        <v>1.909090909090909</v>
      </c>
      <c r="Y54" s="13">
        <f>(1/R54)/((1/R54)+(1/S54))</f>
        <v>0.43650793650793646</v>
      </c>
      <c r="Z54" s="13">
        <f>(1/J54)/((1/J54)+(1/K54))</f>
        <v>0.4782608695652174</v>
      </c>
      <c r="AA54" s="14">
        <f>1/R54+1/S54-1</f>
        <v>0.04132231404958686</v>
      </c>
      <c r="AB54" s="15">
        <f>O54-I54</f>
        <v>1.0</v>
      </c>
      <c r="AC54" s="15">
        <f>IF(G54="","",G54-O54)</f>
        <v>0.0</v>
      </c>
      <c r="AD54" s="15">
        <f>H54-V54</f>
        <v>0.0</v>
      </c>
      <c r="AE54" s="16">
        <f>IF(F54&gt;E54,1,0)</f>
        <v>1</v>
      </c>
      <c r="AF54" s="16">
        <f>F54+E54</f>
        <v>226</v>
      </c>
      <c r="AG54" s="16">
        <f>IF(Y54=0.5,"",IF((Y54&gt;0.5)=(AE54=1),1,0))</f>
        <v>0</v>
      </c>
      <c r="AH54" s="16">
        <f>IF(Z54=0.5,"",IF((Z54&gt;0.5)=(AE54=1),1,0))</f>
        <v>0</v>
      </c>
      <c r="AI54" s="17" t="str">
        <f>IF(AF54&gt;V54,"Üst",IF(AF54&lt;V54,"Alt","Push"))</f>
        <v>Alt</v>
      </c>
    </row>
    <row r="55" spans="1:35">
      <c r="A55" s="7">
        <v>46092</v>
      </c>
      <c r="B55" s="8" t="s">
        <v>192</v>
      </c>
      <c r="C55" s="8" t="s">
        <v>134</v>
      </c>
      <c r="D55" s="8" t="s">
        <v>62</v>
      </c>
      <c r="E55" s="9">
        <v>122</v>
      </c>
      <c r="F55" s="9">
        <v>128</v>
      </c>
      <c r="G55" s="10">
        <v>2.5</v>
      </c>
      <c r="H55" s="11">
        <v>226.5</v>
      </c>
      <c r="I55" s="10">
        <v>2.5</v>
      </c>
      <c r="J55" s="12">
        <v>2.14</v>
      </c>
      <c r="K55" s="12">
        <v>1.740740740740741</v>
      </c>
      <c r="L55" s="11">
        <v>225.5</v>
      </c>
      <c r="M55" s="12">
        <v>1.909090909090909</v>
      </c>
      <c r="N55" s="12">
        <v>1.909090909090909</v>
      </c>
      <c r="O55" s="10">
        <v>3.5</v>
      </c>
      <c r="P55" s="12">
        <v>1.869565217391304</v>
      </c>
      <c r="Q55" s="12">
        <v>1.952380952380952</v>
      </c>
      <c r="R55" s="12">
        <v>2.3</v>
      </c>
      <c r="S55" s="12">
        <v>1.645161290322581</v>
      </c>
      <c r="T55" s="8" t="s">
        <v>164</v>
      </c>
      <c r="U55" s="8" t="s">
        <v>163</v>
      </c>
      <c r="V55" s="11">
        <v>226.5</v>
      </c>
      <c r="W55" s="12">
        <v>1.892857142857143</v>
      </c>
      <c r="X55" s="12">
        <v>1.925925925925926</v>
      </c>
      <c r="Y55" s="13">
        <f>(1/R55)/((1/R55)+(1/S55))</f>
        <v>0.41700735895339325</v>
      </c>
      <c r="Z55" s="13">
        <f>(1/J55)/((1/J55)+(1/K55))</f>
        <v>0.44855888528345106</v>
      </c>
      <c r="AA55" s="14">
        <f>1/R55+1/S55-1</f>
        <v>0.04262574595055435</v>
      </c>
      <c r="AB55" s="15">
        <f>O55-I55</f>
        <v>1.0</v>
      </c>
      <c r="AC55" s="15">
        <f>IF(G55="","",G55-O55)</f>
        <v>-1.0</v>
      </c>
      <c r="AD55" s="15">
        <f>H55-V55</f>
        <v>0.0</v>
      </c>
      <c r="AE55" s="16">
        <f>IF(F55&gt;E55,1,0)</f>
        <v>1</v>
      </c>
      <c r="AF55" s="16">
        <f>F55+E55</f>
        <v>250</v>
      </c>
      <c r="AG55" s="16">
        <f>IF(Y55=0.5,"",IF((Y55&gt;0.5)=(AE55=1),1,0))</f>
        <v>0</v>
      </c>
      <c r="AH55" s="16">
        <f>IF(Z55=0.5,"",IF((Z55&gt;0.5)=(AE55=1),1,0))</f>
        <v>0</v>
      </c>
      <c r="AI55" s="17" t="str">
        <f>IF(AF55&gt;V55,"Üst",IF(AF55&lt;V55,"Alt","Push"))</f>
        <v>Üst</v>
      </c>
    </row>
    <row r="56" spans="1:35">
      <c r="A56" s="7">
        <v>46092</v>
      </c>
      <c r="B56" s="8" t="s">
        <v>193</v>
      </c>
      <c r="C56" s="8" t="s">
        <v>76</v>
      </c>
      <c r="D56" s="8" t="s">
        <v>96</v>
      </c>
      <c r="E56" s="9">
        <v>111</v>
      </c>
      <c r="F56" s="9">
        <v>122</v>
      </c>
      <c r="G56" s="10">
        <v>2.5</v>
      </c>
      <c r="H56" s="11">
        <v>235.5</v>
      </c>
      <c r="I56" s="10">
        <v>1.5</v>
      </c>
      <c r="J56" s="12">
        <v>2.05</v>
      </c>
      <c r="K56" s="12">
        <v>1.8</v>
      </c>
      <c r="L56" s="11">
        <v>232.5</v>
      </c>
      <c r="M56" s="12">
        <v>1.909090909090909</v>
      </c>
      <c r="N56" s="12">
        <v>1.909090909090909</v>
      </c>
      <c r="O56" s="10">
        <v>2.5</v>
      </c>
      <c r="P56" s="12">
        <v>1.909090909090909</v>
      </c>
      <c r="Q56" s="12">
        <v>1.909090909090909</v>
      </c>
      <c r="R56" s="12">
        <v>2.2</v>
      </c>
      <c r="S56" s="12">
        <v>1.704225352112676</v>
      </c>
      <c r="T56" s="8" t="s">
        <v>190</v>
      </c>
      <c r="U56" s="8" t="s">
        <v>191</v>
      </c>
      <c r="V56" s="11">
        <v>235.5</v>
      </c>
      <c r="W56" s="12">
        <v>1.892857142857143</v>
      </c>
      <c r="X56" s="12">
        <v>1.925925925925926</v>
      </c>
      <c r="Y56" s="13">
        <f>(1/R56)/((1/R56)+(1/S56))</f>
        <v>0.43650793650793646</v>
      </c>
      <c r="Z56" s="13">
        <f>(1/J56)/((1/J56)+(1/K56))</f>
        <v>0.4675324675324676</v>
      </c>
      <c r="AA56" s="14">
        <f>1/R56+1/S56-1</f>
        <v>0.04132231404958686</v>
      </c>
      <c r="AB56" s="15">
        <f>O56-I56</f>
        <v>1.0</v>
      </c>
      <c r="AC56" s="15">
        <f>IF(G56="","",G56-O56)</f>
        <v>0.0</v>
      </c>
      <c r="AD56" s="15">
        <f>H56-V56</f>
        <v>0.0</v>
      </c>
      <c r="AE56" s="16">
        <f>IF(F56&gt;E56,1,0)</f>
        <v>1</v>
      </c>
      <c r="AF56" s="16">
        <f>F56+E56</f>
        <v>233</v>
      </c>
      <c r="AG56" s="16">
        <f>IF(Y56=0.5,"",IF((Y56&gt;0.5)=(AE56=1),1,0))</f>
        <v>0</v>
      </c>
      <c r="AH56" s="16">
        <f>IF(Z56=0.5,"",IF((Z56&gt;0.5)=(AE56=1),1,0))</f>
        <v>0</v>
      </c>
      <c r="AI56" s="17" t="str">
        <f>IF(AF56&gt;V56,"Üst",IF(AF56&lt;V56,"Alt","Push"))</f>
        <v>Alt</v>
      </c>
    </row>
    <row r="57" spans="1:35">
      <c r="A57" s="7">
        <v>46092</v>
      </c>
      <c r="B57" s="8" t="s">
        <v>194</v>
      </c>
      <c r="C57" s="8" t="s">
        <v>110</v>
      </c>
      <c r="D57" s="8" t="s">
        <v>41</v>
      </c>
      <c r="E57" s="9">
        <v>134</v>
      </c>
      <c r="F57" s="9">
        <v>117</v>
      </c>
      <c r="G57" s="10">
        <v>13.5</v>
      </c>
      <c r="H57" s="11">
        <v>231.5</v>
      </c>
      <c r="I57" s="10">
        <v>12.5</v>
      </c>
      <c r="J57" s="12">
        <v>6</v>
      </c>
      <c r="K57" s="12">
        <v>1.142857142857143</v>
      </c>
      <c r="L57" s="11">
        <v>230.5</v>
      </c>
      <c r="M57" s="12">
        <v>1.869565217391304</v>
      </c>
      <c r="N57" s="12">
        <v>1.952380952380952</v>
      </c>
      <c r="O57" s="10">
        <v>13.5</v>
      </c>
      <c r="P57" s="12">
        <v>1.952380952380952</v>
      </c>
      <c r="Q57" s="12">
        <v>1.869565217391304</v>
      </c>
      <c r="R57" s="12">
        <v>7.5</v>
      </c>
      <c r="S57" s="12">
        <v>1.1</v>
      </c>
      <c r="T57" s="8" t="s">
        <v>195</v>
      </c>
      <c r="U57" s="8" t="s">
        <v>196</v>
      </c>
      <c r="V57" s="11">
        <v>231.5</v>
      </c>
      <c r="W57" s="12">
        <v>1.909090909090909</v>
      </c>
      <c r="X57" s="12">
        <v>1.909090909090909</v>
      </c>
      <c r="Y57" s="13">
        <f>(1/R57)/((1/R57)+(1/S57))</f>
        <v>0.12790697674418605</v>
      </c>
      <c r="Z57" s="13">
        <f>(1/J57)/((1/J57)+(1/K57))</f>
        <v>0.15999999999999998</v>
      </c>
      <c r="AA57" s="14">
        <f>1/R57+1/S57-1</f>
        <v>0.042424242424242475</v>
      </c>
      <c r="AB57" s="15">
        <f>O57-I57</f>
        <v>1.0</v>
      </c>
      <c r="AC57" s="15">
        <f>IF(G57="","",G57-O57)</f>
        <v>0.0</v>
      </c>
      <c r="AD57" s="15">
        <f>H57-V57</f>
        <v>0.0</v>
      </c>
      <c r="AE57" s="16">
        <f>IF(F57&gt;E57,1,0)</f>
        <v>0</v>
      </c>
      <c r="AF57" s="16">
        <f>F57+E57</f>
        <v>251</v>
      </c>
      <c r="AG57" s="16">
        <f>IF(Y57=0.5,"",IF((Y57&gt;0.5)=(AE57=1),1,0))</f>
        <v>1</v>
      </c>
      <c r="AH57" s="16">
        <f>IF(Z57=0.5,"",IF((Z57&gt;0.5)=(AE57=1),1,0))</f>
        <v>1</v>
      </c>
      <c r="AI57" s="17" t="str">
        <f>IF(AF57&gt;V57,"Üst",IF(AF57&lt;V57,"Alt","Push"))</f>
        <v>Üst</v>
      </c>
    </row>
    <row r="58" spans="1:35">
      <c r="A58" s="7">
        <v>46092</v>
      </c>
      <c r="B58" s="8" t="s">
        <v>197</v>
      </c>
      <c r="C58" s="8" t="s">
        <v>74</v>
      </c>
      <c r="D58" s="8" t="s">
        <v>92</v>
      </c>
      <c r="E58" s="9">
        <v>93</v>
      </c>
      <c r="F58" s="9">
        <v>129</v>
      </c>
      <c r="G58" s="10">
        <v>-7.5</v>
      </c>
      <c r="H58" s="11">
        <v>232.5</v>
      </c>
      <c r="I58" s="10">
        <v>-5.5</v>
      </c>
      <c r="J58" s="12">
        <v>1.458715596330275</v>
      </c>
      <c r="K58" s="12">
        <v>2.8</v>
      </c>
      <c r="L58" s="11">
        <v>227.5</v>
      </c>
      <c r="M58" s="12">
        <v>1.909090909090909</v>
      </c>
      <c r="N58" s="12">
        <v>1.909090909090909</v>
      </c>
      <c r="O58" s="10">
        <v>-6.5</v>
      </c>
      <c r="P58" s="12">
        <v>1.869565217391304</v>
      </c>
      <c r="Q58" s="12">
        <v>1.952380952380952</v>
      </c>
      <c r="R58" s="12">
        <v>1.377358490566038</v>
      </c>
      <c r="S58" s="12">
        <v>3.15</v>
      </c>
      <c r="T58" s="8" t="s">
        <v>99</v>
      </c>
      <c r="U58" s="8" t="s">
        <v>98</v>
      </c>
      <c r="V58" s="11">
        <v>232.5</v>
      </c>
      <c r="W58" s="12">
        <v>1.925925925925926</v>
      </c>
      <c r="X58" s="12">
        <v>1.892857142857143</v>
      </c>
      <c r="Y58" s="13">
        <f>(1/R58)/((1/R58)+(1/S58))</f>
        <v>0.6957699520733487</v>
      </c>
      <c r="Z58" s="13">
        <f>(1/J58)/((1/J58)+(1/K58))</f>
        <v>0.6574752261956053</v>
      </c>
      <c r="AA58" s="14">
        <f>1/R58+1/S58-1</f>
        <v>0.04348771472059143</v>
      </c>
      <c r="AB58" s="15">
        <f>O58-I58</f>
        <v>-1.0</v>
      </c>
      <c r="AC58" s="15">
        <f>IF(G58="","",G58-O58)</f>
        <v>-1.0</v>
      </c>
      <c r="AD58" s="15">
        <f>H58-V58</f>
        <v>0.0</v>
      </c>
      <c r="AE58" s="16">
        <f>IF(F58&gt;E58,1,0)</f>
        <v>1</v>
      </c>
      <c r="AF58" s="16">
        <f>F58+E58</f>
        <v>222</v>
      </c>
      <c r="AG58" s="16">
        <f>IF(Y58=0.5,"",IF((Y58&gt;0.5)=(AE58=1),1,0))</f>
        <v>1</v>
      </c>
      <c r="AH58" s="16">
        <f>IF(Z58=0.5,"",IF((Z58&gt;0.5)=(AE58=1),1,0))</f>
        <v>1</v>
      </c>
      <c r="AI58" s="17" t="str">
        <f>IF(AF58&gt;V58,"Üst",IF(AF58&lt;V58,"Alt","Push"))</f>
        <v>Alt</v>
      </c>
    </row>
    <row r="59" spans="1:35">
      <c r="A59" s="7">
        <v>46092</v>
      </c>
      <c r="B59" s="8" t="s">
        <v>198</v>
      </c>
      <c r="C59" s="8" t="s">
        <v>105</v>
      </c>
      <c r="D59" s="8" t="s">
        <v>97</v>
      </c>
      <c r="E59" s="9">
        <v>117</v>
      </c>
      <c r="F59" s="9">
        <v>109</v>
      </c>
      <c r="G59" s="10">
        <v>14.5</v>
      </c>
      <c r="H59" s="11">
        <v>224.5</v>
      </c>
      <c r="I59" s="10">
        <v>12.5</v>
      </c>
      <c r="J59" s="12">
        <v>6</v>
      </c>
      <c r="K59" s="12">
        <v>1.142857142857143</v>
      </c>
      <c r="L59" s="11">
        <v>227.5</v>
      </c>
      <c r="M59" s="12">
        <v>1.909090909090909</v>
      </c>
      <c r="N59" s="12">
        <v>1.909090909090909</v>
      </c>
      <c r="O59" s="10">
        <v>14.5</v>
      </c>
      <c r="P59" s="12">
        <v>1.952380952380952</v>
      </c>
      <c r="Q59" s="12">
        <v>1.869565217391304</v>
      </c>
      <c r="R59" s="12">
        <v>7.5</v>
      </c>
      <c r="S59" s="12">
        <v>1.1</v>
      </c>
      <c r="T59" s="8" t="s">
        <v>195</v>
      </c>
      <c r="U59" s="8" t="s">
        <v>196</v>
      </c>
      <c r="V59" s="11">
        <v>224.5</v>
      </c>
      <c r="W59" s="12">
        <v>1.925925925925926</v>
      </c>
      <c r="X59" s="12">
        <v>1.892857142857143</v>
      </c>
      <c r="Y59" s="13">
        <f>(1/R59)/((1/R59)+(1/S59))</f>
        <v>0.12790697674418605</v>
      </c>
      <c r="Z59" s="13">
        <f>(1/J59)/((1/J59)+(1/K59))</f>
        <v>0.15999999999999998</v>
      </c>
      <c r="AA59" s="14">
        <f>1/R59+1/S59-1</f>
        <v>0.042424242424242475</v>
      </c>
      <c r="AB59" s="15">
        <f>O59-I59</f>
        <v>2.0</v>
      </c>
      <c r="AC59" s="15">
        <f>IF(G59="","",G59-O59)</f>
        <v>0.0</v>
      </c>
      <c r="AD59" s="15">
        <f>H59-V59</f>
        <v>0.0</v>
      </c>
      <c r="AE59" s="16">
        <f>IF(F59&gt;E59,1,0)</f>
        <v>0</v>
      </c>
      <c r="AF59" s="16">
        <f>F59+E59</f>
        <v>226</v>
      </c>
      <c r="AG59" s="16">
        <f>IF(Y59=0.5,"",IF((Y59&gt;0.5)=(AE59=1),1,0))</f>
        <v>1</v>
      </c>
      <c r="AH59" s="16">
        <f>IF(Z59=0.5,"",IF((Z59&gt;0.5)=(AE59=1),1,0))</f>
        <v>1</v>
      </c>
      <c r="AI59" s="17" t="str">
        <f>IF(AF59&gt;V59,"Üst",IF(AF59&lt;V59,"Alt","Push"))</f>
        <v>Üst</v>
      </c>
    </row>
    <row r="60" spans="1:35">
      <c r="A60" s="7">
        <v>46092</v>
      </c>
      <c r="B60" s="8" t="s">
        <v>199</v>
      </c>
      <c r="C60" s="8" t="s">
        <v>77</v>
      </c>
      <c r="D60" s="8" t="s">
        <v>57</v>
      </c>
      <c r="E60" s="9">
        <v>128</v>
      </c>
      <c r="F60" s="9">
        <v>153</v>
      </c>
      <c r="G60" s="10">
        <v>-1.5</v>
      </c>
      <c r="H60" s="11">
        <v>226.5</v>
      </c>
      <c r="I60" s="10">
        <v>-1.5</v>
      </c>
      <c r="J60" s="12">
        <v>1.869565217391304</v>
      </c>
      <c r="K60" s="12">
        <v>1.952380952380952</v>
      </c>
      <c r="L60" s="11">
        <v>225.5</v>
      </c>
      <c r="M60" s="12">
        <v>1.869565217391304</v>
      </c>
      <c r="N60" s="12">
        <v>1.952380952380952</v>
      </c>
      <c r="O60" s="10">
        <v>-1.5</v>
      </c>
      <c r="P60" s="12">
        <v>1.952380952380952</v>
      </c>
      <c r="Q60" s="12">
        <v>1.869565217391304</v>
      </c>
      <c r="R60" s="12">
        <v>1.869565217391304</v>
      </c>
      <c r="S60" s="12">
        <v>1.952380952380952</v>
      </c>
      <c r="T60" s="8" t="s">
        <v>53</v>
      </c>
      <c r="U60" s="8" t="s">
        <v>54</v>
      </c>
      <c r="V60" s="11">
        <v>226.5</v>
      </c>
      <c r="W60" s="12">
        <v>1.892857142857143</v>
      </c>
      <c r="X60" s="12">
        <v>1.925925925925926</v>
      </c>
      <c r="Y60" s="13">
        <f>(1/R60)/((1/R60)+(1/S60))</f>
        <v>0.5108342361863489</v>
      </c>
      <c r="Z60" s="13">
        <f>(1/J60)/((1/J60)+(1/K60))</f>
        <v>0.5108342361863489</v>
      </c>
      <c r="AA60" s="14">
        <f>1/R60+1/S60-1</f>
        <v>0.04707884288145214</v>
      </c>
      <c r="AB60" s="15">
        <f>O60-I60</f>
        <v>0.0</v>
      </c>
      <c r="AC60" s="15">
        <f>IF(G60="","",G60-O60)</f>
        <v>0.0</v>
      </c>
      <c r="AD60" s="15">
        <f>H60-V60</f>
        <v>0.0</v>
      </c>
      <c r="AE60" s="16">
        <f>IF(F60&gt;E60,1,0)</f>
        <v>1</v>
      </c>
      <c r="AF60" s="16">
        <f>F60+E60</f>
        <v>281</v>
      </c>
      <c r="AG60" s="16">
        <f>IF(Y60=0.5,"",IF((Y60&gt;0.5)=(AE60=1),1,0))</f>
        <v>1</v>
      </c>
      <c r="AH60" s="16">
        <f>IF(Z60=0.5,"",IF((Z60&gt;0.5)=(AE60=1),1,0))</f>
        <v>1</v>
      </c>
      <c r="AI60" s="17" t="str">
        <f>IF(AF60&gt;V60,"Üst",IF(AF60&lt;V60,"Alt","Push"))</f>
        <v>Üst</v>
      </c>
    </row>
    <row r="61" spans="1:35">
      <c r="A61" s="7">
        <v>46093</v>
      </c>
      <c r="B61" s="8" t="s">
        <v>200</v>
      </c>
      <c r="C61" s="8" t="s">
        <v>42</v>
      </c>
      <c r="D61" s="8" t="s">
        <v>81</v>
      </c>
      <c r="E61" s="9">
        <v>109</v>
      </c>
      <c r="F61" s="9">
        <v>131</v>
      </c>
      <c r="G61" s="10">
        <v>-14.5</v>
      </c>
      <c r="H61" s="11">
        <v>224.5</v>
      </c>
      <c r="I61" s="10">
        <v>-14.5</v>
      </c>
      <c r="J61" s="12">
        <v>1.095238095238095</v>
      </c>
      <c r="K61" s="12">
        <v>7.75</v>
      </c>
      <c r="L61" s="11">
        <v>219.5</v>
      </c>
      <c r="M61" s="12">
        <v>1.869565217391304</v>
      </c>
      <c r="N61" s="12">
        <v>1.952380952380952</v>
      </c>
      <c r="O61" s="10">
        <v>-14.5</v>
      </c>
      <c r="P61" s="12">
        <v>1.925925925925926</v>
      </c>
      <c r="Q61" s="12">
        <v>1.892857142857143</v>
      </c>
      <c r="R61" s="12">
        <v>1.095238095238095</v>
      </c>
      <c r="S61" s="12">
        <v>7.75</v>
      </c>
      <c r="T61" s="8" t="s">
        <v>201</v>
      </c>
      <c r="U61" s="8" t="s">
        <v>202</v>
      </c>
      <c r="V61" s="11">
        <v>224.5</v>
      </c>
      <c r="W61" s="12">
        <v>1.952380952380952</v>
      </c>
      <c r="X61" s="12">
        <v>1.869565217391304</v>
      </c>
      <c r="Y61" s="13">
        <f>(1/R61)/((1/R61)+(1/S61))</f>
        <v>0.8761776581426649</v>
      </c>
      <c r="Z61" s="13">
        <f>(1/J61)/((1/J61)+(1/K61))</f>
        <v>0.8761776581426649</v>
      </c>
      <c r="AA61" s="14">
        <f>1/R61+1/S61-1</f>
        <v>0.04207573632538564</v>
      </c>
      <c r="AB61" s="15">
        <f>O61-I61</f>
        <v>0.0</v>
      </c>
      <c r="AC61" s="15">
        <f>IF(G61="","",G61-O61)</f>
        <v>0.0</v>
      </c>
      <c r="AD61" s="15">
        <f>H61-V61</f>
        <v>0.0</v>
      </c>
      <c r="AE61" s="16">
        <f>IF(F61&gt;E61,1,0)</f>
        <v>1</v>
      </c>
      <c r="AF61" s="16">
        <f>F61+E61</f>
        <v>240</v>
      </c>
      <c r="AG61" s="16">
        <f>IF(Y61=0.5,"",IF((Y61&gt;0.5)=(AE61=1),1,0))</f>
        <v>1</v>
      </c>
      <c r="AH61" s="16">
        <f>IF(Z61=0.5,"",IF((Z61&gt;0.5)=(AE61=1),1,0))</f>
        <v>1</v>
      </c>
      <c r="AI61" s="17" t="str">
        <f>IF(AF61&gt;V61,"Üst",IF(AF61&lt;V61,"Alt","Push"))</f>
        <v>Üst</v>
      </c>
    </row>
    <row r="62" spans="1:35">
      <c r="A62" s="7">
        <v>46093</v>
      </c>
      <c r="B62" s="8" t="s">
        <v>203</v>
      </c>
      <c r="C62" s="8" t="s">
        <v>87</v>
      </c>
      <c r="D62" s="8" t="s">
        <v>56</v>
      </c>
      <c r="E62" s="9">
        <v>123</v>
      </c>
      <c r="F62" s="9">
        <v>108</v>
      </c>
      <c r="G62" s="10">
        <v>9.5</v>
      </c>
      <c r="H62" s="11">
        <v>222.5</v>
      </c>
      <c r="I62" s="10">
        <v>8.5</v>
      </c>
      <c r="J62" s="12">
        <v>3.8</v>
      </c>
      <c r="K62" s="12">
        <v>1.28169014084507</v>
      </c>
      <c r="L62" s="11">
        <v>225.5</v>
      </c>
      <c r="M62" s="12">
        <v>1.909090909090909</v>
      </c>
      <c r="N62" s="12">
        <v>1.909090909090909</v>
      </c>
      <c r="O62" s="10">
        <v>9.5</v>
      </c>
      <c r="P62" s="12">
        <v>1.847457627118644</v>
      </c>
      <c r="Q62" s="12">
        <v>1.980392156862745</v>
      </c>
      <c r="R62" s="12">
        <v>4.2</v>
      </c>
      <c r="S62" s="12">
        <v>1.24390243902439</v>
      </c>
      <c r="T62" s="8" t="s">
        <v>119</v>
      </c>
      <c r="U62" s="8" t="s">
        <v>118</v>
      </c>
      <c r="V62" s="11">
        <v>222.5</v>
      </c>
      <c r="W62" s="12">
        <v>1.869565217391304</v>
      </c>
      <c r="X62" s="12">
        <v>1.952380952380952</v>
      </c>
      <c r="Y62" s="13">
        <f>(1/R62)/((1/R62)+(1/S62))</f>
        <v>0.22849462365591394</v>
      </c>
      <c r="Z62" s="13">
        <f>(1/J62)/((1/J62)+(1/K62))</f>
        <v>0.2522172949002217</v>
      </c>
      <c r="AA62" s="14">
        <f>1/R62+1/S62-1</f>
        <v>0.04201680672268915</v>
      </c>
      <c r="AB62" s="15">
        <f>O62-I62</f>
        <v>1.0</v>
      </c>
      <c r="AC62" s="15">
        <f>IF(G62="","",G62-O62)</f>
        <v>0.0</v>
      </c>
      <c r="AD62" s="15">
        <f>H62-V62</f>
        <v>0.0</v>
      </c>
      <c r="AE62" s="16">
        <f>IF(F62&gt;E62,1,0)</f>
        <v>0</v>
      </c>
      <c r="AF62" s="16">
        <f>F62+E62</f>
        <v>231</v>
      </c>
      <c r="AG62" s="16">
        <f>IF(Y62=0.5,"",IF((Y62&gt;0.5)=(AE62=1),1,0))</f>
        <v>1</v>
      </c>
      <c r="AH62" s="16">
        <f>IF(Z62=0.5,"",IF((Z62&gt;0.5)=(AE62=1),1,0))</f>
        <v>1</v>
      </c>
      <c r="AI62" s="17" t="str">
        <f>IF(AF62&gt;V62,"Üst",IF(AF62&lt;V62,"Alt","Push"))</f>
        <v>Üst</v>
      </c>
    </row>
    <row r="63" spans="1:35">
      <c r="A63" s="7">
        <v>46093</v>
      </c>
      <c r="B63" s="8" t="s">
        <v>204</v>
      </c>
      <c r="C63" s="8" t="s">
        <v>64</v>
      </c>
      <c r="D63" s="8" t="s">
        <v>62</v>
      </c>
      <c r="E63" s="9">
        <v>131</v>
      </c>
      <c r="F63" s="9">
        <v>136</v>
      </c>
      <c r="G63" s="10">
        <v>-13.5</v>
      </c>
      <c r="H63" s="11">
        <v>236.5</v>
      </c>
      <c r="I63" s="10">
        <v>-14.5</v>
      </c>
      <c r="J63" s="12">
        <v>1.1</v>
      </c>
      <c r="K63" s="12">
        <v>7.5</v>
      </c>
      <c r="L63" s="11">
        <v>229.5</v>
      </c>
      <c r="M63" s="12">
        <v>1.909090909090909</v>
      </c>
      <c r="N63" s="12">
        <v>1.909090909090909</v>
      </c>
      <c r="O63" s="10">
        <v>-14.5</v>
      </c>
      <c r="P63" s="12">
        <v>2</v>
      </c>
      <c r="Q63" s="12">
        <v>1.833333333333333</v>
      </c>
      <c r="R63" s="12">
        <v>1.105263157894737</v>
      </c>
      <c r="S63" s="12">
        <v>7.25</v>
      </c>
      <c r="T63" s="8" t="s">
        <v>205</v>
      </c>
      <c r="U63" s="8" t="s">
        <v>206</v>
      </c>
      <c r="V63" s="11">
        <v>236.5</v>
      </c>
      <c r="W63" s="12">
        <v>1.925925925925926</v>
      </c>
      <c r="X63" s="12">
        <v>1.892857142857143</v>
      </c>
      <c r="Y63" s="13">
        <f>(1/R63)/((1/R63)+(1/S63))</f>
        <v>0.8677165354330708</v>
      </c>
      <c r="Z63" s="13">
        <f>(1/J63)/((1/J63)+(1/K63))</f>
        <v>0.8720930232558138</v>
      </c>
      <c r="AA63" s="14">
        <f>1/R63+1/S63-1</f>
        <v>0.04269293924466355</v>
      </c>
      <c r="AB63" s="15">
        <f>O63-I63</f>
        <v>0.0</v>
      </c>
      <c r="AC63" s="15">
        <f>IF(G63="","",G63-O63)</f>
        <v>1.0</v>
      </c>
      <c r="AD63" s="15">
        <f>H63-V63</f>
        <v>0.0</v>
      </c>
      <c r="AE63" s="16">
        <f>IF(F63&gt;E63,1,0)</f>
        <v>1</v>
      </c>
      <c r="AF63" s="16">
        <f>F63+E63</f>
        <v>267</v>
      </c>
      <c r="AG63" s="16">
        <f>IF(Y63=0.5,"",IF((Y63&gt;0.5)=(AE63=1),1,0))</f>
        <v>1</v>
      </c>
      <c r="AH63" s="16">
        <f>IF(Z63=0.5,"",IF((Z63&gt;0.5)=(AE63=1),1,0))</f>
        <v>1</v>
      </c>
      <c r="AI63" s="17" t="str">
        <f>IF(AF63&gt;V63,"Üst",IF(AF63&lt;V63,"Alt","Push"))</f>
        <v>Üst</v>
      </c>
    </row>
    <row r="64" spans="1:35">
      <c r="A64" s="7">
        <v>46093</v>
      </c>
      <c r="B64" s="8" t="s">
        <v>207</v>
      </c>
      <c r="C64" s="8" t="s">
        <v>68</v>
      </c>
      <c r="D64" s="8" t="s">
        <v>51</v>
      </c>
      <c r="E64" s="9">
        <v>97</v>
      </c>
      <c r="F64" s="9">
        <v>108</v>
      </c>
      <c r="G64" s="10">
        <v>-15.5</v>
      </c>
      <c r="H64" s="11">
        <v>226.5</v>
      </c>
      <c r="I64" s="10">
        <v>-13.5</v>
      </c>
      <c r="J64" s="12">
        <v>1.125</v>
      </c>
      <c r="K64" s="12">
        <v>6.5</v>
      </c>
      <c r="L64" s="11">
        <v>226.5</v>
      </c>
      <c r="M64" s="12">
        <v>1.909090909090909</v>
      </c>
      <c r="N64" s="12">
        <v>1.909090909090909</v>
      </c>
      <c r="O64" s="10">
        <v>-15.5</v>
      </c>
      <c r="P64" s="12">
        <v>1.909090909090909</v>
      </c>
      <c r="Q64" s="12">
        <v>1.909090909090909</v>
      </c>
      <c r="R64" s="12">
        <v>1.083333333333333</v>
      </c>
      <c r="S64" s="12">
        <v>8.5</v>
      </c>
      <c r="T64" s="8" t="s">
        <v>102</v>
      </c>
      <c r="U64" s="8" t="s">
        <v>103</v>
      </c>
      <c r="V64" s="11">
        <v>226.5</v>
      </c>
      <c r="W64" s="12">
        <v>1.909090909090909</v>
      </c>
      <c r="X64" s="12">
        <v>1.909090909090909</v>
      </c>
      <c r="Y64" s="13">
        <f>(1/R64)/((1/R64)+(1/S64))</f>
        <v>0.8869565217391304</v>
      </c>
      <c r="Z64" s="13">
        <f>(1/J64)/((1/J64)+(1/K64))</f>
        <v>0.8524590163934427</v>
      </c>
      <c r="AA64" s="14">
        <f>1/R64+1/S64-1</f>
        <v>0.040723981900452566</v>
      </c>
      <c r="AB64" s="15">
        <f>O64-I64</f>
        <v>-2.0</v>
      </c>
      <c r="AC64" s="15">
        <f>IF(G64="","",G64-O64)</f>
        <v>0.0</v>
      </c>
      <c r="AD64" s="15">
        <f>H64-V64</f>
        <v>0.0</v>
      </c>
      <c r="AE64" s="16">
        <f>IF(F64&gt;E64,1,0)</f>
        <v>1</v>
      </c>
      <c r="AF64" s="16">
        <f>F64+E64</f>
        <v>205</v>
      </c>
      <c r="AG64" s="16">
        <f>IF(Y64=0.5,"",IF((Y64&gt;0.5)=(AE64=1),1,0))</f>
        <v>1</v>
      </c>
      <c r="AH64" s="16">
        <f>IF(Z64=0.5,"",IF((Z64&gt;0.5)=(AE64=1),1,0))</f>
        <v>1</v>
      </c>
      <c r="AI64" s="17" t="str">
        <f>IF(AF64&gt;V64,"Üst",IF(AF64&lt;V64,"Alt","Push"))</f>
        <v>Alt</v>
      </c>
    </row>
    <row r="65" spans="1:35">
      <c r="A65" s="7">
        <v>46093</v>
      </c>
      <c r="B65" s="8" t="s">
        <v>208</v>
      </c>
      <c r="C65" s="8" t="s">
        <v>52</v>
      </c>
      <c r="D65" s="8" t="s">
        <v>69</v>
      </c>
      <c r="E65" s="9">
        <v>105</v>
      </c>
      <c r="F65" s="9">
        <v>112</v>
      </c>
      <c r="G65" s="10">
        <v>-5.5</v>
      </c>
      <c r="H65" s="11">
        <v>234.5</v>
      </c>
      <c r="I65" s="10">
        <v>-5.5</v>
      </c>
      <c r="J65" s="12">
        <v>1.434782608695652</v>
      </c>
      <c r="K65" s="12">
        <v>2.9</v>
      </c>
      <c r="L65" s="11">
        <v>228.5</v>
      </c>
      <c r="M65" s="12">
        <v>1.869565217391304</v>
      </c>
      <c r="N65" s="12">
        <v>1.952380952380952</v>
      </c>
      <c r="O65" s="10">
        <v>-5.5</v>
      </c>
      <c r="P65" s="12">
        <v>1.925925925925926</v>
      </c>
      <c r="Q65" s="12">
        <v>1.892857142857143</v>
      </c>
      <c r="R65" s="12">
        <v>1.458715596330275</v>
      </c>
      <c r="S65" s="12">
        <v>2.8</v>
      </c>
      <c r="T65" s="8" t="s">
        <v>78</v>
      </c>
      <c r="U65" s="8" t="s">
        <v>79</v>
      </c>
      <c r="V65" s="11">
        <v>233.5</v>
      </c>
      <c r="W65" s="12">
        <v>1.909090909090909</v>
      </c>
      <c r="X65" s="12">
        <v>1.909090909090909</v>
      </c>
      <c r="Y65" s="13">
        <f>(1/R65)/((1/R65)+(1/S65))</f>
        <v>0.6574752261956053</v>
      </c>
      <c r="Z65" s="13">
        <f>(1/J65)/((1/J65)+(1/K65))</f>
        <v>0.6690070210631895</v>
      </c>
      <c r="AA65" s="14">
        <f>1/R65+1/S65-1</f>
        <v>0.04267744833782583</v>
      </c>
      <c r="AB65" s="15">
        <f>O65-I65</f>
        <v>0.0</v>
      </c>
      <c r="AC65" s="15">
        <f>IF(G65="","",G65-O65)</f>
        <v>0.0</v>
      </c>
      <c r="AD65" s="15">
        <f>H65-V65</f>
        <v>1.0</v>
      </c>
      <c r="AE65" s="16">
        <f>IF(F65&gt;E65,1,0)</f>
        <v>1</v>
      </c>
      <c r="AF65" s="16">
        <f>F65+E65</f>
        <v>217</v>
      </c>
      <c r="AG65" s="16">
        <f>IF(Y65=0.5,"",IF((Y65&gt;0.5)=(AE65=1),1,0))</f>
        <v>1</v>
      </c>
      <c r="AH65" s="16">
        <f>IF(Z65=0.5,"",IF((Z65&gt;0.5)=(AE65=1),1,0))</f>
        <v>1</v>
      </c>
      <c r="AI65" s="17" t="str">
        <f>IF(AF65&gt;V65,"Üst",IF(AF65&lt;V65,"Alt","Push"))</f>
        <v>Alt</v>
      </c>
    </row>
    <row r="66" spans="1:35">
      <c r="A66" s="7">
        <v>46093</v>
      </c>
      <c r="B66" s="8" t="s">
        <v>209</v>
      </c>
      <c r="C66" s="8" t="s">
        <v>92</v>
      </c>
      <c r="D66" s="8" t="s">
        <v>82</v>
      </c>
      <c r="E66" s="9">
        <v>136</v>
      </c>
      <c r="F66" s="9">
        <v>131</v>
      </c>
      <c r="G66" s="10">
        <v>-3.5</v>
      </c>
      <c r="H66" s="11">
        <v>242.5</v>
      </c>
      <c r="I66" s="10">
        <v>-4.5</v>
      </c>
      <c r="J66" s="12">
        <v>1.540540540540541</v>
      </c>
      <c r="K66" s="12">
        <v>2.54</v>
      </c>
      <c r="L66" s="11">
        <v>234.5</v>
      </c>
      <c r="M66" s="12">
        <v>1.909090909090909</v>
      </c>
      <c r="N66" s="12">
        <v>1.909090909090909</v>
      </c>
      <c r="O66" s="10">
        <v>-3.5</v>
      </c>
      <c r="P66" s="12">
        <v>1.925925925925926</v>
      </c>
      <c r="Q66" s="12">
        <v>1.892857142857143</v>
      </c>
      <c r="R66" s="12">
        <v>1.645161290322581</v>
      </c>
      <c r="S66" s="12">
        <v>2.3</v>
      </c>
      <c r="T66" s="8" t="s">
        <v>163</v>
      </c>
      <c r="U66" s="8" t="s">
        <v>164</v>
      </c>
      <c r="V66" s="11">
        <v>241.5</v>
      </c>
      <c r="W66" s="12">
        <v>1.909090909090909</v>
      </c>
      <c r="X66" s="12">
        <v>1.909090909090909</v>
      </c>
      <c r="Y66" s="13">
        <f>(1/R66)/((1/R66)+(1/S66))</f>
        <v>0.5829926410466066</v>
      </c>
      <c r="Z66" s="13">
        <f>(1/J66)/((1/J66)+(1/K66))</f>
        <v>0.6224665518611737</v>
      </c>
      <c r="AA66" s="14">
        <f>1/R66+1/S66-1</f>
        <v>0.04262574595055435</v>
      </c>
      <c r="AB66" s="15">
        <f>O66-I66</f>
        <v>1.0</v>
      </c>
      <c r="AC66" s="15">
        <f>IF(G66="","",G66-O66)</f>
        <v>0.0</v>
      </c>
      <c r="AD66" s="15">
        <f>H66-V66</f>
        <v>1.0</v>
      </c>
      <c r="AE66" s="16">
        <f>IF(F66&gt;E66,1,0)</f>
        <v>0</v>
      </c>
      <c r="AF66" s="16">
        <f>F66+E66</f>
        <v>267</v>
      </c>
      <c r="AG66" s="16">
        <f>IF(Y66=0.5,"",IF((Y66&gt;0.5)=(AE66=1),1,0))</f>
        <v>0</v>
      </c>
      <c r="AH66" s="16">
        <f>IF(Z66=0.5,"",IF((Z66&gt;0.5)=(AE66=1),1,0))</f>
        <v>0</v>
      </c>
      <c r="AI66" s="17" t="str">
        <f>IF(AF66&gt;V66,"Üst",IF(AF66&lt;V66,"Alt","Push"))</f>
        <v>Üst</v>
      </c>
    </row>
    <row r="67" spans="1:35">
      <c r="A67" s="7">
        <v>46093</v>
      </c>
      <c r="B67" s="8" t="s">
        <v>210</v>
      </c>
      <c r="C67" s="8" t="s">
        <v>101</v>
      </c>
      <c r="D67" s="8" t="s">
        <v>130</v>
      </c>
      <c r="E67" s="9">
        <v>102</v>
      </c>
      <c r="F67" s="9">
        <v>104</v>
      </c>
      <c r="G67" s="10">
        <v>-8.5</v>
      </c>
      <c r="H67" s="11">
        <v>216.5</v>
      </c>
      <c r="I67" s="10">
        <v>-6.5</v>
      </c>
      <c r="J67" s="12">
        <v>1.420168067226891</v>
      </c>
      <c r="K67" s="12">
        <v>2.95</v>
      </c>
      <c r="L67" s="11">
        <v>216.5</v>
      </c>
      <c r="M67" s="12">
        <v>1.892857142857143</v>
      </c>
      <c r="N67" s="12">
        <v>1.925925925925926</v>
      </c>
      <c r="O67" s="10">
        <v>-8.5</v>
      </c>
      <c r="P67" s="12">
        <v>1.909090909090909</v>
      </c>
      <c r="Q67" s="12">
        <v>1.909090909090909</v>
      </c>
      <c r="R67" s="12">
        <v>1.289855072463768</v>
      </c>
      <c r="S67" s="12">
        <v>3.75</v>
      </c>
      <c r="T67" s="8" t="s">
        <v>211</v>
      </c>
      <c r="U67" s="8" t="s">
        <v>212</v>
      </c>
      <c r="V67" s="11">
        <v>216.5</v>
      </c>
      <c r="W67" s="12">
        <v>1.892857142857143</v>
      </c>
      <c r="X67" s="12">
        <v>1.925925925925926</v>
      </c>
      <c r="Y67" s="13">
        <f>(1/R67)/((1/R67)+(1/S67))</f>
        <v>0.7440690150970525</v>
      </c>
      <c r="Z67" s="13">
        <f>(1/J67)/((1/J67)+(1/K67))</f>
        <v>0.6750312469954812</v>
      </c>
      <c r="AA67" s="14">
        <f>1/R67+1/S67-1</f>
        <v>0.04194756554307122</v>
      </c>
      <c r="AB67" s="15">
        <f>O67-I67</f>
        <v>-2.0</v>
      </c>
      <c r="AC67" s="15">
        <f>IF(G67="","",G67-O67)</f>
        <v>0.0</v>
      </c>
      <c r="AD67" s="15">
        <f>H67-V67</f>
        <v>0.0</v>
      </c>
      <c r="AE67" s="16">
        <f>IF(F67&gt;E67,1,0)</f>
        <v>1</v>
      </c>
      <c r="AF67" s="16">
        <f>F67+E67</f>
        <v>206</v>
      </c>
      <c r="AG67" s="16">
        <f>IF(Y67=0.5,"",IF((Y67&gt;0.5)=(AE67=1),1,0))</f>
        <v>1</v>
      </c>
      <c r="AH67" s="16">
        <f>IF(Z67=0.5,"",IF((Z67&gt;0.5)=(AE67=1),1,0))</f>
        <v>1</v>
      </c>
      <c r="AI67" s="17" t="str">
        <f>IF(AF67&gt;V67,"Üst",IF(AF67&lt;V67,"Alt","Push"))</f>
        <v>Alt</v>
      </c>
    </row>
    <row r="68" spans="1:35">
      <c r="A68" s="7">
        <v>46093</v>
      </c>
      <c r="B68" s="8" t="s">
        <v>213</v>
      </c>
      <c r="C68" s="8" t="s">
        <v>86</v>
      </c>
      <c r="D68" s="8" t="s">
        <v>91</v>
      </c>
      <c r="E68" s="9">
        <v>130</v>
      </c>
      <c r="F68" s="9">
        <v>142</v>
      </c>
      <c r="G68" s="10">
        <v>-10.5</v>
      </c>
      <c r="H68" s="11">
        <v>241.5</v>
      </c>
      <c r="I68" s="10">
        <v>-10.5</v>
      </c>
      <c r="J68" s="12">
        <v>1.2</v>
      </c>
      <c r="K68" s="12">
        <v>4.8</v>
      </c>
      <c r="L68" s="11">
        <v>232.5</v>
      </c>
      <c r="M68" s="12">
        <v>1.909090909090909</v>
      </c>
      <c r="N68" s="12">
        <v>1.909090909090909</v>
      </c>
      <c r="O68" s="10">
        <v>-10.5</v>
      </c>
      <c r="P68" s="12">
        <v>1.869565217391304</v>
      </c>
      <c r="Q68" s="12">
        <v>1.952380952380952</v>
      </c>
      <c r="R68" s="12">
        <v>1.173913043478261</v>
      </c>
      <c r="S68" s="12">
        <v>5.25</v>
      </c>
      <c r="T68" s="8" t="s">
        <v>214</v>
      </c>
      <c r="U68" s="8" t="s">
        <v>215</v>
      </c>
      <c r="V68" s="11">
        <v>240.5</v>
      </c>
      <c r="W68" s="12">
        <v>1.909090909090909</v>
      </c>
      <c r="X68" s="12">
        <v>1.909090909090909</v>
      </c>
      <c r="Y68" s="13">
        <f>(1/R68)/((1/R68)+(1/S68))</f>
        <v>0.8172588832487311</v>
      </c>
      <c r="Z68" s="13">
        <f>(1/J68)/((1/J68)+(1/K68))</f>
        <v>0.7999999999999999</v>
      </c>
      <c r="AA68" s="14">
        <f>1/R68+1/S68-1</f>
        <v>0.042328042328042326</v>
      </c>
      <c r="AB68" s="15">
        <f>O68-I68</f>
        <v>0.0</v>
      </c>
      <c r="AC68" s="15">
        <f>IF(G68="","",G68-O68)</f>
        <v>0.0</v>
      </c>
      <c r="AD68" s="15">
        <f>H68-V68</f>
        <v>1.0</v>
      </c>
      <c r="AE68" s="16">
        <f>IF(F68&gt;E68,1,0)</f>
        <v>1</v>
      </c>
      <c r="AF68" s="16">
        <f>F68+E68</f>
        <v>272</v>
      </c>
      <c r="AG68" s="16">
        <f>IF(Y68=0.5,"",IF((Y68&gt;0.5)=(AE68=1),1,0))</f>
        <v>1</v>
      </c>
      <c r="AH68" s="16">
        <f>IF(Z68=0.5,"",IF((Z68&gt;0.5)=(AE68=1),1,0))</f>
        <v>1</v>
      </c>
      <c r="AI68" s="17" t="str">
        <f>IF(AF68&gt;V68,"Üst",IF(AF68&lt;V68,"Alt","Push"))</f>
        <v>Üst</v>
      </c>
    </row>
    <row r="69" spans="1:35">
      <c r="A69" s="7">
        <v>46093</v>
      </c>
      <c r="B69" s="8" t="s">
        <v>216</v>
      </c>
      <c r="C69" s="8" t="s">
        <v>61</v>
      </c>
      <c r="D69" s="8" t="s">
        <v>47</v>
      </c>
      <c r="E69" s="9">
        <v>120</v>
      </c>
      <c r="F69" s="9">
        <v>112</v>
      </c>
      <c r="G69" s="10">
        <v>5.5</v>
      </c>
      <c r="H69" s="11">
        <v>239.5</v>
      </c>
      <c r="I69" s="10">
        <v>4.5</v>
      </c>
      <c r="J69" s="12">
        <v>2.45</v>
      </c>
      <c r="K69" s="12">
        <v>1.571428571428571</v>
      </c>
      <c r="L69" s="11">
        <v>235.5</v>
      </c>
      <c r="M69" s="12">
        <v>1.909090909090909</v>
      </c>
      <c r="N69" s="12">
        <v>1.909090909090909</v>
      </c>
      <c r="O69" s="10">
        <v>5.5</v>
      </c>
      <c r="P69" s="12">
        <v>1.892857142857143</v>
      </c>
      <c r="Q69" s="12">
        <v>1.925925925925926</v>
      </c>
      <c r="R69" s="12">
        <v>2.8</v>
      </c>
      <c r="S69" s="12">
        <v>1.458715596330275</v>
      </c>
      <c r="T69" s="8" t="s">
        <v>79</v>
      </c>
      <c r="U69" s="8" t="s">
        <v>78</v>
      </c>
      <c r="V69" s="11">
        <v>239.5</v>
      </c>
      <c r="W69" s="12">
        <v>1.952380952380952</v>
      </c>
      <c r="X69" s="12">
        <v>1.869565217391304</v>
      </c>
      <c r="Y69" s="13">
        <f>(1/R69)/((1/R69)+(1/S69))</f>
        <v>0.3425247738043946</v>
      </c>
      <c r="Z69" s="13">
        <f>(1/J69)/((1/J69)+(1/K69))</f>
        <v>0.3907637655417407</v>
      </c>
      <c r="AA69" s="14">
        <f>1/R69+1/S69-1</f>
        <v>0.04267744833782583</v>
      </c>
      <c r="AB69" s="15">
        <f>O69-I69</f>
        <v>1.0</v>
      </c>
      <c r="AC69" s="15">
        <f>IF(G69="","",G69-O69)</f>
        <v>0.0</v>
      </c>
      <c r="AD69" s="15">
        <f>H69-V69</f>
        <v>0.0</v>
      </c>
      <c r="AE69" s="16">
        <f>IF(F69&gt;E69,1,0)</f>
        <v>0</v>
      </c>
      <c r="AF69" s="16">
        <f>F69+E69</f>
        <v>232</v>
      </c>
      <c r="AG69" s="16">
        <f>IF(Y69=0.5,"",IF((Y69&gt;0.5)=(AE69=1),1,0))</f>
        <v>1</v>
      </c>
      <c r="AH69" s="16">
        <f>IF(Z69=0.5,"",IF((Z69&gt;0.5)=(AE69=1),1,0))</f>
        <v>1</v>
      </c>
      <c r="AI69" s="17" t="str">
        <f>IF(AF69&gt;V69,"Üst",IF(AF69&lt;V69,"Alt","Push"))</f>
        <v>Alt</v>
      </c>
    </row>
    <row r="70" spans="1:35">
      <c r="A70" s="7">
        <v>46094</v>
      </c>
      <c r="B70" s="8" t="s">
        <v>217</v>
      </c>
      <c r="C70" s="8" t="s">
        <v>47</v>
      </c>
      <c r="D70" s="8" t="s">
        <v>81</v>
      </c>
      <c r="E70" s="9">
        <v>110</v>
      </c>
      <c r="F70" s="9">
        <v>126</v>
      </c>
      <c r="G70" s="10">
        <v>-16.5</v>
      </c>
      <c r="H70" s="11">
        <v>232.5</v>
      </c>
      <c r="I70" s="10">
        <v>-15.5</v>
      </c>
      <c r="J70" s="12">
        <v>1.083333333333333</v>
      </c>
      <c r="K70" s="12">
        <v>8.5</v>
      </c>
      <c r="L70" s="11">
        <v>230.5</v>
      </c>
      <c r="M70" s="12">
        <v>1.909090909090909</v>
      </c>
      <c r="N70" s="12">
        <v>1.909090909090909</v>
      </c>
      <c r="O70" s="10">
        <v>-16.5</v>
      </c>
      <c r="P70" s="12">
        <v>1.909090909090909</v>
      </c>
      <c r="Q70" s="12">
        <v>1.909090909090909</v>
      </c>
      <c r="R70" s="12">
        <v>1.0625</v>
      </c>
      <c r="S70" s="12">
        <v>10</v>
      </c>
      <c r="T70" s="8" t="s">
        <v>218</v>
      </c>
      <c r="U70" s="8" t="s">
        <v>219</v>
      </c>
      <c r="V70" s="11">
        <v>233.5</v>
      </c>
      <c r="W70" s="12">
        <v>1.925925925925926</v>
      </c>
      <c r="X70" s="12">
        <v>1.892857142857143</v>
      </c>
      <c r="Y70" s="13">
        <f>(1/R70)/((1/R70)+(1/S70))</f>
        <v>0.9039548022598869</v>
      </c>
      <c r="Z70" s="13">
        <f>(1/J70)/((1/J70)+(1/K70))</f>
        <v>0.8869565217391304</v>
      </c>
      <c r="AA70" s="14">
        <f>1/R70+1/S70-1</f>
        <v>0.04117647058823537</v>
      </c>
      <c r="AB70" s="15">
        <f>O70-I70</f>
        <v>-1.0</v>
      </c>
      <c r="AC70" s="15">
        <f>IF(G70="","",G70-O70)</f>
        <v>0.0</v>
      </c>
      <c r="AD70" s="15">
        <f>H70-V70</f>
        <v>-1.0</v>
      </c>
      <c r="AE70" s="16">
        <f>IF(F70&gt;E70,1,0)</f>
        <v>1</v>
      </c>
      <c r="AF70" s="16">
        <f>F70+E70</f>
        <v>236</v>
      </c>
      <c r="AG70" s="16">
        <f>IF(Y70=0.5,"",IF((Y70&gt;0.5)=(AE70=1),1,0))</f>
        <v>1</v>
      </c>
      <c r="AH70" s="16">
        <f>IF(Z70=0.5,"",IF((Z70&gt;0.5)=(AE70=1),1,0))</f>
        <v>1</v>
      </c>
      <c r="AI70" s="17" t="str">
        <f>IF(AF70&gt;V70,"Üst",IF(AF70&lt;V70,"Alt","Push"))</f>
        <v>Üst</v>
      </c>
    </row>
    <row r="71" spans="1:35">
      <c r="A71" s="7">
        <v>46094</v>
      </c>
      <c r="B71" s="8" t="s">
        <v>220</v>
      </c>
      <c r="C71" s="8" t="s">
        <v>110</v>
      </c>
      <c r="D71" s="8" t="s">
        <v>56</v>
      </c>
      <c r="E71" s="9">
        <v>101</v>
      </c>
      <c r="F71" s="9">
        <v>92</v>
      </c>
      <c r="G71" s="10">
        <v>12.5</v>
      </c>
      <c r="H71" s="11">
        <v>228.5</v>
      </c>
      <c r="I71" s="10">
        <v>12.5</v>
      </c>
      <c r="J71" s="12">
        <v>6.25</v>
      </c>
      <c r="K71" s="12">
        <v>1.133333333333333</v>
      </c>
      <c r="L71" s="11">
        <v>227.5</v>
      </c>
      <c r="M71" s="12">
        <v>1.909090909090909</v>
      </c>
      <c r="N71" s="12">
        <v>1.909090909090909</v>
      </c>
      <c r="O71" s="10">
        <v>12.5</v>
      </c>
      <c r="P71" s="12">
        <v>1.909090909090909</v>
      </c>
      <c r="Q71" s="12">
        <v>1.909090909090909</v>
      </c>
      <c r="R71" s="12">
        <v>5.9</v>
      </c>
      <c r="S71" s="12">
        <v>1.148148148148148</v>
      </c>
      <c r="T71" s="8" t="s">
        <v>221</v>
      </c>
      <c r="U71" s="8" t="s">
        <v>222</v>
      </c>
      <c r="V71" s="11">
        <v>228.5</v>
      </c>
      <c r="W71" s="12">
        <v>1.925925925925926</v>
      </c>
      <c r="X71" s="12">
        <v>1.892857142857143</v>
      </c>
      <c r="Y71" s="13">
        <f>(1/R71)/((1/R71)+(1/S71))</f>
        <v>0.16290068313189698</v>
      </c>
      <c r="Z71" s="13">
        <f>(1/J71)/((1/J71)+(1/K71))</f>
        <v>0.15349887133182846</v>
      </c>
      <c r="AA71" s="14">
        <f>1/R71+1/S71-1</f>
        <v>0.04045926735921279</v>
      </c>
      <c r="AB71" s="15">
        <f>O71-I71</f>
        <v>0.0</v>
      </c>
      <c r="AC71" s="15">
        <f>IF(G71="","",G71-O71)</f>
        <v>0.0</v>
      </c>
      <c r="AD71" s="15">
        <f>H71-V71</f>
        <v>0.0</v>
      </c>
      <c r="AE71" s="16">
        <f>IF(F71&gt;E71,1,0)</f>
        <v>0</v>
      </c>
      <c r="AF71" s="16">
        <f>F71+E71</f>
        <v>193</v>
      </c>
      <c r="AG71" s="16">
        <f>IF(Y71=0.5,"",IF((Y71&gt;0.5)=(AE71=1),1,0))</f>
        <v>1</v>
      </c>
      <c r="AH71" s="16">
        <f>IF(Z71=0.5,"",IF((Z71&gt;0.5)=(AE71=1),1,0))</f>
        <v>1</v>
      </c>
      <c r="AI71" s="17" t="str">
        <f>IF(AF71&gt;V71,"Üst",IF(AF71&lt;V71,"Alt","Push"))</f>
        <v>Alt</v>
      </c>
    </row>
    <row r="72" spans="1:35">
      <c r="A72" s="7">
        <v>46094</v>
      </c>
      <c r="B72" s="8" t="s">
        <v>223</v>
      </c>
      <c r="C72" s="8" t="s">
        <v>87</v>
      </c>
      <c r="D72" s="8" t="s">
        <v>76</v>
      </c>
      <c r="E72" s="9">
        <v>115</v>
      </c>
      <c r="F72" s="9">
        <v>122</v>
      </c>
      <c r="G72" s="10">
        <v>-5.5</v>
      </c>
      <c r="H72" s="11">
        <v>221.5</v>
      </c>
      <c r="I72" s="10">
        <v>-3.5</v>
      </c>
      <c r="J72" s="12">
        <v>1.617283950617284</v>
      </c>
      <c r="K72" s="12">
        <v>2.36</v>
      </c>
      <c r="L72" s="11">
        <v>218.5</v>
      </c>
      <c r="M72" s="12">
        <v>1.909090909090909</v>
      </c>
      <c r="N72" s="12">
        <v>1.909090909090909</v>
      </c>
      <c r="O72" s="10">
        <v>-5.5</v>
      </c>
      <c r="P72" s="12">
        <v>1.892857142857143</v>
      </c>
      <c r="Q72" s="12">
        <v>1.925925925925926</v>
      </c>
      <c r="R72" s="12">
        <v>1.48780487804878</v>
      </c>
      <c r="S72" s="12">
        <v>2.7</v>
      </c>
      <c r="T72" s="8" t="s">
        <v>153</v>
      </c>
      <c r="U72" s="8" t="s">
        <v>152</v>
      </c>
      <c r="V72" s="11">
        <v>221.5</v>
      </c>
      <c r="W72" s="12">
        <v>1.952380952380952</v>
      </c>
      <c r="X72" s="12">
        <v>1.869565217391304</v>
      </c>
      <c r="Y72" s="13">
        <f>(1/R72)/((1/R72)+(1/S72))</f>
        <v>0.644729178800233</v>
      </c>
      <c r="Z72" s="13">
        <f>(1/J72)/((1/J72)+(1/K72))</f>
        <v>0.593369754159424</v>
      </c>
      <c r="AA72" s="14">
        <f>1/R72+1/S72-1</f>
        <v>0.042501517911353925</v>
      </c>
      <c r="AB72" s="15">
        <f>O72-I72</f>
        <v>-2.0</v>
      </c>
      <c r="AC72" s="15">
        <f>IF(G72="","",G72-O72)</f>
        <v>0.0</v>
      </c>
      <c r="AD72" s="15">
        <f>H72-V72</f>
        <v>0.0</v>
      </c>
      <c r="AE72" s="16">
        <f>IF(F72&gt;E72,1,0)</f>
        <v>1</v>
      </c>
      <c r="AF72" s="16">
        <f>F72+E72</f>
        <v>237</v>
      </c>
      <c r="AG72" s="16">
        <f>IF(Y72=0.5,"",IF((Y72&gt;0.5)=(AE72=1),1,0))</f>
        <v>1</v>
      </c>
      <c r="AH72" s="16">
        <f>IF(Z72=0.5,"",IF((Z72&gt;0.5)=(AE72=1),1,0))</f>
        <v>1</v>
      </c>
      <c r="AI72" s="17" t="str">
        <f>IF(AF72&gt;V72,"Üst",IF(AF72&lt;V72,"Alt","Push"))</f>
        <v>Üst</v>
      </c>
    </row>
    <row r="73" spans="1:35">
      <c r="A73" s="7">
        <v>46094</v>
      </c>
      <c r="B73" s="8" t="s">
        <v>224</v>
      </c>
      <c r="C73" s="8" t="s">
        <v>96</v>
      </c>
      <c r="D73" s="8" t="s">
        <v>74</v>
      </c>
      <c r="E73" s="9">
        <v>105</v>
      </c>
      <c r="F73" s="9">
        <v>107</v>
      </c>
      <c r="G73" s="10">
        <v>-5.5</v>
      </c>
      <c r="H73" s="11">
        <v>230.5</v>
      </c>
      <c r="I73" s="10">
        <v>-6.5</v>
      </c>
      <c r="J73" s="12">
        <v>1.387596899224806</v>
      </c>
      <c r="K73" s="12">
        <v>3.1</v>
      </c>
      <c r="L73" s="11">
        <v>225.5</v>
      </c>
      <c r="M73" s="12">
        <v>1.909090909090909</v>
      </c>
      <c r="N73" s="12">
        <v>1.909090909090909</v>
      </c>
      <c r="O73" s="10">
        <v>-5.5</v>
      </c>
      <c r="P73" s="12">
        <v>1.892857142857143</v>
      </c>
      <c r="Q73" s="12">
        <v>1.925925925925926</v>
      </c>
      <c r="R73" s="12">
        <v>1.444444444444444</v>
      </c>
      <c r="S73" s="12">
        <v>2.85</v>
      </c>
      <c r="T73" s="8" t="s">
        <v>147</v>
      </c>
      <c r="U73" s="8" t="s">
        <v>146</v>
      </c>
      <c r="V73" s="11">
        <v>230.5</v>
      </c>
      <c r="W73" s="12">
        <v>1.892857142857143</v>
      </c>
      <c r="X73" s="12">
        <v>1.925925925925926</v>
      </c>
      <c r="Y73" s="13">
        <f>(1/R73)/((1/R73)+(1/S73))</f>
        <v>0.6636481241914618</v>
      </c>
      <c r="Z73" s="13">
        <f>(1/J73)/((1/J73)+(1/K73))</f>
        <v>0.690792883054068</v>
      </c>
      <c r="AA73" s="14">
        <f>1/R73+1/S73-1</f>
        <v>0.04318488529014841</v>
      </c>
      <c r="AB73" s="15">
        <f>O73-I73</f>
        <v>1.0</v>
      </c>
      <c r="AC73" s="15">
        <f>IF(G73="","",G73-O73)</f>
        <v>0.0</v>
      </c>
      <c r="AD73" s="15">
        <f>H73-V73</f>
        <v>0.0</v>
      </c>
      <c r="AE73" s="16">
        <f>IF(F73&gt;E73,1,0)</f>
        <v>1</v>
      </c>
      <c r="AF73" s="16">
        <f>F73+E73</f>
        <v>212</v>
      </c>
      <c r="AG73" s="16">
        <f>IF(Y73=0.5,"",IF((Y73&gt;0.5)=(AE73=1),1,0))</f>
        <v>1</v>
      </c>
      <c r="AH73" s="16">
        <f>IF(Z73=0.5,"",IF((Z73&gt;0.5)=(AE73=1),1,0))</f>
        <v>1</v>
      </c>
      <c r="AI73" s="17" t="str">
        <f>IF(AF73&gt;V73,"Üst",IF(AF73&lt;V73,"Alt","Push"))</f>
        <v>Alt</v>
      </c>
    </row>
    <row r="74" spans="1:35">
      <c r="A74" s="7">
        <v>46094</v>
      </c>
      <c r="B74" s="8" t="s">
        <v>225</v>
      </c>
      <c r="C74" s="8" t="s">
        <v>134</v>
      </c>
      <c r="D74" s="8" t="s">
        <v>61</v>
      </c>
      <c r="E74" s="9">
        <v>138</v>
      </c>
      <c r="F74" s="9">
        <v>105</v>
      </c>
      <c r="G74" s="10">
        <v>12.5</v>
      </c>
      <c r="H74" s="11">
        <v>236.5</v>
      </c>
      <c r="I74" s="10">
        <v>12.5</v>
      </c>
      <c r="J74" s="12">
        <v>5.55</v>
      </c>
      <c r="K74" s="12">
        <v>1.16</v>
      </c>
      <c r="L74" s="11">
        <v>231.5</v>
      </c>
      <c r="M74" s="12">
        <v>1.869565217391304</v>
      </c>
      <c r="N74" s="12">
        <v>1.952380952380952</v>
      </c>
      <c r="O74" s="10">
        <v>13.5</v>
      </c>
      <c r="P74" s="12">
        <v>1.847457627118644</v>
      </c>
      <c r="Q74" s="12">
        <v>1.980392156862745</v>
      </c>
      <c r="R74" s="12">
        <v>6</v>
      </c>
      <c r="S74" s="12">
        <v>1.142857142857143</v>
      </c>
      <c r="T74" s="8" t="s">
        <v>226</v>
      </c>
      <c r="U74" s="8" t="s">
        <v>227</v>
      </c>
      <c r="V74" s="11">
        <v>236.5</v>
      </c>
      <c r="W74" s="12">
        <v>1.892857142857143</v>
      </c>
      <c r="X74" s="12">
        <v>1.925925925925926</v>
      </c>
      <c r="Y74" s="13">
        <f>(1/R74)/((1/R74)+(1/S74))</f>
        <v>0.15999999999999998</v>
      </c>
      <c r="Z74" s="13">
        <f>(1/J74)/((1/J74)+(1/K74))</f>
        <v>0.17287630402384502</v>
      </c>
      <c r="AA74" s="14">
        <f>1/R74+1/S74-1</f>
        <v>0.04166666666666674</v>
      </c>
      <c r="AB74" s="15">
        <f>O74-I74</f>
        <v>1.0</v>
      </c>
      <c r="AC74" s="15">
        <f>IF(G74="","",G74-O74)</f>
        <v>-1.0</v>
      </c>
      <c r="AD74" s="15">
        <f>H74-V74</f>
        <v>0.0</v>
      </c>
      <c r="AE74" s="16">
        <f>IF(F74&gt;E74,1,0)</f>
        <v>0</v>
      </c>
      <c r="AF74" s="16">
        <f>F74+E74</f>
        <v>243</v>
      </c>
      <c r="AG74" s="16">
        <f>IF(Y74=0.5,"",IF((Y74&gt;0.5)=(AE74=1),1,0))</f>
        <v>1</v>
      </c>
      <c r="AH74" s="16">
        <f>IF(Z74=0.5,"",IF((Z74&gt;0.5)=(AE74=1),1,0))</f>
        <v>1</v>
      </c>
      <c r="AI74" s="17" t="str">
        <f>IF(AF74&gt;V74,"Üst",IF(AF74&lt;V74,"Alt","Push"))</f>
        <v>Üst</v>
      </c>
    </row>
    <row r="75" spans="1:35">
      <c r="A75" s="7">
        <v>46094</v>
      </c>
      <c r="B75" s="8" t="s">
        <v>228</v>
      </c>
      <c r="C75" s="8" t="s">
        <v>77</v>
      </c>
      <c r="D75" s="8" t="s">
        <v>73</v>
      </c>
      <c r="E75" s="9">
        <v>127</v>
      </c>
      <c r="F75" s="9">
        <v>117</v>
      </c>
      <c r="G75" s="10">
        <v>5.5</v>
      </c>
      <c r="H75" s="11">
        <v>223.5</v>
      </c>
      <c r="I75" s="10">
        <v>6.5</v>
      </c>
      <c r="J75" s="12">
        <v>2.95</v>
      </c>
      <c r="K75" s="12">
        <v>1.420168067226891</v>
      </c>
      <c r="L75" s="11">
        <v>228.5</v>
      </c>
      <c r="M75" s="12">
        <v>1.909090909090909</v>
      </c>
      <c r="N75" s="12">
        <v>1.909090909090909</v>
      </c>
      <c r="O75" s="10">
        <v>4.5</v>
      </c>
      <c r="P75" s="12">
        <v>1.952380952380952</v>
      </c>
      <c r="Q75" s="12">
        <v>1.869565217391304</v>
      </c>
      <c r="R75" s="12">
        <v>2.7</v>
      </c>
      <c r="S75" s="12">
        <v>1.48780487804878</v>
      </c>
      <c r="T75" s="8" t="s">
        <v>152</v>
      </c>
      <c r="U75" s="8" t="s">
        <v>153</v>
      </c>
      <c r="V75" s="11">
        <v>224.5</v>
      </c>
      <c r="W75" s="12">
        <v>1.952380952380952</v>
      </c>
      <c r="X75" s="12">
        <v>1.869565217391304</v>
      </c>
      <c r="Y75" s="13">
        <f>(1/R75)/((1/R75)+(1/S75))</f>
        <v>0.35527082119976705</v>
      </c>
      <c r="Z75" s="13">
        <f>(1/J75)/((1/J75)+(1/K75))</f>
        <v>0.32496875300451883</v>
      </c>
      <c r="AA75" s="14">
        <f>1/R75+1/S75-1</f>
        <v>0.042501517911353925</v>
      </c>
      <c r="AB75" s="15">
        <f>O75-I75</f>
        <v>-2.0</v>
      </c>
      <c r="AC75" s="15">
        <f>IF(G75="","",G75-O75)</f>
        <v>1.0</v>
      </c>
      <c r="AD75" s="15">
        <f>H75-V75</f>
        <v>-1.0</v>
      </c>
      <c r="AE75" s="16">
        <f>IF(F75&gt;E75,1,0)</f>
        <v>0</v>
      </c>
      <c r="AF75" s="16">
        <f>F75+E75</f>
        <v>244</v>
      </c>
      <c r="AG75" s="16">
        <f>IF(Y75=0.5,"",IF((Y75&gt;0.5)=(AE75=1),1,0))</f>
        <v>1</v>
      </c>
      <c r="AH75" s="16">
        <f>IF(Z75=0.5,"",IF((Z75&gt;0.5)=(AE75=1),1,0))</f>
        <v>1</v>
      </c>
      <c r="AI75" s="17" t="str">
        <f>IF(AF75&gt;V75,"Üst",IF(AF75&lt;V75,"Alt","Push"))</f>
        <v>Üst</v>
      </c>
    </row>
    <row r="76" spans="1:35">
      <c r="A76" s="7">
        <v>46094</v>
      </c>
      <c r="B76" s="8" t="s">
        <v>229</v>
      </c>
      <c r="C76" s="8" t="s">
        <v>41</v>
      </c>
      <c r="D76" s="8" t="s">
        <v>46</v>
      </c>
      <c r="E76" s="9">
        <v>114</v>
      </c>
      <c r="F76" s="9">
        <v>124</v>
      </c>
      <c r="G76" s="10">
        <v>-15.5</v>
      </c>
      <c r="H76" s="11">
        <v>235.5</v>
      </c>
      <c r="I76" s="10">
        <v>-12.5</v>
      </c>
      <c r="J76" s="12">
        <v>1.133333333333333</v>
      </c>
      <c r="K76" s="12">
        <v>6.25</v>
      </c>
      <c r="L76" s="11">
        <v>235.5</v>
      </c>
      <c r="M76" s="12">
        <v>1.909090909090909</v>
      </c>
      <c r="N76" s="12">
        <v>1.909090909090909</v>
      </c>
      <c r="O76" s="10">
        <v>-15.5</v>
      </c>
      <c r="P76" s="12">
        <v>1.869565217391304</v>
      </c>
      <c r="Q76" s="12">
        <v>1.952380952380952</v>
      </c>
      <c r="R76" s="12">
        <v>1.083333333333333</v>
      </c>
      <c r="S76" s="12">
        <v>8.5</v>
      </c>
      <c r="T76" s="8" t="s">
        <v>102</v>
      </c>
      <c r="U76" s="8" t="s">
        <v>103</v>
      </c>
      <c r="V76" s="11">
        <v>235.5</v>
      </c>
      <c r="W76" s="12">
        <v>1.925925925925926</v>
      </c>
      <c r="X76" s="12">
        <v>1.892857142857143</v>
      </c>
      <c r="Y76" s="13">
        <f>(1/R76)/((1/R76)+(1/S76))</f>
        <v>0.8869565217391304</v>
      </c>
      <c r="Z76" s="13">
        <f>(1/J76)/((1/J76)+(1/K76))</f>
        <v>0.8465011286681716</v>
      </c>
      <c r="AA76" s="14">
        <f>1/R76+1/S76-1</f>
        <v>0.040723981900452566</v>
      </c>
      <c r="AB76" s="15">
        <f>O76-I76</f>
        <v>-3.0</v>
      </c>
      <c r="AC76" s="15">
        <f>IF(G76="","",G76-O76)</f>
        <v>0.0</v>
      </c>
      <c r="AD76" s="15">
        <f>H76-V76</f>
        <v>0.0</v>
      </c>
      <c r="AE76" s="16">
        <f>IF(F76&gt;E76,1,0)</f>
        <v>1</v>
      </c>
      <c r="AF76" s="16">
        <f>F76+E76</f>
        <v>238</v>
      </c>
      <c r="AG76" s="16">
        <f>IF(Y76=0.5,"",IF((Y76&gt;0.5)=(AE76=1),1,0))</f>
        <v>1</v>
      </c>
      <c r="AH76" s="16">
        <f>IF(Z76=0.5,"",IF((Z76&gt;0.5)=(AE76=1),1,0))</f>
        <v>1</v>
      </c>
      <c r="AI76" s="17" t="str">
        <f>IF(AF76&gt;V76,"Üst",IF(AF76&lt;V76,"Alt","Push"))</f>
        <v>Üst</v>
      </c>
    </row>
    <row r="77" spans="1:35">
      <c r="A77" s="7">
        <v>46094</v>
      </c>
      <c r="B77" s="8" t="s">
        <v>230</v>
      </c>
      <c r="C77" s="8" t="s">
        <v>86</v>
      </c>
      <c r="D77" s="8" t="s">
        <v>57</v>
      </c>
      <c r="E77" s="9">
        <v>108</v>
      </c>
      <c r="F77" s="9">
        <v>119</v>
      </c>
      <c r="G77" s="10">
        <v>-13.5</v>
      </c>
      <c r="H77" s="11">
        <v>235.5</v>
      </c>
      <c r="I77" s="10">
        <v>-11.5</v>
      </c>
      <c r="J77" s="12">
        <v>1.206185567010309</v>
      </c>
      <c r="K77" s="12">
        <v>4.7</v>
      </c>
      <c r="L77" s="11">
        <v>234.5</v>
      </c>
      <c r="M77" s="12">
        <v>1.909090909090909</v>
      </c>
      <c r="N77" s="12">
        <v>1.909090909090909</v>
      </c>
      <c r="O77" s="10">
        <v>-13.5</v>
      </c>
      <c r="P77" s="12">
        <v>1.909090909090909</v>
      </c>
      <c r="Q77" s="12">
        <v>1.909090909090909</v>
      </c>
      <c r="R77" s="12">
        <v>1.117647058823529</v>
      </c>
      <c r="S77" s="12">
        <v>6.75</v>
      </c>
      <c r="T77" s="8" t="s">
        <v>157</v>
      </c>
      <c r="U77" s="8" t="s">
        <v>158</v>
      </c>
      <c r="V77" s="11">
        <v>235.5</v>
      </c>
      <c r="W77" s="12">
        <v>1.925925925925926</v>
      </c>
      <c r="X77" s="12">
        <v>1.892857142857143</v>
      </c>
      <c r="Y77" s="13">
        <f>(1/R77)/((1/R77)+(1/S77))</f>
        <v>0.8579439252336449</v>
      </c>
      <c r="Z77" s="13">
        <f>(1/J77)/((1/J77)+(1/K77))</f>
        <v>0.7957758771164253</v>
      </c>
      <c r="AA77" s="14">
        <f>1/R77+1/S77-1</f>
        <v>0.04288499025341119</v>
      </c>
      <c r="AB77" s="15">
        <f>O77-I77</f>
        <v>-2.0</v>
      </c>
      <c r="AC77" s="15">
        <f>IF(G77="","",G77-O77)</f>
        <v>0.0</v>
      </c>
      <c r="AD77" s="15">
        <f>H77-V77</f>
        <v>0.0</v>
      </c>
      <c r="AE77" s="16">
        <f>IF(F77&gt;E77,1,0)</f>
        <v>1</v>
      </c>
      <c r="AF77" s="16">
        <f>F77+E77</f>
        <v>227</v>
      </c>
      <c r="AG77" s="16">
        <f>IF(Y77=0.5,"",IF((Y77&gt;0.5)=(AE77=1),1,0))</f>
        <v>1</v>
      </c>
      <c r="AH77" s="16">
        <f>IF(Z77=0.5,"",IF((Z77&gt;0.5)=(AE77=1),1,0))</f>
        <v>1</v>
      </c>
      <c r="AI77" s="17" t="str">
        <f>IF(AF77&gt;V77,"Üst",IF(AF77&lt;V77,"Alt","Push"))</f>
        <v>Alt</v>
      </c>
    </row>
    <row r="78" spans="1:35">
      <c r="A78" s="7">
        <v>46095</v>
      </c>
      <c r="B78" s="8" t="s">
        <v>231</v>
      </c>
      <c r="C78" s="8" t="s">
        <v>68</v>
      </c>
      <c r="D78" s="8" t="s">
        <v>42</v>
      </c>
      <c r="E78" s="9">
        <v>97</v>
      </c>
      <c r="F78" s="9">
        <v>104</v>
      </c>
      <c r="G78" s="10">
        <v>-8.5</v>
      </c>
      <c r="H78" s="11">
        <v>217.5</v>
      </c>
      <c r="I78" s="10">
        <v>-9.5</v>
      </c>
      <c r="J78" s="12">
        <v>1.24390243902439</v>
      </c>
      <c r="K78" s="12">
        <v>4.2</v>
      </c>
      <c r="L78" s="11">
        <v>215.5</v>
      </c>
      <c r="M78" s="12">
        <v>1.909090909090909</v>
      </c>
      <c r="N78" s="12">
        <v>1.909090909090909</v>
      </c>
      <c r="O78" s="10">
        <v>-8.5</v>
      </c>
      <c r="P78" s="12">
        <v>1.909090909090909</v>
      </c>
      <c r="Q78" s="12">
        <v>1.909090909090909</v>
      </c>
      <c r="R78" s="12">
        <v>1.263157894736842</v>
      </c>
      <c r="S78" s="12">
        <v>4</v>
      </c>
      <c r="T78" s="8" t="s">
        <v>232</v>
      </c>
      <c r="U78" s="8" t="s">
        <v>233</v>
      </c>
      <c r="V78" s="11">
        <v>217.5</v>
      </c>
      <c r="W78" s="12">
        <v>1.892857142857143</v>
      </c>
      <c r="X78" s="12">
        <v>1.925925925925926</v>
      </c>
      <c r="Y78" s="13">
        <f>(1/R78)/((1/R78)+(1/S78))</f>
        <v>0.76</v>
      </c>
      <c r="Z78" s="13">
        <f>(1/J78)/((1/J78)+(1/K78))</f>
        <v>0.771505376344086</v>
      </c>
      <c r="AA78" s="14">
        <f>1/R78+1/S78-1</f>
        <v>0.04166666666666674</v>
      </c>
      <c r="AB78" s="15">
        <f>O78-I78</f>
        <v>1.0</v>
      </c>
      <c r="AC78" s="15">
        <f>IF(G78="","",G78-O78)</f>
        <v>0.0</v>
      </c>
      <c r="AD78" s="15">
        <f>H78-V78</f>
        <v>0.0</v>
      </c>
      <c r="AE78" s="16">
        <f>IF(F78&gt;E78,1,0)</f>
        <v>1</v>
      </c>
      <c r="AF78" s="16">
        <f>F78+E78</f>
        <v>201</v>
      </c>
      <c r="AG78" s="16">
        <f>IF(Y78=0.5,"",IF((Y78&gt;0.5)=(AE78=1),1,0))</f>
        <v>1</v>
      </c>
      <c r="AH78" s="16">
        <f>IF(Z78=0.5,"",IF((Z78&gt;0.5)=(AE78=1),1,0))</f>
        <v>1</v>
      </c>
      <c r="AI78" s="17" t="str">
        <f>IF(AF78&gt;V78,"Üst",IF(AF78&lt;V78,"Alt","Push"))</f>
        <v>Alt</v>
      </c>
    </row>
    <row r="79" spans="1:35">
      <c r="A79" s="7">
        <v>46095</v>
      </c>
      <c r="B79" s="8" t="s">
        <v>234</v>
      </c>
      <c r="C79" s="8" t="s">
        <v>52</v>
      </c>
      <c r="D79" s="8" t="s">
        <v>51</v>
      </c>
      <c r="E79" s="9">
        <v>99</v>
      </c>
      <c r="F79" s="9">
        <v>122</v>
      </c>
      <c r="G79" s="10">
        <v>-10.5</v>
      </c>
      <c r="H79" s="11">
        <v>228.5</v>
      </c>
      <c r="I79" s="10">
        <v>-7.5</v>
      </c>
      <c r="J79" s="12">
        <v>1.359712230215827</v>
      </c>
      <c r="K79" s="12">
        <v>3.25</v>
      </c>
      <c r="L79" s="11">
        <v>231.5</v>
      </c>
      <c r="M79" s="12">
        <v>1.909090909090909</v>
      </c>
      <c r="N79" s="12">
        <v>1.909090909090909</v>
      </c>
      <c r="O79" s="10">
        <v>-11.5</v>
      </c>
      <c r="P79" s="12">
        <v>1.952380952380952</v>
      </c>
      <c r="Q79" s="12">
        <v>1.869565217391304</v>
      </c>
      <c r="R79" s="12">
        <v>1.2</v>
      </c>
      <c r="S79" s="12">
        <v>4.8</v>
      </c>
      <c r="T79" s="8" t="s">
        <v>235</v>
      </c>
      <c r="U79" s="8" t="s">
        <v>236</v>
      </c>
      <c r="V79" s="11">
        <v>228.5</v>
      </c>
      <c r="W79" s="12">
        <v>1.909090909090909</v>
      </c>
      <c r="X79" s="12">
        <v>1.909090909090909</v>
      </c>
      <c r="Y79" s="13">
        <f>(1/R79)/((1/R79)+(1/S79))</f>
        <v>0.7999999999999999</v>
      </c>
      <c r="Z79" s="13">
        <f>(1/J79)/((1/J79)+(1/K79))</f>
        <v>0.705033164260632</v>
      </c>
      <c r="AA79" s="14">
        <f>1/R79+1/S79-1</f>
        <v>0.04166666666666674</v>
      </c>
      <c r="AB79" s="15">
        <f>O79-I79</f>
        <v>-4.0</v>
      </c>
      <c r="AC79" s="15">
        <f>IF(G79="","",G79-O79)</f>
        <v>1.0</v>
      </c>
      <c r="AD79" s="15">
        <f>H79-V79</f>
        <v>0.0</v>
      </c>
      <c r="AE79" s="16">
        <f>IF(F79&gt;E79,1,0)</f>
        <v>1</v>
      </c>
      <c r="AF79" s="16">
        <f>F79+E79</f>
        <v>221</v>
      </c>
      <c r="AG79" s="16">
        <f>IF(Y79=0.5,"",IF((Y79&gt;0.5)=(AE79=1),1,0))</f>
        <v>1</v>
      </c>
      <c r="AH79" s="16">
        <f>IF(Z79=0.5,"",IF((Z79&gt;0.5)=(AE79=1),1,0))</f>
        <v>1</v>
      </c>
      <c r="AI79" s="17" t="str">
        <f>IF(AF79&gt;V79,"Üst",IF(AF79&lt;V79,"Alt","Push"))</f>
        <v>Alt</v>
      </c>
    </row>
    <row r="80" spans="1:35">
      <c r="A80" s="7">
        <v>46095</v>
      </c>
      <c r="B80" s="8" t="s">
        <v>237</v>
      </c>
      <c r="C80" s="8" t="s">
        <v>64</v>
      </c>
      <c r="D80" s="8" t="s">
        <v>101</v>
      </c>
      <c r="E80" s="9">
        <v>100</v>
      </c>
      <c r="F80" s="9">
        <v>111</v>
      </c>
      <c r="G80" s="10">
        <v>-20.5</v>
      </c>
      <c r="H80" s="11">
        <v>233.5</v>
      </c>
      <c r="I80" s="10">
        <v>-19.5</v>
      </c>
      <c r="J80" s="12">
        <v>1.047619047619048</v>
      </c>
      <c r="K80" s="12">
        <v>12</v>
      </c>
      <c r="L80" s="11">
        <v>227.5</v>
      </c>
      <c r="M80" s="12">
        <v>1.909090909090909</v>
      </c>
      <c r="N80" s="12">
        <v>1.909090909090909</v>
      </c>
      <c r="O80" s="10">
        <v>-20.5</v>
      </c>
      <c r="P80" s="12">
        <v>1.909090909090909</v>
      </c>
      <c r="Q80" s="12">
        <v>1.909090909090909</v>
      </c>
      <c r="R80" s="12">
        <v>1.041666666666667</v>
      </c>
      <c r="S80" s="12">
        <v>13</v>
      </c>
      <c r="T80" s="8" t="s">
        <v>238</v>
      </c>
      <c r="U80" s="8" t="s">
        <v>239</v>
      </c>
      <c r="V80" s="11">
        <v>232.5</v>
      </c>
      <c r="W80" s="12">
        <v>1.869565217391304</v>
      </c>
      <c r="X80" s="12">
        <v>1.952380952380952</v>
      </c>
      <c r="Y80" s="13">
        <f>(1/R80)/((1/R80)+(1/S80))</f>
        <v>0.9258160237388724</v>
      </c>
      <c r="Z80" s="13">
        <f>(1/J80)/((1/J80)+(1/K80))</f>
        <v>0.9197080291970803</v>
      </c>
      <c r="AA80" s="14">
        <f>1/R80+1/S80-1</f>
        <v>0.036923076923076836</v>
      </c>
      <c r="AB80" s="15">
        <f>O80-I80</f>
        <v>-1.0</v>
      </c>
      <c r="AC80" s="15">
        <f>IF(G80="","",G80-O80)</f>
        <v>0.0</v>
      </c>
      <c r="AD80" s="15">
        <f>H80-V80</f>
        <v>1.0</v>
      </c>
      <c r="AE80" s="16">
        <f>IF(F80&gt;E80,1,0)</f>
        <v>1</v>
      </c>
      <c r="AF80" s="16">
        <f>F80+E80</f>
        <v>211</v>
      </c>
      <c r="AG80" s="16">
        <f>IF(Y80=0.5,"",IF((Y80&gt;0.5)=(AE80=1),1,0))</f>
        <v>1</v>
      </c>
      <c r="AH80" s="16">
        <f>IF(Z80=0.5,"",IF((Z80&gt;0.5)=(AE80=1),1,0))</f>
        <v>1</v>
      </c>
      <c r="AI80" s="17" t="str">
        <f>IF(AF80&gt;V80,"Üst",IF(AF80&lt;V80,"Alt","Push"))</f>
        <v>Alt</v>
      </c>
    </row>
    <row r="81" spans="1:35">
      <c r="A81" s="7">
        <v>46095</v>
      </c>
      <c r="B81" s="8" t="s">
        <v>240</v>
      </c>
      <c r="C81" s="8" t="s">
        <v>62</v>
      </c>
      <c r="D81" s="8" t="s">
        <v>69</v>
      </c>
      <c r="E81" s="9">
        <v>121</v>
      </c>
      <c r="F81" s="9">
        <v>117</v>
      </c>
      <c r="G81" s="10">
        <v>-4.5</v>
      </c>
      <c r="H81" s="11">
        <v>236.5</v>
      </c>
      <c r="I81" s="10">
        <v>-2.5</v>
      </c>
      <c r="J81" s="12">
        <v>1.704225352112676</v>
      </c>
      <c r="K81" s="12">
        <v>2.2</v>
      </c>
      <c r="L81" s="11">
        <v>235.5</v>
      </c>
      <c r="M81" s="12">
        <v>1.909090909090909</v>
      </c>
      <c r="N81" s="12">
        <v>1.909090909090909</v>
      </c>
      <c r="O81" s="10">
        <v>-4.5</v>
      </c>
      <c r="P81" s="12">
        <v>1.892857142857143</v>
      </c>
      <c r="Q81" s="12">
        <v>1.925925925925926</v>
      </c>
      <c r="R81" s="12">
        <v>1.540540540540541</v>
      </c>
      <c r="S81" s="12">
        <v>2.54</v>
      </c>
      <c r="T81" s="8" t="s">
        <v>241</v>
      </c>
      <c r="U81" s="8" t="s">
        <v>242</v>
      </c>
      <c r="V81" s="11">
        <v>236.5</v>
      </c>
      <c r="W81" s="12">
        <v>1.925925925925926</v>
      </c>
      <c r="X81" s="12">
        <v>1.892857142857143</v>
      </c>
      <c r="Y81" s="13">
        <f>(1/R81)/((1/R81)+(1/S81))</f>
        <v>0.6224665518611737</v>
      </c>
      <c r="Z81" s="13">
        <f>(1/J81)/((1/J81)+(1/K81))</f>
        <v>0.5634920634920635</v>
      </c>
      <c r="AA81" s="14">
        <f>1/R81+1/S81-1</f>
        <v>0.04282359441911865</v>
      </c>
      <c r="AB81" s="15">
        <f>O81-I81</f>
        <v>-2.0</v>
      </c>
      <c r="AC81" s="15">
        <f>IF(G81="","",G81-O81)</f>
        <v>0.0</v>
      </c>
      <c r="AD81" s="15">
        <f>H81-V81</f>
        <v>0.0</v>
      </c>
      <c r="AE81" s="16">
        <f>IF(F81&gt;E81,1,0)</f>
        <v>0</v>
      </c>
      <c r="AF81" s="16">
        <f>F81+E81</f>
        <v>238</v>
      </c>
      <c r="AG81" s="16">
        <f>IF(Y81=0.5,"",IF((Y81&gt;0.5)=(AE81=1),1,0))</f>
        <v>0</v>
      </c>
      <c r="AH81" s="16">
        <f>IF(Z81=0.5,"",IF((Z81&gt;0.5)=(AE81=1),1,0))</f>
        <v>0</v>
      </c>
      <c r="AI81" s="17" t="str">
        <f>IF(AF81&gt;V81,"Üst",IF(AF81&lt;V81,"Alt","Push"))</f>
        <v>Üst</v>
      </c>
    </row>
    <row r="82" spans="1:35">
      <c r="A82" s="7">
        <v>46095</v>
      </c>
      <c r="B82" s="8" t="s">
        <v>243</v>
      </c>
      <c r="C82" s="8" t="s">
        <v>105</v>
      </c>
      <c r="D82" s="8" t="s">
        <v>82</v>
      </c>
      <c r="E82" s="9">
        <v>102</v>
      </c>
      <c r="F82" s="9">
        <v>115</v>
      </c>
      <c r="G82" s="10">
        <v>-6.5</v>
      </c>
      <c r="H82" s="11">
        <v>232.5</v>
      </c>
      <c r="I82" s="10">
        <v>-5.5</v>
      </c>
      <c r="J82" s="12">
        <v>1.48780487804878</v>
      </c>
      <c r="K82" s="12">
        <v>2.7</v>
      </c>
      <c r="L82" s="11">
        <v>228.5</v>
      </c>
      <c r="M82" s="12">
        <v>1.909090909090909</v>
      </c>
      <c r="N82" s="12">
        <v>1.909090909090909</v>
      </c>
      <c r="O82" s="10">
        <v>-6.5</v>
      </c>
      <c r="P82" s="12">
        <v>1.980392156862745</v>
      </c>
      <c r="Q82" s="12">
        <v>1.847457627118644</v>
      </c>
      <c r="R82" s="12">
        <v>1.408163265306122</v>
      </c>
      <c r="S82" s="12">
        <v>3</v>
      </c>
      <c r="T82" s="8" t="s">
        <v>244</v>
      </c>
      <c r="U82" s="8" t="s">
        <v>245</v>
      </c>
      <c r="V82" s="11">
        <v>232.5</v>
      </c>
      <c r="W82" s="12">
        <v>1.909090909090909</v>
      </c>
      <c r="X82" s="12">
        <v>1.909090909090909</v>
      </c>
      <c r="Y82" s="13">
        <f>(1/R82)/((1/R82)+(1/S82))</f>
        <v>0.6805555555555556</v>
      </c>
      <c r="Z82" s="13">
        <f>(1/J82)/((1/J82)+(1/K82))</f>
        <v>0.644729178800233</v>
      </c>
      <c r="AA82" s="14">
        <f>1/R82+1/S82-1</f>
        <v>0.04347826086956519</v>
      </c>
      <c r="AB82" s="15">
        <f>O82-I82</f>
        <v>-1.0</v>
      </c>
      <c r="AC82" s="15">
        <f>IF(G82="","",G82-O82)</f>
        <v>0.0</v>
      </c>
      <c r="AD82" s="15">
        <f>H82-V82</f>
        <v>0.0</v>
      </c>
      <c r="AE82" s="16">
        <f>IF(F82&gt;E82,1,0)</f>
        <v>1</v>
      </c>
      <c r="AF82" s="16">
        <f>F82+E82</f>
        <v>217</v>
      </c>
      <c r="AG82" s="16">
        <f>IF(Y82=0.5,"",IF((Y82&gt;0.5)=(AE82=1),1,0))</f>
        <v>1</v>
      </c>
      <c r="AH82" s="16">
        <f>IF(Z82=0.5,"",IF((Z82&gt;0.5)=(AE82=1),1,0))</f>
        <v>1</v>
      </c>
      <c r="AI82" s="17" t="str">
        <f>IF(AF82&gt;V82,"Üst",IF(AF82&lt;V82,"Alt","Push"))</f>
        <v>Alt</v>
      </c>
    </row>
    <row r="83" spans="1:35">
      <c r="A83" s="7">
        <v>46095</v>
      </c>
      <c r="B83" s="8" t="s">
        <v>246</v>
      </c>
      <c r="C83" s="8" t="s">
        <v>92</v>
      </c>
      <c r="D83" s="8" t="s">
        <v>91</v>
      </c>
      <c r="E83" s="9">
        <v>125</v>
      </c>
      <c r="F83" s="9">
        <v>127</v>
      </c>
      <c r="G83" s="10">
        <v>1.5</v>
      </c>
      <c r="H83" s="11">
        <v>245.5</v>
      </c>
      <c r="I83" s="10">
        <v>1.5</v>
      </c>
      <c r="J83" s="12">
        <v>2.02</v>
      </c>
      <c r="K83" s="12">
        <v>1.819672131147541</v>
      </c>
      <c r="L83" s="11">
        <v>240.5</v>
      </c>
      <c r="M83" s="12">
        <v>1.909090909090909</v>
      </c>
      <c r="N83" s="12">
        <v>1.909090909090909</v>
      </c>
      <c r="O83" s="10">
        <v>1.5</v>
      </c>
      <c r="P83" s="12">
        <v>1.952380952380952</v>
      </c>
      <c r="Q83" s="12">
        <v>1.869565217391304</v>
      </c>
      <c r="R83" s="12">
        <v>2.02</v>
      </c>
      <c r="S83" s="12">
        <v>1.819672131147541</v>
      </c>
      <c r="T83" s="8" t="s">
        <v>161</v>
      </c>
      <c r="U83" s="8" t="s">
        <v>160</v>
      </c>
      <c r="V83" s="11">
        <v>244.5</v>
      </c>
      <c r="W83" s="12">
        <v>1.869565217391304</v>
      </c>
      <c r="X83" s="12">
        <v>1.952380952380952</v>
      </c>
      <c r="Y83" s="13">
        <f>(1/R83)/((1/R83)+(1/S83))</f>
        <v>0.47391341473828025</v>
      </c>
      <c r="Z83" s="13">
        <f>(1/J83)/((1/J83)+(1/K83))</f>
        <v>0.47391341473828025</v>
      </c>
      <c r="AA83" s="14">
        <f>1/R83+1/S83-1</f>
        <v>0.04459905450004453</v>
      </c>
      <c r="AB83" s="15">
        <f>O83-I83</f>
        <v>0.0</v>
      </c>
      <c r="AC83" s="15">
        <f>IF(G83="","",G83-O83)</f>
        <v>0.0</v>
      </c>
      <c r="AD83" s="15">
        <f>H83-V83</f>
        <v>1.0</v>
      </c>
      <c r="AE83" s="16">
        <f>IF(F83&gt;E83,1,0)</f>
        <v>1</v>
      </c>
      <c r="AF83" s="16">
        <f>F83+E83</f>
        <v>252</v>
      </c>
      <c r="AG83" s="16">
        <f>IF(Y83=0.5,"",IF((Y83&gt;0.5)=(AE83=1),1,0))</f>
        <v>0</v>
      </c>
      <c r="AH83" s="16">
        <f>IF(Z83=0.5,"",IF((Z83&gt;0.5)=(AE83=1),1,0))</f>
        <v>0</v>
      </c>
      <c r="AI83" s="17" t="str">
        <f>IF(AF83&gt;V83,"Üst",IF(AF83&lt;V83,"Alt","Push"))</f>
        <v>Üst</v>
      </c>
    </row>
    <row r="84" spans="1:35">
      <c r="A84" s="7">
        <v>46095</v>
      </c>
      <c r="B84" s="8" t="s">
        <v>247</v>
      </c>
      <c r="C84" s="8" t="s">
        <v>97</v>
      </c>
      <c r="D84" s="8" t="s">
        <v>57</v>
      </c>
      <c r="E84" s="9">
        <v>118</v>
      </c>
      <c r="F84" s="9">
        <v>109</v>
      </c>
      <c r="G84" s="10">
        <v>-13.5</v>
      </c>
      <c r="H84" s="11">
        <v>231.5</v>
      </c>
      <c r="I84" s="10">
        <v>-13.5</v>
      </c>
      <c r="J84" s="12">
        <v>1.133333333333333</v>
      </c>
      <c r="K84" s="12">
        <v>6.25</v>
      </c>
      <c r="L84" s="11">
        <v>230.5</v>
      </c>
      <c r="M84" s="12">
        <v>1.909090909090909</v>
      </c>
      <c r="N84" s="12">
        <v>1.909090909090909</v>
      </c>
      <c r="O84" s="10">
        <v>-13.5</v>
      </c>
      <c r="P84" s="12">
        <v>1.869565217391304</v>
      </c>
      <c r="Q84" s="12">
        <v>1.952380952380952</v>
      </c>
      <c r="R84" s="12">
        <v>1.105263157894737</v>
      </c>
      <c r="S84" s="12">
        <v>7.25</v>
      </c>
      <c r="T84" s="8" t="s">
        <v>205</v>
      </c>
      <c r="U84" s="8" t="s">
        <v>206</v>
      </c>
      <c r="V84" s="11">
        <v>231.5</v>
      </c>
      <c r="W84" s="12">
        <v>1.909090909090909</v>
      </c>
      <c r="X84" s="12">
        <v>1.909090909090909</v>
      </c>
      <c r="Y84" s="13">
        <f>(1/R84)/((1/R84)+(1/S84))</f>
        <v>0.8677165354330708</v>
      </c>
      <c r="Z84" s="13">
        <f>(1/J84)/((1/J84)+(1/K84))</f>
        <v>0.8465011286681716</v>
      </c>
      <c r="AA84" s="14">
        <f>1/R84+1/S84-1</f>
        <v>0.04269293924466355</v>
      </c>
      <c r="AB84" s="15">
        <f>O84-I84</f>
        <v>0.0</v>
      </c>
      <c r="AC84" s="15">
        <f>IF(G84="","",G84-O84)</f>
        <v>0.0</v>
      </c>
      <c r="AD84" s="15">
        <f>H84-V84</f>
        <v>0.0</v>
      </c>
      <c r="AE84" s="16">
        <f>IF(F84&gt;E84,1,0)</f>
        <v>0</v>
      </c>
      <c r="AF84" s="16">
        <f>F84+E84</f>
        <v>227</v>
      </c>
      <c r="AG84" s="16">
        <f>IF(Y84=0.5,"",IF((Y84&gt;0.5)=(AE84=1),1,0))</f>
        <v>0</v>
      </c>
      <c r="AH84" s="16">
        <f>IF(Z84=0.5,"",IF((Z84&gt;0.5)=(AE84=1),1,0))</f>
        <v>0</v>
      </c>
      <c r="AI84" s="17" t="str">
        <f>IF(AF84&gt;V84,"Üst",IF(AF84&lt;V84,"Alt","Push"))</f>
        <v>Alt</v>
      </c>
    </row>
    <row r="85" spans="1:35">
      <c r="A85" s="7">
        <v>46096</v>
      </c>
      <c r="B85" s="8" t="s">
        <v>248</v>
      </c>
      <c r="C85" s="8" t="s">
        <v>77</v>
      </c>
      <c r="D85" s="8" t="s">
        <v>130</v>
      </c>
      <c r="E85" s="9">
        <v>103</v>
      </c>
      <c r="F85" s="9">
        <v>116</v>
      </c>
      <c r="G85" s="10">
        <v>-9.5</v>
      </c>
      <c r="H85" s="11">
        <v>228.5</v>
      </c>
      <c r="I85" s="10">
        <v>-8.5</v>
      </c>
      <c r="J85" s="12">
        <v>1.294117647058824</v>
      </c>
      <c r="K85" s="12">
        <v>3.7</v>
      </c>
      <c r="L85" s="11">
        <v>225.5</v>
      </c>
      <c r="M85" s="12">
        <v>1.909090909090909</v>
      </c>
      <c r="N85" s="12">
        <v>1.909090909090909</v>
      </c>
      <c r="O85" s="10">
        <v>-8.5</v>
      </c>
      <c r="P85" s="12">
        <v>1.847457627118644</v>
      </c>
      <c r="Q85" s="12">
        <v>1.980392156862745</v>
      </c>
      <c r="R85" s="12">
        <v>1.263157894736842</v>
      </c>
      <c r="S85" s="12">
        <v>4</v>
      </c>
      <c r="T85" s="8" t="s">
        <v>232</v>
      </c>
      <c r="U85" s="8" t="s">
        <v>233</v>
      </c>
      <c r="V85" s="11">
        <v>227.5</v>
      </c>
      <c r="W85" s="12">
        <v>1.869565217391304</v>
      </c>
      <c r="X85" s="12">
        <v>1.952380952380952</v>
      </c>
      <c r="Y85" s="13">
        <f>(1/R85)/((1/R85)+(1/S85))</f>
        <v>0.76</v>
      </c>
      <c r="Z85" s="13">
        <f>(1/J85)/((1/J85)+(1/K85))</f>
        <v>0.7408716136631331</v>
      </c>
      <c r="AA85" s="14">
        <f>1/R85+1/S85-1</f>
        <v>0.04166666666666674</v>
      </c>
      <c r="AB85" s="15">
        <f>O85-I85</f>
        <v>0.0</v>
      </c>
      <c r="AC85" s="15">
        <f>IF(G85="","",G85-O85)</f>
        <v>-1.0</v>
      </c>
      <c r="AD85" s="15">
        <f>H85-V85</f>
        <v>1.0</v>
      </c>
      <c r="AE85" s="16">
        <f>IF(F85&gt;E85,1,0)</f>
        <v>1</v>
      </c>
      <c r="AF85" s="16">
        <f>F85+E85</f>
        <v>219</v>
      </c>
      <c r="AG85" s="16">
        <f>IF(Y85=0.5,"",IF((Y85&gt;0.5)=(AE85=1),1,0))</f>
        <v>1</v>
      </c>
      <c r="AH85" s="16">
        <f>IF(Z85=0.5,"",IF((Z85&gt;0.5)=(AE85=1),1,0))</f>
        <v>1</v>
      </c>
      <c r="AI85" s="17" t="str">
        <f>IF(AF85&gt;V85,"Üst",IF(AF85&lt;V85,"Alt","Push"))</f>
        <v>Alt</v>
      </c>
    </row>
    <row r="86" spans="1:35">
      <c r="A86" s="7">
        <v>46096</v>
      </c>
      <c r="B86" s="8" t="s">
        <v>249</v>
      </c>
      <c r="C86" s="8" t="s">
        <v>61</v>
      </c>
      <c r="D86" s="8" t="s">
        <v>134</v>
      </c>
      <c r="E86" s="9">
        <v>130</v>
      </c>
      <c r="F86" s="9">
        <v>120</v>
      </c>
      <c r="G86" s="10">
        <v>-14.5</v>
      </c>
      <c r="H86" s="11">
        <v>233.5</v>
      </c>
      <c r="I86" s="10">
        <v>-16.5</v>
      </c>
      <c r="J86" s="12">
        <v>1.068965517241379</v>
      </c>
      <c r="K86" s="12">
        <v>9.5</v>
      </c>
      <c r="L86" s="11">
        <v>239.5</v>
      </c>
      <c r="M86" s="12">
        <v>1.909090909090909</v>
      </c>
      <c r="N86" s="12">
        <v>1.909090909090909</v>
      </c>
      <c r="O86" s="10">
        <v>-14.5</v>
      </c>
      <c r="P86" s="12">
        <v>1.892857142857143</v>
      </c>
      <c r="Q86" s="12">
        <v>1.925925925925926</v>
      </c>
      <c r="R86" s="12">
        <v>1.083333333333333</v>
      </c>
      <c r="S86" s="12">
        <v>8.5</v>
      </c>
      <c r="T86" s="8" t="s">
        <v>102</v>
      </c>
      <c r="U86" s="8" t="s">
        <v>103</v>
      </c>
      <c r="V86" s="11">
        <v>233.5</v>
      </c>
      <c r="W86" s="12">
        <v>1.869565217391304</v>
      </c>
      <c r="X86" s="12">
        <v>1.952380952380952</v>
      </c>
      <c r="Y86" s="13">
        <f>(1/R86)/((1/R86)+(1/S86))</f>
        <v>0.8869565217391304</v>
      </c>
      <c r="Z86" s="13">
        <f>(1/J86)/((1/J86)+(1/K86))</f>
        <v>0.8988580750407832</v>
      </c>
      <c r="AA86" s="14">
        <f>1/R86+1/S86-1</f>
        <v>0.040723981900452566</v>
      </c>
      <c r="AB86" s="15">
        <f>O86-I86</f>
        <v>2.0</v>
      </c>
      <c r="AC86" s="15">
        <f>IF(G86="","",G86-O86)</f>
        <v>0.0</v>
      </c>
      <c r="AD86" s="15">
        <f>H86-V86</f>
        <v>0.0</v>
      </c>
      <c r="AE86" s="16">
        <f>IF(F86&gt;E86,1,0)</f>
        <v>0</v>
      </c>
      <c r="AF86" s="16">
        <f>F86+E86</f>
        <v>250</v>
      </c>
      <c r="AG86" s="16">
        <f>IF(Y86=0.5,"",IF((Y86&gt;0.5)=(AE86=1),1,0))</f>
        <v>0</v>
      </c>
      <c r="AH86" s="16">
        <f>IF(Z86=0.5,"",IF((Z86&gt;0.5)=(AE86=1),1,0))</f>
        <v>0</v>
      </c>
      <c r="AI86" s="17" t="str">
        <f>IF(AF86&gt;V86,"Üst",IF(AF86&lt;V86,"Alt","Push"))</f>
        <v>Üst</v>
      </c>
    </row>
    <row r="87" spans="1:35">
      <c r="A87" s="7">
        <v>46096</v>
      </c>
      <c r="B87" s="8" t="s">
        <v>250</v>
      </c>
      <c r="C87" s="8" t="s">
        <v>81</v>
      </c>
      <c r="D87" s="8" t="s">
        <v>76</v>
      </c>
      <c r="E87" s="9">
        <v>108</v>
      </c>
      <c r="F87" s="9">
        <v>119</v>
      </c>
      <c r="G87" s="10">
        <v>3.5</v>
      </c>
      <c r="H87" s="11">
        <v>224.5</v>
      </c>
      <c r="I87" s="10">
        <v>4.5</v>
      </c>
      <c r="J87" s="12">
        <v>2.45</v>
      </c>
      <c r="K87" s="12">
        <v>1.571428571428571</v>
      </c>
      <c r="L87" s="11">
        <v>220.5</v>
      </c>
      <c r="M87" s="12">
        <v>1.909090909090909</v>
      </c>
      <c r="N87" s="12">
        <v>1.909090909090909</v>
      </c>
      <c r="O87" s="10">
        <v>3.5</v>
      </c>
      <c r="P87" s="12">
        <v>1.847457627118644</v>
      </c>
      <c r="Q87" s="12">
        <v>1.980392156862745</v>
      </c>
      <c r="R87" s="12">
        <v>2.3</v>
      </c>
      <c r="S87" s="12">
        <v>1.645161290322581</v>
      </c>
      <c r="T87" s="8" t="s">
        <v>164</v>
      </c>
      <c r="U87" s="8" t="s">
        <v>163</v>
      </c>
      <c r="V87" s="11">
        <v>224.5</v>
      </c>
      <c r="W87" s="12">
        <v>1.909090909090909</v>
      </c>
      <c r="X87" s="12">
        <v>1.909090909090909</v>
      </c>
      <c r="Y87" s="13">
        <f>(1/R87)/((1/R87)+(1/S87))</f>
        <v>0.41700735895339325</v>
      </c>
      <c r="Z87" s="13">
        <f>(1/J87)/((1/J87)+(1/K87))</f>
        <v>0.3907637655417407</v>
      </c>
      <c r="AA87" s="14">
        <f>1/R87+1/S87-1</f>
        <v>0.04262574595055435</v>
      </c>
      <c r="AB87" s="15">
        <f>O87-I87</f>
        <v>-1.0</v>
      </c>
      <c r="AC87" s="15">
        <f>IF(G87="","",G87-O87)</f>
        <v>0.0</v>
      </c>
      <c r="AD87" s="15">
        <f>H87-V87</f>
        <v>0.0</v>
      </c>
      <c r="AE87" s="16">
        <f>IF(F87&gt;E87,1,0)</f>
        <v>1</v>
      </c>
      <c r="AF87" s="16">
        <f>F87+E87</f>
        <v>227</v>
      </c>
      <c r="AG87" s="16">
        <f>IF(Y87=0.5,"",IF((Y87&gt;0.5)=(AE87=1),1,0))</f>
        <v>0</v>
      </c>
      <c r="AH87" s="16">
        <f>IF(Z87=0.5,"",IF((Z87&gt;0.5)=(AE87=1),1,0))</f>
        <v>0</v>
      </c>
      <c r="AI87" s="17" t="str">
        <f>IF(AF87&gt;V87,"Üst",IF(AF87&lt;V87,"Alt","Push"))</f>
        <v>Üst</v>
      </c>
    </row>
    <row r="88" spans="1:35">
      <c r="A88" s="7">
        <v>46096</v>
      </c>
      <c r="B88" s="8" t="s">
        <v>251</v>
      </c>
      <c r="C88" s="8" t="s">
        <v>56</v>
      </c>
      <c r="D88" s="8" t="s">
        <v>52</v>
      </c>
      <c r="E88" s="9">
        <v>123</v>
      </c>
      <c r="F88" s="9">
        <v>134</v>
      </c>
      <c r="G88" s="10">
        <v>-7.5</v>
      </c>
      <c r="H88" s="11">
        <v>227.5</v>
      </c>
      <c r="I88" s="10">
        <v>-6.5</v>
      </c>
      <c r="J88" s="12">
        <v>1.387596899224806</v>
      </c>
      <c r="K88" s="12">
        <v>3.1</v>
      </c>
      <c r="L88" s="11">
        <v>228.5</v>
      </c>
      <c r="M88" s="12">
        <v>1.909090909090909</v>
      </c>
      <c r="N88" s="12">
        <v>1.909090909090909</v>
      </c>
      <c r="O88" s="10">
        <v>-7.5</v>
      </c>
      <c r="P88" s="12">
        <v>1.869565217391304</v>
      </c>
      <c r="Q88" s="12">
        <v>1.952380952380952</v>
      </c>
      <c r="R88" s="12">
        <v>1.335570469798658</v>
      </c>
      <c r="S88" s="12">
        <v>3.4</v>
      </c>
      <c r="T88" s="8" t="s">
        <v>106</v>
      </c>
      <c r="U88" s="8" t="s">
        <v>107</v>
      </c>
      <c r="V88" s="11">
        <v>227.5</v>
      </c>
      <c r="W88" s="12">
        <v>1.909090909090909</v>
      </c>
      <c r="X88" s="12">
        <v>1.909090909090909</v>
      </c>
      <c r="Y88" s="13">
        <f>(1/R88)/((1/R88)+(1/S88))</f>
        <v>0.7179705215419501</v>
      </c>
      <c r="Z88" s="13">
        <f>(1/J88)/((1/J88)+(1/K88))</f>
        <v>0.690792883054068</v>
      </c>
      <c r="AA88" s="14">
        <f>1/R88+1/S88-1</f>
        <v>0.04286136565178844</v>
      </c>
      <c r="AB88" s="15">
        <f>O88-I88</f>
        <v>-1.0</v>
      </c>
      <c r="AC88" s="15">
        <f>IF(G88="","",G88-O88)</f>
        <v>0.0</v>
      </c>
      <c r="AD88" s="15">
        <f>H88-V88</f>
        <v>0.0</v>
      </c>
      <c r="AE88" s="16">
        <f>IF(F88&gt;E88,1,0)</f>
        <v>1</v>
      </c>
      <c r="AF88" s="16">
        <f>F88+E88</f>
        <v>257</v>
      </c>
      <c r="AG88" s="16">
        <f>IF(Y88=0.5,"",IF((Y88&gt;0.5)=(AE88=1),1,0))</f>
        <v>1</v>
      </c>
      <c r="AH88" s="16">
        <f>IF(Z88=0.5,"",IF((Z88&gt;0.5)=(AE88=1),1,0))</f>
        <v>1</v>
      </c>
      <c r="AI88" s="17" t="str">
        <f>IF(AF88&gt;V88,"Üst",IF(AF88&lt;V88,"Alt","Push"))</f>
        <v>Üst</v>
      </c>
    </row>
    <row r="89" spans="1:35">
      <c r="A89" s="7">
        <v>46096</v>
      </c>
      <c r="B89" s="8" t="s">
        <v>252</v>
      </c>
      <c r="C89" s="8" t="s">
        <v>46</v>
      </c>
      <c r="D89" s="8" t="s">
        <v>42</v>
      </c>
      <c r="E89" s="9">
        <v>103</v>
      </c>
      <c r="F89" s="9">
        <v>109</v>
      </c>
      <c r="G89" s="10">
        <v>8.5</v>
      </c>
      <c r="H89" s="11">
        <v>229.5</v>
      </c>
      <c r="I89" s="10">
        <v>6.5</v>
      </c>
      <c r="J89" s="12">
        <v>3.05</v>
      </c>
      <c r="K89" s="12">
        <v>1.4</v>
      </c>
      <c r="L89" s="11">
        <v>229.5</v>
      </c>
      <c r="M89" s="12">
        <v>1.909090909090909</v>
      </c>
      <c r="N89" s="12">
        <v>1.909090909090909</v>
      </c>
      <c r="O89" s="10">
        <v>8.5</v>
      </c>
      <c r="P89" s="12">
        <v>1.869565217391304</v>
      </c>
      <c r="Q89" s="12">
        <v>1.952380952380952</v>
      </c>
      <c r="R89" s="12">
        <v>3.7</v>
      </c>
      <c r="S89" s="12">
        <v>1.294117647058824</v>
      </c>
      <c r="T89" s="8" t="s">
        <v>253</v>
      </c>
      <c r="U89" s="8" t="s">
        <v>254</v>
      </c>
      <c r="V89" s="11">
        <v>228.5</v>
      </c>
      <c r="W89" s="12">
        <v>1.909090909090909</v>
      </c>
      <c r="X89" s="12">
        <v>1.909090909090909</v>
      </c>
      <c r="Y89" s="13">
        <f>(1/R89)/((1/R89)+(1/S89))</f>
        <v>0.2591283863368669</v>
      </c>
      <c r="Z89" s="13">
        <f>(1/J89)/((1/J89)+(1/K89))</f>
        <v>0.3146067415730337</v>
      </c>
      <c r="AA89" s="14">
        <f>1/R89+1/S89-1</f>
        <v>0.04299754299754288</v>
      </c>
      <c r="AB89" s="15">
        <f>O89-I89</f>
        <v>2.0</v>
      </c>
      <c r="AC89" s="15">
        <f>IF(G89="","",G89-O89)</f>
        <v>0.0</v>
      </c>
      <c r="AD89" s="15">
        <f>H89-V89</f>
        <v>1.0</v>
      </c>
      <c r="AE89" s="16">
        <f>IF(F89&gt;E89,1,0)</f>
        <v>1</v>
      </c>
      <c r="AF89" s="16">
        <f>F89+E89</f>
        <v>212</v>
      </c>
      <c r="AG89" s="16">
        <f>IF(Y89=0.5,"",IF((Y89&gt;0.5)=(AE89=1),1,0))</f>
        <v>0</v>
      </c>
      <c r="AH89" s="16">
        <f>IF(Z89=0.5,"",IF((Z89&gt;0.5)=(AE89=1),1,0))</f>
        <v>0</v>
      </c>
      <c r="AI89" s="17" t="str">
        <f>IF(AF89&gt;V89,"Üst",IF(AF89&lt;V89,"Alt","Push"))</f>
        <v>Alt</v>
      </c>
    </row>
    <row r="90" spans="1:35">
      <c r="A90" s="7">
        <v>46096</v>
      </c>
      <c r="B90" s="8" t="s">
        <v>255</v>
      </c>
      <c r="C90" s="8" t="s">
        <v>73</v>
      </c>
      <c r="D90" s="8" t="s">
        <v>110</v>
      </c>
      <c r="E90" s="9">
        <v>107</v>
      </c>
      <c r="F90" s="9">
        <v>110</v>
      </c>
      <c r="G90" s="10">
        <v>-14.5</v>
      </c>
      <c r="H90" s="11">
        <v>219.5</v>
      </c>
      <c r="I90" s="10">
        <v>-13.5</v>
      </c>
      <c r="J90" s="12">
        <v>1.148148148148148</v>
      </c>
      <c r="K90" s="12">
        <v>5.9</v>
      </c>
      <c r="L90" s="11">
        <v>216.5</v>
      </c>
      <c r="M90" s="12">
        <v>1.909090909090909</v>
      </c>
      <c r="N90" s="12">
        <v>1.909090909090909</v>
      </c>
      <c r="O90" s="10">
        <v>-14.5</v>
      </c>
      <c r="P90" s="12">
        <v>1.869565217391304</v>
      </c>
      <c r="Q90" s="12">
        <v>1.952380952380952</v>
      </c>
      <c r="R90" s="12">
        <v>1.105263157894737</v>
      </c>
      <c r="S90" s="12">
        <v>7.25</v>
      </c>
      <c r="T90" s="8" t="s">
        <v>205</v>
      </c>
      <c r="U90" s="8" t="s">
        <v>206</v>
      </c>
      <c r="V90" s="11">
        <v>218.5</v>
      </c>
      <c r="W90" s="12">
        <v>1.892857142857143</v>
      </c>
      <c r="X90" s="12">
        <v>1.925925925925926</v>
      </c>
      <c r="Y90" s="13">
        <f>(1/R90)/((1/R90)+(1/S90))</f>
        <v>0.8677165354330708</v>
      </c>
      <c r="Z90" s="13">
        <f>(1/J90)/((1/J90)+(1/K90))</f>
        <v>0.8370993168681029</v>
      </c>
      <c r="AA90" s="14">
        <f>1/R90+1/S90-1</f>
        <v>0.04269293924466355</v>
      </c>
      <c r="AB90" s="15">
        <f>O90-I90</f>
        <v>-1.0</v>
      </c>
      <c r="AC90" s="15">
        <f>IF(G90="","",G90-O90)</f>
        <v>0.0</v>
      </c>
      <c r="AD90" s="15">
        <f>H90-V90</f>
        <v>1.0</v>
      </c>
      <c r="AE90" s="16">
        <f>IF(F90&gt;E90,1,0)</f>
        <v>1</v>
      </c>
      <c r="AF90" s="16">
        <f>F90+E90</f>
        <v>217</v>
      </c>
      <c r="AG90" s="16">
        <f>IF(Y90=0.5,"",IF((Y90&gt;0.5)=(AE90=1),1,0))</f>
        <v>1</v>
      </c>
      <c r="AH90" s="16">
        <f>IF(Z90=0.5,"",IF((Z90&gt;0.5)=(AE90=1),1,0))</f>
        <v>1</v>
      </c>
      <c r="AI90" s="17" t="str">
        <f>IF(AF90&gt;V90,"Üst",IF(AF90&lt;V90,"Alt","Push"))</f>
        <v>Alt</v>
      </c>
    </row>
    <row r="91" spans="1:35">
      <c r="A91" s="7">
        <v>46096</v>
      </c>
      <c r="B91" s="8" t="s">
        <v>256</v>
      </c>
      <c r="C91" s="8" t="s">
        <v>41</v>
      </c>
      <c r="D91" s="8" t="s">
        <v>97</v>
      </c>
      <c r="E91" s="9">
        <v>111</v>
      </c>
      <c r="F91" s="9">
        <v>116</v>
      </c>
      <c r="G91" s="10">
        <v>-3.5</v>
      </c>
      <c r="H91" s="11">
        <v>230.5</v>
      </c>
      <c r="I91" s="10">
        <v>-2.5</v>
      </c>
      <c r="J91" s="12">
        <v>1.704225352112676</v>
      </c>
      <c r="K91" s="12">
        <v>2.2</v>
      </c>
      <c r="L91" s="11">
        <v>232.5</v>
      </c>
      <c r="M91" s="12">
        <v>1.909090909090909</v>
      </c>
      <c r="N91" s="12">
        <v>1.909090909090909</v>
      </c>
      <c r="O91" s="10">
        <v>-3.5</v>
      </c>
      <c r="P91" s="12">
        <v>1.909090909090909</v>
      </c>
      <c r="Q91" s="12">
        <v>1.909090909090909</v>
      </c>
      <c r="R91" s="12">
        <v>1.617283950617284</v>
      </c>
      <c r="S91" s="12">
        <v>2.36</v>
      </c>
      <c r="T91" s="8" t="s">
        <v>182</v>
      </c>
      <c r="U91" s="8" t="s">
        <v>183</v>
      </c>
      <c r="V91" s="11">
        <v>230.5</v>
      </c>
      <c r="W91" s="12">
        <v>1.892857142857143</v>
      </c>
      <c r="X91" s="12">
        <v>1.925925925925926</v>
      </c>
      <c r="Y91" s="13">
        <f>(1/R91)/((1/R91)+(1/S91))</f>
        <v>0.593369754159424</v>
      </c>
      <c r="Z91" s="13">
        <f>(1/J91)/((1/J91)+(1/K91))</f>
        <v>0.5634920634920635</v>
      </c>
      <c r="AA91" s="14">
        <f>1/R91+1/S91-1</f>
        <v>0.042049424246344724</v>
      </c>
      <c r="AB91" s="15">
        <f>O91-I91</f>
        <v>-1.0</v>
      </c>
      <c r="AC91" s="15">
        <f>IF(G91="","",G91-O91)</f>
        <v>0.0</v>
      </c>
      <c r="AD91" s="15">
        <f>H91-V91</f>
        <v>0.0</v>
      </c>
      <c r="AE91" s="16">
        <f>IF(F91&gt;E91,1,0)</f>
        <v>1</v>
      </c>
      <c r="AF91" s="16">
        <f>F91+E91</f>
        <v>227</v>
      </c>
      <c r="AG91" s="16">
        <f>IF(Y91=0.5,"",IF((Y91&gt;0.5)=(AE91=1),1,0))</f>
        <v>1</v>
      </c>
      <c r="AH91" s="16">
        <f>IF(Z91=0.5,"",IF((Z91&gt;0.5)=(AE91=1),1,0))</f>
        <v>1</v>
      </c>
      <c r="AI91" s="17" t="str">
        <f>IF(AF91&gt;V91,"Üst",IF(AF91&lt;V91,"Alt","Push"))</f>
        <v>Alt</v>
      </c>
    </row>
    <row r="92" spans="1:35">
      <c r="A92" s="7">
        <v>46097</v>
      </c>
      <c r="B92" s="8" t="s">
        <v>257</v>
      </c>
      <c r="C92" s="8" t="s">
        <v>62</v>
      </c>
      <c r="D92" s="8" t="s">
        <v>51</v>
      </c>
      <c r="E92" s="9">
        <v>112</v>
      </c>
      <c r="F92" s="9">
        <v>124</v>
      </c>
      <c r="G92" s="10">
        <v>-3.5</v>
      </c>
      <c r="H92" s="11">
        <v>232.5</v>
      </c>
      <c r="I92" s="10">
        <v>-1.5</v>
      </c>
      <c r="J92" s="12">
        <v>1.909090909090909</v>
      </c>
      <c r="K92" s="12">
        <v>1.909090909090909</v>
      </c>
      <c r="L92" s="11">
        <v>231.5</v>
      </c>
      <c r="M92" s="12">
        <v>1.909090909090909</v>
      </c>
      <c r="N92" s="12">
        <v>1.909090909090909</v>
      </c>
      <c r="O92" s="10">
        <v>-3.5</v>
      </c>
      <c r="P92" s="12">
        <v>1.925925925925926</v>
      </c>
      <c r="Q92" s="12">
        <v>1.892857142857143</v>
      </c>
      <c r="R92" s="12">
        <v>1.645161290322581</v>
      </c>
      <c r="S92" s="12">
        <v>2.3</v>
      </c>
      <c r="T92" s="8" t="s">
        <v>163</v>
      </c>
      <c r="U92" s="8" t="s">
        <v>164</v>
      </c>
      <c r="V92" s="11">
        <v>232.5</v>
      </c>
      <c r="W92" s="12">
        <v>1.952380952380952</v>
      </c>
      <c r="X92" s="12">
        <v>1.869565217391304</v>
      </c>
      <c r="Y92" s="13">
        <f>(1/R92)/((1/R92)+(1/S92))</f>
        <v>0.5829926410466066</v>
      </c>
      <c r="Z92" s="13">
        <f>(1/J92)/((1/J92)+(1/K92))</f>
        <v>0.5</v>
      </c>
      <c r="AA92" s="14">
        <f>1/R92+1/S92-1</f>
        <v>0.04262574595055435</v>
      </c>
      <c r="AB92" s="15">
        <f>O92-I92</f>
        <v>-2.0</v>
      </c>
      <c r="AC92" s="15">
        <f>IF(G92="","",G92-O92)</f>
        <v>0.0</v>
      </c>
      <c r="AD92" s="15">
        <f>H92-V92</f>
        <v>0.0</v>
      </c>
      <c r="AE92" s="16">
        <f>IF(F92&gt;E92,1,0)</f>
        <v>1</v>
      </c>
      <c r="AF92" s="16">
        <f>F92+E92</f>
        <v>236</v>
      </c>
      <c r="AG92" s="16">
        <f>IF(Y92=0.5,"",IF((Y92&gt;0.5)=(AE92=1),1,0))</f>
        <v>1</v>
      </c>
      <c r="AH92" s="16">
        <f>IF(Z92=0.5,"",IF((Z92&gt;0.5)=(AE92=1),1,0))</f>
        <v/>
      </c>
      <c r="AI92" s="17" t="str">
        <f>IF(AF92&gt;V92,"Üst",IF(AF92&lt;V92,"Alt","Push"))</f>
        <v>Üst</v>
      </c>
    </row>
    <row r="93" spans="1:35">
      <c r="A93" s="7">
        <v>46097</v>
      </c>
      <c r="B93" s="8" t="s">
        <v>258</v>
      </c>
      <c r="C93" s="8" t="s">
        <v>73</v>
      </c>
      <c r="D93" s="8" t="s">
        <v>64</v>
      </c>
      <c r="E93" s="9">
        <v>125</v>
      </c>
      <c r="F93" s="9">
        <v>117</v>
      </c>
      <c r="G93" s="10">
        <v>7.5</v>
      </c>
      <c r="H93" s="11">
        <v>234.5</v>
      </c>
      <c r="I93" s="10">
        <v>6.5</v>
      </c>
      <c r="J93" s="12">
        <v>3.4</v>
      </c>
      <c r="K93" s="12">
        <v>1.335570469798658</v>
      </c>
      <c r="L93" s="11">
        <v>230.5</v>
      </c>
      <c r="M93" s="12">
        <v>1.952380952380952</v>
      </c>
      <c r="N93" s="12">
        <v>1.869565217391304</v>
      </c>
      <c r="O93" s="10">
        <v>7.5</v>
      </c>
      <c r="P93" s="12">
        <v>1.909090909090909</v>
      </c>
      <c r="Q93" s="12">
        <v>1.909090909090909</v>
      </c>
      <c r="R93" s="12">
        <v>3.5</v>
      </c>
      <c r="S93" s="12">
        <v>1.32258064516129</v>
      </c>
      <c r="T93" s="8" t="s">
        <v>259</v>
      </c>
      <c r="U93" s="8" t="s">
        <v>260</v>
      </c>
      <c r="V93" s="11">
        <v>234.5</v>
      </c>
      <c r="W93" s="12">
        <v>1.909090909090909</v>
      </c>
      <c r="X93" s="12">
        <v>1.909090909090909</v>
      </c>
      <c r="Y93" s="13">
        <f>(1/R93)/((1/R93)+(1/S93))</f>
        <v>0.27424749163879597</v>
      </c>
      <c r="Z93" s="13">
        <f>(1/J93)/((1/J93)+(1/K93))</f>
        <v>0.2820294784580499</v>
      </c>
      <c r="AA93" s="14">
        <f>1/R93+1/S93-1</f>
        <v>0.04181184668989557</v>
      </c>
      <c r="AB93" s="15">
        <f>O93-I93</f>
        <v>1.0</v>
      </c>
      <c r="AC93" s="15">
        <f>IF(G93="","",G93-O93)</f>
        <v>0.0</v>
      </c>
      <c r="AD93" s="15">
        <f>H93-V93</f>
        <v>0.0</v>
      </c>
      <c r="AE93" s="16">
        <f>IF(F93&gt;E93,1,0)</f>
        <v>0</v>
      </c>
      <c r="AF93" s="16">
        <f>F93+E93</f>
        <v>242</v>
      </c>
      <c r="AG93" s="16">
        <f>IF(Y93=0.5,"",IF((Y93&gt;0.5)=(AE93=1),1,0))</f>
        <v>1</v>
      </c>
      <c r="AH93" s="16">
        <f>IF(Z93=0.5,"",IF((Z93&gt;0.5)=(AE93=1),1,0))</f>
        <v>1</v>
      </c>
      <c r="AI93" s="17" t="str">
        <f>IF(AF93&gt;V93,"Üst",IF(AF93&lt;V93,"Alt","Push"))</f>
        <v>Üst</v>
      </c>
    </row>
    <row r="94" spans="1:35">
      <c r="A94" s="7">
        <v>46097</v>
      </c>
      <c r="B94" s="8" t="s">
        <v>261</v>
      </c>
      <c r="C94" s="8" t="s">
        <v>46</v>
      </c>
      <c r="D94" s="8" t="s">
        <v>68</v>
      </c>
      <c r="E94" s="9">
        <v>114</v>
      </c>
      <c r="F94" s="9">
        <v>95</v>
      </c>
      <c r="G94" s="10">
        <v>10.5</v>
      </c>
      <c r="H94" s="11">
        <v>221.5</v>
      </c>
      <c r="I94" s="10">
        <v>10.5</v>
      </c>
      <c r="J94" s="12">
        <v>5</v>
      </c>
      <c r="K94" s="12">
        <v>1.186915887850467</v>
      </c>
      <c r="L94" s="11">
        <v>222.5</v>
      </c>
      <c r="M94" s="12">
        <v>1.909090909090909</v>
      </c>
      <c r="N94" s="12">
        <v>1.909090909090909</v>
      </c>
      <c r="O94" s="10">
        <v>10.5</v>
      </c>
      <c r="P94" s="12">
        <v>1.952380952380952</v>
      </c>
      <c r="Q94" s="12">
        <v>1.869565217391304</v>
      </c>
      <c r="R94" s="12">
        <v>4.9</v>
      </c>
      <c r="S94" s="12">
        <v>1.192307692307692</v>
      </c>
      <c r="T94" s="8" t="s">
        <v>262</v>
      </c>
      <c r="U94" s="8" t="s">
        <v>263</v>
      </c>
      <c r="V94" s="11">
        <v>221.5</v>
      </c>
      <c r="W94" s="12">
        <v>1.925925925925926</v>
      </c>
      <c r="X94" s="12">
        <v>1.892857142857143</v>
      </c>
      <c r="Y94" s="13">
        <f>(1/R94)/((1/R94)+(1/S94))</f>
        <v>0.1957070707070707</v>
      </c>
      <c r="Z94" s="13">
        <f>(1/J94)/((1/J94)+(1/K94))</f>
        <v>0.19184290030211482</v>
      </c>
      <c r="AA94" s="14">
        <f>1/R94+1/S94-1</f>
        <v>0.04279131007241599</v>
      </c>
      <c r="AB94" s="15">
        <f>O94-I94</f>
        <v>0.0</v>
      </c>
      <c r="AC94" s="15">
        <f>IF(G94="","",G94-O94)</f>
        <v>0.0</v>
      </c>
      <c r="AD94" s="15">
        <f>H94-V94</f>
        <v>0.0</v>
      </c>
      <c r="AE94" s="16">
        <f>IF(F94&gt;E94,1,0)</f>
        <v>0</v>
      </c>
      <c r="AF94" s="16">
        <f>F94+E94</f>
        <v>209</v>
      </c>
      <c r="AG94" s="16">
        <f>IF(Y94=0.5,"",IF((Y94&gt;0.5)=(AE94=1),1,0))</f>
        <v>1</v>
      </c>
      <c r="AH94" s="16">
        <f>IF(Z94=0.5,"",IF((Z94&gt;0.5)=(AE94=1),1,0))</f>
        <v>1</v>
      </c>
      <c r="AI94" s="17" t="str">
        <f>IF(AF94&gt;V94,"Üst",IF(AF94&lt;V94,"Alt","Push"))</f>
        <v>Alt</v>
      </c>
    </row>
    <row r="95" spans="1:35">
      <c r="A95" s="7">
        <v>46097</v>
      </c>
      <c r="B95" s="8" t="s">
        <v>264</v>
      </c>
      <c r="C95" s="8" t="s">
        <v>87</v>
      </c>
      <c r="D95" s="8" t="s">
        <v>101</v>
      </c>
      <c r="E95" s="9">
        <v>112</v>
      </c>
      <c r="F95" s="9">
        <v>120</v>
      </c>
      <c r="G95" s="10">
        <v>-9.5</v>
      </c>
      <c r="H95" s="11">
        <v>216.5</v>
      </c>
      <c r="I95" s="10">
        <v>-9.5</v>
      </c>
      <c r="J95" s="12">
        <v>1.253164556962025</v>
      </c>
      <c r="K95" s="12">
        <v>4.1</v>
      </c>
      <c r="L95" s="11">
        <v>214.5</v>
      </c>
      <c r="M95" s="12">
        <v>1.909090909090909</v>
      </c>
      <c r="N95" s="12">
        <v>1.909090909090909</v>
      </c>
      <c r="O95" s="10">
        <v>-8.5</v>
      </c>
      <c r="P95" s="12">
        <v>1.869565217391304</v>
      </c>
      <c r="Q95" s="12">
        <v>1.952380952380952</v>
      </c>
      <c r="R95" s="12">
        <v>1.266666666666667</v>
      </c>
      <c r="S95" s="12">
        <v>3.95</v>
      </c>
      <c r="T95" s="8" t="s">
        <v>265</v>
      </c>
      <c r="U95" s="8" t="s">
        <v>266</v>
      </c>
      <c r="V95" s="11">
        <v>216.5</v>
      </c>
      <c r="W95" s="12">
        <v>1.909090909090909</v>
      </c>
      <c r="X95" s="12">
        <v>1.909090909090909</v>
      </c>
      <c r="Y95" s="13">
        <f>(1/R95)/((1/R95)+(1/S95))</f>
        <v>0.7571884984025559</v>
      </c>
      <c r="Z95" s="13">
        <f>(1/J95)/((1/J95)+(1/K95))</f>
        <v>0.7659021045164341</v>
      </c>
      <c r="AA95" s="14">
        <f>1/R95+1/S95-1</f>
        <v>0.04263824117255166</v>
      </c>
      <c r="AB95" s="15">
        <f>O95-I95</f>
        <v>1.0</v>
      </c>
      <c r="AC95" s="15">
        <f>IF(G95="","",G95-O95)</f>
        <v>-1.0</v>
      </c>
      <c r="AD95" s="15">
        <f>H95-V95</f>
        <v>0.0</v>
      </c>
      <c r="AE95" s="16">
        <f>IF(F95&gt;E95,1,0)</f>
        <v>1</v>
      </c>
      <c r="AF95" s="16">
        <f>F95+E95</f>
        <v>232</v>
      </c>
      <c r="AG95" s="16">
        <f>IF(Y95=0.5,"",IF((Y95&gt;0.5)=(AE95=1),1,0))</f>
        <v>1</v>
      </c>
      <c r="AH95" s="16">
        <f>IF(Z95=0.5,"",IF((Z95&gt;0.5)=(AE95=1),1,0))</f>
        <v>1</v>
      </c>
      <c r="AI95" s="17" t="str">
        <f>IF(AF95&gt;V95,"Üst",IF(AF95&lt;V95,"Alt","Push"))</f>
        <v>Üst</v>
      </c>
    </row>
    <row r="96" spans="1:35">
      <c r="A96" s="7">
        <v>46097</v>
      </c>
      <c r="B96" s="8" t="s">
        <v>267</v>
      </c>
      <c r="C96" s="8" t="s">
        <v>47</v>
      </c>
      <c r="D96" s="8" t="s">
        <v>86</v>
      </c>
      <c r="E96" s="9">
        <v>107</v>
      </c>
      <c r="F96" s="9">
        <v>132</v>
      </c>
      <c r="G96" s="10">
        <v>-7.5</v>
      </c>
      <c r="H96" s="11">
        <v>243.5</v>
      </c>
      <c r="I96" s="10">
        <v>-4.5</v>
      </c>
      <c r="J96" s="12">
        <v>1.520833333333333</v>
      </c>
      <c r="K96" s="12">
        <v>2.6</v>
      </c>
      <c r="L96" s="11">
        <v>239.5</v>
      </c>
      <c r="M96" s="12">
        <v>1.909090909090909</v>
      </c>
      <c r="N96" s="12">
        <v>1.909090909090909</v>
      </c>
      <c r="O96" s="10">
        <v>-7.5</v>
      </c>
      <c r="P96" s="12">
        <v>1.952380952380952</v>
      </c>
      <c r="Q96" s="12">
        <v>1.869565217391304</v>
      </c>
      <c r="R96" s="12">
        <v>1.359712230215827</v>
      </c>
      <c r="S96" s="12">
        <v>3.25</v>
      </c>
      <c r="T96" s="8" t="s">
        <v>115</v>
      </c>
      <c r="U96" s="8" t="s">
        <v>116</v>
      </c>
      <c r="V96" s="11">
        <v>243.5</v>
      </c>
      <c r="W96" s="12">
        <v>1.892857142857143</v>
      </c>
      <c r="X96" s="12">
        <v>1.925925925925926</v>
      </c>
      <c r="Y96" s="13">
        <f>(1/R96)/((1/R96)+(1/S96))</f>
        <v>0.705033164260632</v>
      </c>
      <c r="Z96" s="13">
        <f>(1/J96)/((1/J96)+(1/K96))</f>
        <v>0.6309403437815976</v>
      </c>
      <c r="AA96" s="14">
        <f>1/R96+1/S96-1</f>
        <v>0.043142043142043285</v>
      </c>
      <c r="AB96" s="15">
        <f>O96-I96</f>
        <v>-3.0</v>
      </c>
      <c r="AC96" s="15">
        <f>IF(G96="","",G96-O96)</f>
        <v>0.0</v>
      </c>
      <c r="AD96" s="15">
        <f>H96-V96</f>
        <v>0.0</v>
      </c>
      <c r="AE96" s="16">
        <f>IF(F96&gt;E96,1,0)</f>
        <v>1</v>
      </c>
      <c r="AF96" s="16">
        <f>F96+E96</f>
        <v>239</v>
      </c>
      <c r="AG96" s="16">
        <f>IF(Y96=0.5,"",IF((Y96&gt;0.5)=(AE96=1),1,0))</f>
        <v>1</v>
      </c>
      <c r="AH96" s="16">
        <f>IF(Z96=0.5,"",IF((Z96&gt;0.5)=(AE96=1),1,0))</f>
        <v>1</v>
      </c>
      <c r="AI96" s="17" t="str">
        <f>IF(AF96&gt;V96,"Üst",IF(AF96&lt;V96,"Alt","Push"))</f>
        <v>Alt</v>
      </c>
    </row>
    <row r="97" spans="1:35">
      <c r="A97" s="7">
        <v>46097</v>
      </c>
      <c r="B97" s="8" t="s">
        <v>268</v>
      </c>
      <c r="C97" s="8" t="s">
        <v>61</v>
      </c>
      <c r="D97" s="8" t="s">
        <v>96</v>
      </c>
      <c r="E97" s="9">
        <v>111</v>
      </c>
      <c r="F97" s="9">
        <v>129</v>
      </c>
      <c r="G97" s="10">
        <v>-8.5</v>
      </c>
      <c r="H97" s="11">
        <v>240.5</v>
      </c>
      <c r="I97" s="10">
        <v>-7.5</v>
      </c>
      <c r="J97" s="12">
        <v>1.335570469798658</v>
      </c>
      <c r="K97" s="12">
        <v>3.4</v>
      </c>
      <c r="L97" s="11">
        <v>235.5</v>
      </c>
      <c r="M97" s="12">
        <v>1.909090909090909</v>
      </c>
      <c r="N97" s="12">
        <v>1.909090909090909</v>
      </c>
      <c r="O97" s="10">
        <v>-8.5</v>
      </c>
      <c r="P97" s="12">
        <v>1.869565217391304</v>
      </c>
      <c r="Q97" s="12">
        <v>1.952380952380952</v>
      </c>
      <c r="R97" s="12">
        <v>1.294117647058824</v>
      </c>
      <c r="S97" s="12">
        <v>3.7</v>
      </c>
      <c r="T97" s="8" t="s">
        <v>254</v>
      </c>
      <c r="U97" s="8" t="s">
        <v>253</v>
      </c>
      <c r="V97" s="11">
        <v>240.5</v>
      </c>
      <c r="W97" s="12">
        <v>1.909090909090909</v>
      </c>
      <c r="X97" s="12">
        <v>1.909090909090909</v>
      </c>
      <c r="Y97" s="13">
        <f>(1/R97)/((1/R97)+(1/S97))</f>
        <v>0.7408716136631331</v>
      </c>
      <c r="Z97" s="13">
        <f>(1/J97)/((1/J97)+(1/K97))</f>
        <v>0.7179705215419501</v>
      </c>
      <c r="AA97" s="14">
        <f>1/R97+1/S97-1</f>
        <v>0.04299754299754288</v>
      </c>
      <c r="AB97" s="15">
        <f>O97-I97</f>
        <v>-1.0</v>
      </c>
      <c r="AC97" s="15">
        <f>IF(G97="","",G97-O97)</f>
        <v>0.0</v>
      </c>
      <c r="AD97" s="15">
        <f>H97-V97</f>
        <v>0.0</v>
      </c>
      <c r="AE97" s="16">
        <f>IF(F97&gt;E97,1,0)</f>
        <v>1</v>
      </c>
      <c r="AF97" s="16">
        <f>F97+E97</f>
        <v>240</v>
      </c>
      <c r="AG97" s="16">
        <f>IF(Y97=0.5,"",IF((Y97&gt;0.5)=(AE97=1),1,0))</f>
        <v>1</v>
      </c>
      <c r="AH97" s="16">
        <f>IF(Z97=0.5,"",IF((Z97&gt;0.5)=(AE97=1),1,0))</f>
        <v>1</v>
      </c>
      <c r="AI97" s="17" t="str">
        <f>IF(AF97&gt;V97,"Üst",IF(AF97&lt;V97,"Alt","Push"))</f>
        <v>Alt</v>
      </c>
    </row>
    <row r="98" spans="1:35">
      <c r="A98" s="7">
        <v>46097</v>
      </c>
      <c r="B98" s="8" t="s">
        <v>269</v>
      </c>
      <c r="C98" s="8" t="s">
        <v>91</v>
      </c>
      <c r="D98" s="8" t="s">
        <v>74</v>
      </c>
      <c r="E98" s="9">
        <v>100</v>
      </c>
      <c r="F98" s="9">
        <v>92</v>
      </c>
      <c r="G98" s="10">
        <v>-1.5</v>
      </c>
      <c r="H98" s="11">
        <v>223.5</v>
      </c>
      <c r="I98" s="10">
        <v>-1.5</v>
      </c>
      <c r="J98" s="12">
        <v>1.869565217391304</v>
      </c>
      <c r="K98" s="12">
        <v>1.952380952380952</v>
      </c>
      <c r="L98" s="11">
        <v>223.5</v>
      </c>
      <c r="M98" s="12">
        <v>1.909090909090909</v>
      </c>
      <c r="N98" s="12">
        <v>1.909090909090909</v>
      </c>
      <c r="O98" s="10">
        <v>1.5</v>
      </c>
      <c r="P98" s="12">
        <v>1.847457627118644</v>
      </c>
      <c r="Q98" s="12">
        <v>1.980392156862745</v>
      </c>
      <c r="R98" s="12">
        <v>1.980392156862745</v>
      </c>
      <c r="S98" s="12">
        <v>1.847457627118644</v>
      </c>
      <c r="T98" s="8" t="s">
        <v>270</v>
      </c>
      <c r="U98" s="8" t="s">
        <v>271</v>
      </c>
      <c r="V98" s="11">
        <v>223.5</v>
      </c>
      <c r="W98" s="12">
        <v>1.925925925925926</v>
      </c>
      <c r="X98" s="12">
        <v>1.892857142857143</v>
      </c>
      <c r="Y98" s="13">
        <f>(1/R98)/((1/R98)+(1/S98))</f>
        <v>0.4826358742837298</v>
      </c>
      <c r="Z98" s="13">
        <f>(1/J98)/((1/J98)+(1/K98))</f>
        <v>0.5108342361863489</v>
      </c>
      <c r="AA98" s="14">
        <f>1/R98+1/S98-1</f>
        <v>0.04623489871922981</v>
      </c>
      <c r="AB98" s="15">
        <f>O98-I98</f>
        <v>3.0</v>
      </c>
      <c r="AC98" s="15">
        <f>IF(G98="","",G98-O98)</f>
        <v>-3.0</v>
      </c>
      <c r="AD98" s="15">
        <f>H98-V98</f>
        <v>0.0</v>
      </c>
      <c r="AE98" s="16">
        <f>IF(F98&gt;E98,1,0)</f>
        <v>0</v>
      </c>
      <c r="AF98" s="16">
        <f>F98+E98</f>
        <v>192</v>
      </c>
      <c r="AG98" s="16">
        <f>IF(Y98=0.5,"",IF((Y98&gt;0.5)=(AE98=1),1,0))</f>
        <v>1</v>
      </c>
      <c r="AH98" s="16">
        <f>IF(Z98=0.5,"",IF((Z98&gt;0.5)=(AE98=1),1,0))</f>
        <v>0</v>
      </c>
      <c r="AI98" s="17" t="str">
        <f>IF(AF98&gt;V98,"Üst",IF(AF98&lt;V98,"Alt","Push"))</f>
        <v>Alt</v>
      </c>
    </row>
    <row r="99" spans="1:35">
      <c r="A99" s="7">
        <v>46097</v>
      </c>
      <c r="B99" s="8" t="s">
        <v>272</v>
      </c>
      <c r="C99" s="8" t="s">
        <v>82</v>
      </c>
      <c r="D99" s="8" t="s">
        <v>57</v>
      </c>
      <c r="E99" s="9">
        <v>119</v>
      </c>
      <c r="F99" s="9">
        <v>115</v>
      </c>
      <c r="G99" s="10">
        <v>7.5</v>
      </c>
      <c r="H99" s="11">
        <v>234.5</v>
      </c>
      <c r="I99" s="10">
        <v>6.5</v>
      </c>
      <c r="J99" s="12">
        <v>3.1</v>
      </c>
      <c r="K99" s="12">
        <v>1.387596899224806</v>
      </c>
      <c r="L99" s="11">
        <v>223.5</v>
      </c>
      <c r="M99" s="12">
        <v>1.909090909090909</v>
      </c>
      <c r="N99" s="12">
        <v>1.909090909090909</v>
      </c>
      <c r="O99" s="10">
        <v>8.5</v>
      </c>
      <c r="P99" s="12">
        <v>1.833333333333333</v>
      </c>
      <c r="Q99" s="12">
        <v>2</v>
      </c>
      <c r="R99" s="12">
        <v>3.7</v>
      </c>
      <c r="S99" s="12">
        <v>1.294117647058824</v>
      </c>
      <c r="T99" s="8" t="s">
        <v>253</v>
      </c>
      <c r="U99" s="8" t="s">
        <v>254</v>
      </c>
      <c r="V99" s="11">
        <v>234.5</v>
      </c>
      <c r="W99" s="12">
        <v>1.909090909090909</v>
      </c>
      <c r="X99" s="12">
        <v>1.909090909090909</v>
      </c>
      <c r="Y99" s="13">
        <f>(1/R99)/((1/R99)+(1/S99))</f>
        <v>0.2591283863368669</v>
      </c>
      <c r="Z99" s="13">
        <f>(1/J99)/((1/J99)+(1/K99))</f>
        <v>0.30920711694593195</v>
      </c>
      <c r="AA99" s="14">
        <f>1/R99+1/S99-1</f>
        <v>0.04299754299754288</v>
      </c>
      <c r="AB99" s="15">
        <f>O99-I99</f>
        <v>2.0</v>
      </c>
      <c r="AC99" s="15">
        <f>IF(G99="","",G99-O99)</f>
        <v>-1.0</v>
      </c>
      <c r="AD99" s="15">
        <f>H99-V99</f>
        <v>0.0</v>
      </c>
      <c r="AE99" s="16">
        <f>IF(F99&gt;E99,1,0)</f>
        <v>0</v>
      </c>
      <c r="AF99" s="16">
        <f>F99+E99</f>
        <v>234</v>
      </c>
      <c r="AG99" s="16">
        <f>IF(Y99=0.5,"",IF((Y99&gt;0.5)=(AE99=1),1,0))</f>
        <v>1</v>
      </c>
      <c r="AH99" s="16">
        <f>IF(Z99=0.5,"",IF((Z99&gt;0.5)=(AE99=1),1,0))</f>
        <v>1</v>
      </c>
      <c r="AI99" s="17" t="str">
        <f>IF(AF99&gt;V99,"Üst",IF(AF99&lt;V99,"Alt","Push"))</f>
        <v>Alt</v>
      </c>
    </row>
    <row r="100" spans="1:35">
      <c r="A100" s="7">
        <v>46098</v>
      </c>
      <c r="B100" s="8" t="s">
        <v>273</v>
      </c>
      <c r="C100" s="8" t="s">
        <v>69</v>
      </c>
      <c r="D100" s="8" t="s">
        <v>105</v>
      </c>
      <c r="E100" s="9">
        <v>106</v>
      </c>
      <c r="F100" s="9">
        <v>136</v>
      </c>
      <c r="G100" s="10">
        <v>-5.5</v>
      </c>
      <c r="H100" s="11">
        <v>236.5</v>
      </c>
      <c r="I100" s="10">
        <v>-3.5</v>
      </c>
      <c r="J100" s="12">
        <v>1.617283950617284</v>
      </c>
      <c r="K100" s="12">
        <v>2.36</v>
      </c>
      <c r="L100" s="11">
        <v>233.5</v>
      </c>
      <c r="M100" s="12">
        <v>1.909090909090909</v>
      </c>
      <c r="N100" s="12">
        <v>1.909090909090909</v>
      </c>
      <c r="O100" s="10">
        <v>-5.5</v>
      </c>
      <c r="P100" s="12">
        <v>1.952380952380952</v>
      </c>
      <c r="Q100" s="12">
        <v>1.869565217391304</v>
      </c>
      <c r="R100" s="12">
        <v>1.48780487804878</v>
      </c>
      <c r="S100" s="12">
        <v>2.7</v>
      </c>
      <c r="T100" s="8" t="s">
        <v>153</v>
      </c>
      <c r="U100" s="8" t="s">
        <v>152</v>
      </c>
      <c r="V100" s="11">
        <v>236.5</v>
      </c>
      <c r="W100" s="12">
        <v>1.869565217391304</v>
      </c>
      <c r="X100" s="12">
        <v>1.952380952380952</v>
      </c>
      <c r="Y100" s="13">
        <f>(1/R100)/((1/R100)+(1/S100))</f>
        <v>0.644729178800233</v>
      </c>
      <c r="Z100" s="13">
        <f>(1/J100)/((1/J100)+(1/K100))</f>
        <v>0.593369754159424</v>
      </c>
      <c r="AA100" s="14">
        <f>1/R100+1/S100-1</f>
        <v>0.042501517911353925</v>
      </c>
      <c r="AB100" s="15">
        <f>O100-I100</f>
        <v>-2.0</v>
      </c>
      <c r="AC100" s="15">
        <f>IF(G100="","",G100-O100)</f>
        <v>0.0</v>
      </c>
      <c r="AD100" s="15">
        <f>H100-V100</f>
        <v>0.0</v>
      </c>
      <c r="AE100" s="16">
        <f>IF(F100&gt;E100,1,0)</f>
        <v>1</v>
      </c>
      <c r="AF100" s="16">
        <f>F100+E100</f>
        <v>242</v>
      </c>
      <c r="AG100" s="16">
        <f>IF(Y100=0.5,"",IF((Y100&gt;0.5)=(AE100=1),1,0))</f>
        <v>1</v>
      </c>
      <c r="AH100" s="16">
        <f>IF(Z100=0.5,"",IF((Z100&gt;0.5)=(AE100=1),1,0))</f>
        <v>1</v>
      </c>
      <c r="AI100" s="17" t="str">
        <f>IF(AF100&gt;V100,"Üst",IF(AF100&lt;V100,"Alt","Push"))</f>
        <v>Üst</v>
      </c>
    </row>
    <row r="101" spans="1:35">
      <c r="A101" s="7">
        <v>46098</v>
      </c>
      <c r="B101" s="8" t="s">
        <v>274</v>
      </c>
      <c r="C101" s="8" t="s">
        <v>130</v>
      </c>
      <c r="D101" s="8" t="s">
        <v>62</v>
      </c>
      <c r="E101" s="9">
        <v>113</v>
      </c>
      <c r="F101" s="9">
        <v>108</v>
      </c>
      <c r="G101" s="10">
        <v>9.5</v>
      </c>
      <c r="H101" s="11">
        <v>224.5</v>
      </c>
      <c r="I101" s="10">
        <v>9.5</v>
      </c>
      <c r="J101" s="12">
        <v>4.2</v>
      </c>
      <c r="K101" s="12">
        <v>1.24390243902439</v>
      </c>
      <c r="L101" s="11">
        <v>222.5</v>
      </c>
      <c r="M101" s="12">
        <v>1.909090909090909</v>
      </c>
      <c r="N101" s="12">
        <v>1.909090909090909</v>
      </c>
      <c r="O101" s="10">
        <v>9.5</v>
      </c>
      <c r="P101" s="12">
        <v>1.980392156862745</v>
      </c>
      <c r="Q101" s="12">
        <v>1.847457627118644</v>
      </c>
      <c r="R101" s="12">
        <v>4.5</v>
      </c>
      <c r="S101" s="12">
        <v>1.21978021978022</v>
      </c>
      <c r="T101" s="8" t="s">
        <v>275</v>
      </c>
      <c r="U101" s="8" t="s">
        <v>276</v>
      </c>
      <c r="V101" s="11">
        <v>224.5</v>
      </c>
      <c r="W101" s="12">
        <v>1.909090909090909</v>
      </c>
      <c r="X101" s="12">
        <v>1.909090909090909</v>
      </c>
      <c r="Y101" s="13">
        <f>(1/R101)/((1/R101)+(1/S101))</f>
        <v>0.2132564841498559</v>
      </c>
      <c r="Z101" s="13">
        <f>(1/J101)/((1/J101)+(1/K101))</f>
        <v>0.22849462365591394</v>
      </c>
      <c r="AA101" s="14">
        <f>1/R101+1/S101-1</f>
        <v>0.04204204204204198</v>
      </c>
      <c r="AB101" s="15">
        <f>O101-I101</f>
        <v>0.0</v>
      </c>
      <c r="AC101" s="15">
        <f>IF(G101="","",G101-O101)</f>
        <v>0.0</v>
      </c>
      <c r="AD101" s="15">
        <f>H101-V101</f>
        <v>0.0</v>
      </c>
      <c r="AE101" s="16">
        <f>IF(F101&gt;E101,1,0)</f>
        <v>0</v>
      </c>
      <c r="AF101" s="16">
        <f>F101+E101</f>
        <v>221</v>
      </c>
      <c r="AG101" s="16">
        <f>IF(Y101=0.5,"",IF((Y101&gt;0.5)=(AE101=1),1,0))</f>
        <v>1</v>
      </c>
      <c r="AH101" s="16">
        <f>IF(Z101=0.5,"",IF((Z101&gt;0.5)=(AE101=1),1,0))</f>
        <v>1</v>
      </c>
      <c r="AI101" s="17" t="str">
        <f>IF(AF101&gt;V101,"Üst",IF(AF101&lt;V101,"Alt","Push"))</f>
        <v>Alt</v>
      </c>
    </row>
    <row r="102" spans="1:35">
      <c r="A102" s="7">
        <v>46098</v>
      </c>
      <c r="B102" s="8" t="s">
        <v>277</v>
      </c>
      <c r="C102" s="8" t="s">
        <v>81</v>
      </c>
      <c r="D102" s="8" t="s">
        <v>64</v>
      </c>
      <c r="E102" s="9">
        <v>130</v>
      </c>
      <c r="F102" s="9">
        <v>117</v>
      </c>
      <c r="G102" s="10">
        <v>19.5</v>
      </c>
      <c r="H102" s="11">
        <v>233.5</v>
      </c>
      <c r="I102" s="10">
        <v>17.5</v>
      </c>
      <c r="J102" s="12">
        <v>10.5</v>
      </c>
      <c r="K102" s="12">
        <v>1.060606060606061</v>
      </c>
      <c r="L102" s="11">
        <v>233.5</v>
      </c>
      <c r="M102" s="12">
        <v>1.909090909090909</v>
      </c>
      <c r="N102" s="12">
        <v>1.909090909090909</v>
      </c>
      <c r="O102" s="10">
        <v>19.5</v>
      </c>
      <c r="P102" s="12">
        <v>1.892857142857143</v>
      </c>
      <c r="Q102" s="12">
        <v>1.925925925925926</v>
      </c>
      <c r="R102" s="12">
        <v>12</v>
      </c>
      <c r="S102" s="12">
        <v>1.047619047619048</v>
      </c>
      <c r="T102" s="8" t="s">
        <v>278</v>
      </c>
      <c r="U102" s="8" t="s">
        <v>279</v>
      </c>
      <c r="V102" s="11">
        <v>233.5</v>
      </c>
      <c r="W102" s="12">
        <v>1.952380952380952</v>
      </c>
      <c r="X102" s="12">
        <v>1.869565217391304</v>
      </c>
      <c r="Y102" s="13">
        <f>(1/R102)/((1/R102)+(1/S102))</f>
        <v>0.08029197080291971</v>
      </c>
      <c r="Z102" s="13">
        <f>(1/J102)/((1/J102)+(1/K102))</f>
        <v>0.09174311926605504</v>
      </c>
      <c r="AA102" s="14">
        <f>1/R102+1/S102-1</f>
        <v>0.037878787878787845</v>
      </c>
      <c r="AB102" s="15">
        <f>O102-I102</f>
        <v>2.0</v>
      </c>
      <c r="AC102" s="15">
        <f>IF(G102="","",G102-O102)</f>
        <v>0.0</v>
      </c>
      <c r="AD102" s="15">
        <f>H102-V102</f>
        <v>0.0</v>
      </c>
      <c r="AE102" s="16">
        <f>IF(F102&gt;E102,1,0)</f>
        <v>0</v>
      </c>
      <c r="AF102" s="16">
        <f>F102+E102</f>
        <v>247</v>
      </c>
      <c r="AG102" s="16">
        <f>IF(Y102=0.5,"",IF((Y102&gt;0.5)=(AE102=1),1,0))</f>
        <v>1</v>
      </c>
      <c r="AH102" s="16">
        <f>IF(Z102=0.5,"",IF((Z102&gt;0.5)=(AE102=1),1,0))</f>
        <v>1</v>
      </c>
      <c r="AI102" s="17" t="str">
        <f>IF(AF102&gt;V102,"Üst",IF(AF102&lt;V102,"Alt","Push"))</f>
        <v>Üst</v>
      </c>
    </row>
    <row r="103" spans="1:35">
      <c r="A103" s="7">
        <v>46098</v>
      </c>
      <c r="B103" s="8" t="s">
        <v>280</v>
      </c>
      <c r="C103" s="8" t="s">
        <v>56</v>
      </c>
      <c r="D103" s="8" t="s">
        <v>110</v>
      </c>
      <c r="E103" s="9">
        <v>110</v>
      </c>
      <c r="F103" s="9">
        <v>136</v>
      </c>
      <c r="G103" s="10">
        <v>-13.5</v>
      </c>
      <c r="H103" s="11">
        <v>223.5</v>
      </c>
      <c r="I103" s="10">
        <v>-15.5</v>
      </c>
      <c r="J103" s="12">
        <v>1.111111111111111</v>
      </c>
      <c r="K103" s="12">
        <v>7</v>
      </c>
      <c r="L103" s="11">
        <v>224.5</v>
      </c>
      <c r="M103" s="12">
        <v>1.909090909090909</v>
      </c>
      <c r="N103" s="12">
        <v>1.909090909090909</v>
      </c>
      <c r="O103" s="10">
        <v>-13.5</v>
      </c>
      <c r="P103" s="12">
        <v>1.892857142857143</v>
      </c>
      <c r="Q103" s="12">
        <v>1.925925925925926</v>
      </c>
      <c r="R103" s="12">
        <v>1.125</v>
      </c>
      <c r="S103" s="12">
        <v>6.5</v>
      </c>
      <c r="T103" s="8" t="s">
        <v>70</v>
      </c>
      <c r="U103" s="8" t="s">
        <v>71</v>
      </c>
      <c r="V103" s="11">
        <v>222.5</v>
      </c>
      <c r="W103" s="12">
        <v>1.892857142857143</v>
      </c>
      <c r="X103" s="12">
        <v>1.925925925925926</v>
      </c>
      <c r="Y103" s="13">
        <f>(1/R103)/((1/R103)+(1/S103))</f>
        <v>0.8524590163934427</v>
      </c>
      <c r="Z103" s="13">
        <f>(1/J103)/((1/J103)+(1/K103))</f>
        <v>0.863013698630137</v>
      </c>
      <c r="AA103" s="14">
        <f>1/R103+1/S103-1</f>
        <v>0.04273504273504258</v>
      </c>
      <c r="AB103" s="15">
        <f>O103-I103</f>
        <v>2.0</v>
      </c>
      <c r="AC103" s="15">
        <f>IF(G103="","",G103-O103)</f>
        <v>0.0</v>
      </c>
      <c r="AD103" s="15">
        <f>H103-V103</f>
        <v>1.0</v>
      </c>
      <c r="AE103" s="16">
        <f>IF(F103&gt;E103,1,0)</f>
        <v>1</v>
      </c>
      <c r="AF103" s="16">
        <f>F103+E103</f>
        <v>246</v>
      </c>
      <c r="AG103" s="16">
        <f>IF(Y103=0.5,"",IF((Y103&gt;0.5)=(AE103=1),1,0))</f>
        <v>1</v>
      </c>
      <c r="AH103" s="16">
        <f>IF(Z103=0.5,"",IF((Z103&gt;0.5)=(AE103=1),1,0))</f>
        <v>1</v>
      </c>
      <c r="AI103" s="17" t="str">
        <f>IF(AF103&gt;V103,"Üst",IF(AF103&lt;V103,"Alt","Push"))</f>
        <v>Üst</v>
      </c>
    </row>
    <row r="104" spans="1:35">
      <c r="A104" s="7">
        <v>46098</v>
      </c>
      <c r="B104" s="8" t="s">
        <v>281</v>
      </c>
      <c r="C104" s="8" t="s">
        <v>134</v>
      </c>
      <c r="D104" s="8" t="s">
        <v>52</v>
      </c>
      <c r="E104" s="9">
        <v>123</v>
      </c>
      <c r="F104" s="9">
        <v>116</v>
      </c>
      <c r="G104" s="10">
        <v>12.5</v>
      </c>
      <c r="H104" s="11">
        <v>227.5</v>
      </c>
      <c r="I104" s="10">
        <v>9.5</v>
      </c>
      <c r="J104" s="12">
        <v>4.1</v>
      </c>
      <c r="K104" s="12">
        <v>1.253164556962025</v>
      </c>
      <c r="L104" s="11">
        <v>227.5</v>
      </c>
      <c r="M104" s="12">
        <v>1.909090909090909</v>
      </c>
      <c r="N104" s="12">
        <v>1.909090909090909</v>
      </c>
      <c r="O104" s="10">
        <v>12.5</v>
      </c>
      <c r="P104" s="12">
        <v>1.909090909090909</v>
      </c>
      <c r="Q104" s="12">
        <v>1.909090909090909</v>
      </c>
      <c r="R104" s="12">
        <v>5.55</v>
      </c>
      <c r="S104" s="12">
        <v>1.16</v>
      </c>
      <c r="T104" s="8" t="s">
        <v>132</v>
      </c>
      <c r="U104" s="8" t="s">
        <v>131</v>
      </c>
      <c r="V104" s="11">
        <v>226.5</v>
      </c>
      <c r="W104" s="12">
        <v>1.909090909090909</v>
      </c>
      <c r="X104" s="12">
        <v>1.909090909090909</v>
      </c>
      <c r="Y104" s="13">
        <f>(1/R104)/((1/R104)+(1/S104))</f>
        <v>0.17287630402384502</v>
      </c>
      <c r="Z104" s="13">
        <f>(1/J104)/((1/J104)+(1/K104))</f>
        <v>0.23409789548356588</v>
      </c>
      <c r="AA104" s="14">
        <f>1/R104+1/S104-1</f>
        <v>0.042249145697421664</v>
      </c>
      <c r="AB104" s="15">
        <f>O104-I104</f>
        <v>3.0</v>
      </c>
      <c r="AC104" s="15">
        <f>IF(G104="","",G104-O104)</f>
        <v>0.0</v>
      </c>
      <c r="AD104" s="15">
        <f>H104-V104</f>
        <v>1.0</v>
      </c>
      <c r="AE104" s="16">
        <f>IF(F104&gt;E104,1,0)</f>
        <v>0</v>
      </c>
      <c r="AF104" s="16">
        <f>F104+E104</f>
        <v>239</v>
      </c>
      <c r="AG104" s="16">
        <f>IF(Y104=0.5,"",IF((Y104&gt;0.5)=(AE104=1),1,0))</f>
        <v>1</v>
      </c>
      <c r="AH104" s="16">
        <f>IF(Z104=0.5,"",IF((Z104&gt;0.5)=(AE104=1),1,0))</f>
        <v>1</v>
      </c>
      <c r="AI104" s="17" t="str">
        <f>IF(AF104&gt;V104,"Üst",IF(AF104&lt;V104,"Alt","Push"))</f>
        <v>Üst</v>
      </c>
    </row>
    <row r="105" spans="1:35">
      <c r="A105" s="7">
        <v>46098</v>
      </c>
      <c r="B105" s="8" t="s">
        <v>282</v>
      </c>
      <c r="C105" s="8" t="s">
        <v>87</v>
      </c>
      <c r="D105" s="8" t="s">
        <v>77</v>
      </c>
      <c r="E105" s="9">
        <v>104</v>
      </c>
      <c r="F105" s="9">
        <v>116</v>
      </c>
      <c r="G105" s="10">
        <v>-3.5</v>
      </c>
      <c r="H105" s="11">
        <v>221.5</v>
      </c>
      <c r="I105" s="10">
        <v>-4.5</v>
      </c>
      <c r="J105" s="12">
        <v>1.505050505050505</v>
      </c>
      <c r="K105" s="12">
        <v>2.64</v>
      </c>
      <c r="L105" s="11">
        <v>221.5</v>
      </c>
      <c r="M105" s="12">
        <v>1.909090909090909</v>
      </c>
      <c r="N105" s="12">
        <v>1.909090909090909</v>
      </c>
      <c r="O105" s="10">
        <v>-3.5</v>
      </c>
      <c r="P105" s="12">
        <v>1.909090909090909</v>
      </c>
      <c r="Q105" s="12">
        <v>1.909090909090909</v>
      </c>
      <c r="R105" s="12">
        <v>1.588235294117647</v>
      </c>
      <c r="S105" s="12">
        <v>2.42</v>
      </c>
      <c r="T105" s="8" t="s">
        <v>93</v>
      </c>
      <c r="U105" s="8" t="s">
        <v>94</v>
      </c>
      <c r="V105" s="11">
        <v>221.5</v>
      </c>
      <c r="W105" s="12">
        <v>1.925925925925926</v>
      </c>
      <c r="X105" s="12">
        <v>1.892857142857143</v>
      </c>
      <c r="Y105" s="13">
        <f>(1/R105)/((1/R105)+(1/S105))</f>
        <v>0.6037569709421778</v>
      </c>
      <c r="Z105" s="13">
        <f>(1/J105)/((1/J105)+(1/K105))</f>
        <v>0.6369041816941222</v>
      </c>
      <c r="AA105" s="14">
        <f>1/R105+1/S105-1</f>
        <v>0.042852770125497264</v>
      </c>
      <c r="AB105" s="15">
        <f>O105-I105</f>
        <v>1.0</v>
      </c>
      <c r="AC105" s="15">
        <f>IF(G105="","",G105-O105)</f>
        <v>0.0</v>
      </c>
      <c r="AD105" s="15">
        <f>H105-V105</f>
        <v>0.0</v>
      </c>
      <c r="AE105" s="16">
        <f>IF(F105&gt;E105,1,0)</f>
        <v>1</v>
      </c>
      <c r="AF105" s="16">
        <f>F105+E105</f>
        <v>220</v>
      </c>
      <c r="AG105" s="16">
        <f>IF(Y105=0.5,"",IF((Y105&gt;0.5)=(AE105=1),1,0))</f>
        <v>1</v>
      </c>
      <c r="AH105" s="16">
        <f>IF(Z105=0.5,"",IF((Z105&gt;0.5)=(AE105=1),1,0))</f>
        <v>1</v>
      </c>
      <c r="AI105" s="17" t="str">
        <f>IF(AF105&gt;V105,"Üst",IF(AF105&lt;V105,"Alt","Push"))</f>
        <v>Alt</v>
      </c>
    </row>
    <row r="106" spans="1:35">
      <c r="A106" s="7">
        <v>46098</v>
      </c>
      <c r="B106" s="8" t="s">
        <v>283</v>
      </c>
      <c r="C106" s="8" t="s">
        <v>42</v>
      </c>
      <c r="D106" s="8" t="s">
        <v>92</v>
      </c>
      <c r="E106" s="9">
        <v>96</v>
      </c>
      <c r="F106" s="9">
        <v>124</v>
      </c>
      <c r="G106" s="10">
        <v>-14.5</v>
      </c>
      <c r="H106" s="11">
        <v>236.5</v>
      </c>
      <c r="I106" s="10">
        <v>-15.5</v>
      </c>
      <c r="J106" s="12">
        <v>1.090909090909091</v>
      </c>
      <c r="K106" s="12">
        <v>8</v>
      </c>
      <c r="L106" s="11">
        <v>232.5</v>
      </c>
      <c r="M106" s="12">
        <v>1.909090909090909</v>
      </c>
      <c r="N106" s="12">
        <v>1.909090909090909</v>
      </c>
      <c r="O106" s="10">
        <v>-15.5</v>
      </c>
      <c r="P106" s="12">
        <v>1.952380952380952</v>
      </c>
      <c r="Q106" s="12">
        <v>1.869565217391304</v>
      </c>
      <c r="R106" s="12">
        <v>1.083333333333333</v>
      </c>
      <c r="S106" s="12">
        <v>8.5</v>
      </c>
      <c r="T106" s="8" t="s">
        <v>102</v>
      </c>
      <c r="U106" s="8" t="s">
        <v>103</v>
      </c>
      <c r="V106" s="11">
        <v>235.5</v>
      </c>
      <c r="W106" s="12">
        <v>1.869565217391304</v>
      </c>
      <c r="X106" s="12">
        <v>1.952380952380952</v>
      </c>
      <c r="Y106" s="13">
        <f>(1/R106)/((1/R106)+(1/S106))</f>
        <v>0.8869565217391304</v>
      </c>
      <c r="Z106" s="13">
        <f>(1/J106)/((1/J106)+(1/K106))</f>
        <v>0.88</v>
      </c>
      <c r="AA106" s="14">
        <f>1/R106+1/S106-1</f>
        <v>0.040723981900452566</v>
      </c>
      <c r="AB106" s="15">
        <f>O106-I106</f>
        <v>0.0</v>
      </c>
      <c r="AC106" s="15">
        <f>IF(G106="","",G106-O106)</f>
        <v>1.0</v>
      </c>
      <c r="AD106" s="15">
        <f>H106-V106</f>
        <v>1.0</v>
      </c>
      <c r="AE106" s="16">
        <f>IF(F106&gt;E106,1,0)</f>
        <v>1</v>
      </c>
      <c r="AF106" s="16">
        <f>F106+E106</f>
        <v>220</v>
      </c>
      <c r="AG106" s="16">
        <f>IF(Y106=0.5,"",IF((Y106&gt;0.5)=(AE106=1),1,0))</f>
        <v>1</v>
      </c>
      <c r="AH106" s="16">
        <f>IF(Z106=0.5,"",IF((Z106&gt;0.5)=(AE106=1),1,0))</f>
        <v>1</v>
      </c>
      <c r="AI106" s="17" t="str">
        <f>IF(AF106&gt;V106,"Üst",IF(AF106&lt;V106,"Alt","Push"))</f>
        <v>Alt</v>
      </c>
    </row>
    <row r="107" spans="1:35">
      <c r="A107" s="7">
        <v>46098</v>
      </c>
      <c r="B107" s="8" t="s">
        <v>284</v>
      </c>
      <c r="C107" s="8" t="s">
        <v>82</v>
      </c>
      <c r="D107" s="8" t="s">
        <v>97</v>
      </c>
      <c r="E107" s="9">
        <v>132</v>
      </c>
      <c r="F107" s="9">
        <v>104</v>
      </c>
      <c r="G107" s="10">
        <v>13.5</v>
      </c>
      <c r="H107" s="11">
        <v>233.5</v>
      </c>
      <c r="I107" s="10">
        <v>14.5</v>
      </c>
      <c r="J107" s="12">
        <v>7.75</v>
      </c>
      <c r="K107" s="12">
        <v>1.095238095238095</v>
      </c>
      <c r="L107" s="11">
        <v>232.5</v>
      </c>
      <c r="M107" s="12">
        <v>1.909090909090909</v>
      </c>
      <c r="N107" s="12">
        <v>1.909090909090909</v>
      </c>
      <c r="O107" s="10">
        <v>13.5</v>
      </c>
      <c r="P107" s="12">
        <v>1.869565217391304</v>
      </c>
      <c r="Q107" s="12">
        <v>1.952380952380952</v>
      </c>
      <c r="R107" s="12">
        <v>6.75</v>
      </c>
      <c r="S107" s="12">
        <v>1.117647058823529</v>
      </c>
      <c r="T107" s="8" t="s">
        <v>158</v>
      </c>
      <c r="U107" s="8" t="s">
        <v>157</v>
      </c>
      <c r="V107" s="11">
        <v>233.5</v>
      </c>
      <c r="W107" s="12">
        <v>1.925925925925926</v>
      </c>
      <c r="X107" s="12">
        <v>1.892857142857143</v>
      </c>
      <c r="Y107" s="13">
        <f>(1/R107)/((1/R107)+(1/S107))</f>
        <v>0.14205607476635515</v>
      </c>
      <c r="Z107" s="13">
        <f>(1/J107)/((1/J107)+(1/K107))</f>
        <v>0.12382234185733514</v>
      </c>
      <c r="AA107" s="14">
        <f>1/R107+1/S107-1</f>
        <v>0.04288499025341119</v>
      </c>
      <c r="AB107" s="15">
        <f>O107-I107</f>
        <v>-1.0</v>
      </c>
      <c r="AC107" s="15">
        <f>IF(G107="","",G107-O107)</f>
        <v>0.0</v>
      </c>
      <c r="AD107" s="15">
        <f>H107-V107</f>
        <v>0.0</v>
      </c>
      <c r="AE107" s="16">
        <f>IF(F107&gt;E107,1,0)</f>
        <v>0</v>
      </c>
      <c r="AF107" s="16">
        <f>F107+E107</f>
        <v>236</v>
      </c>
      <c r="AG107" s="16">
        <f>IF(Y107=0.5,"",IF((Y107&gt;0.5)=(AE107=1),1,0))</f>
        <v>1</v>
      </c>
      <c r="AH107" s="16">
        <f>IF(Z107=0.5,"",IF((Z107&gt;0.5)=(AE107=1),1,0))</f>
        <v>1</v>
      </c>
      <c r="AI107" s="17" t="str">
        <f>IF(AF107&gt;V107,"Üst",IF(AF107&lt;V107,"Alt","Push"))</f>
        <v>Üst</v>
      </c>
    </row>
    <row r="108" spans="1:35">
      <c r="A108" s="7">
        <v>46099</v>
      </c>
      <c r="B108" s="8" t="s">
        <v>285</v>
      </c>
      <c r="C108" s="8" t="s">
        <v>92</v>
      </c>
      <c r="D108" s="8" t="s">
        <v>47</v>
      </c>
      <c r="E108" s="9">
        <v>118</v>
      </c>
      <c r="F108" s="9">
        <v>125</v>
      </c>
      <c r="G108" s="10">
        <v>12.5</v>
      </c>
      <c r="H108" s="11">
        <v>246.5</v>
      </c>
      <c r="I108" s="10">
        <v>13.5</v>
      </c>
      <c r="J108" s="12">
        <v>6</v>
      </c>
      <c r="K108" s="12">
        <v>1.142857142857143</v>
      </c>
      <c r="L108" s="11">
        <v>240.5</v>
      </c>
      <c r="M108" s="12">
        <v>1.909090909090909</v>
      </c>
      <c r="N108" s="12">
        <v>1.909090909090909</v>
      </c>
      <c r="O108" s="10">
        <v>12.5</v>
      </c>
      <c r="P108" s="12">
        <v>1.892857142857143</v>
      </c>
      <c r="Q108" s="12">
        <v>1.925925925925926</v>
      </c>
      <c r="R108" s="12">
        <v>6.25</v>
      </c>
      <c r="S108" s="12">
        <v>1.133333333333333</v>
      </c>
      <c r="T108" s="8" t="s">
        <v>286</v>
      </c>
      <c r="U108" s="8" t="s">
        <v>287</v>
      </c>
      <c r="V108" s="11">
        <v>246.5</v>
      </c>
      <c r="W108" s="12">
        <v>1.892857142857143</v>
      </c>
      <c r="X108" s="12">
        <v>1.925925925925926</v>
      </c>
      <c r="Y108" s="13">
        <f>(1/R108)/((1/R108)+(1/S108))</f>
        <v>0.15349887133182846</v>
      </c>
      <c r="Z108" s="13">
        <f>(1/J108)/((1/J108)+(1/K108))</f>
        <v>0.15999999999999998</v>
      </c>
      <c r="AA108" s="14">
        <f>1/R108+1/S108-1</f>
        <v>0.04235294117647048</v>
      </c>
      <c r="AB108" s="15">
        <f>O108-I108</f>
        <v>-1.0</v>
      </c>
      <c r="AC108" s="15">
        <f>IF(G108="","",G108-O108)</f>
        <v>0.0</v>
      </c>
      <c r="AD108" s="15">
        <f>H108-V108</f>
        <v>0.0</v>
      </c>
      <c r="AE108" s="16">
        <f>IF(F108&gt;E108,1,0)</f>
        <v>1</v>
      </c>
      <c r="AF108" s="16">
        <f>F108+E108</f>
        <v>243</v>
      </c>
      <c r="AG108" s="16">
        <f>IF(Y108=0.5,"",IF((Y108&gt;0.5)=(AE108=1),1,0))</f>
        <v>0</v>
      </c>
      <c r="AH108" s="16">
        <f>IF(Z108=0.5,"",IF((Z108&gt;0.5)=(AE108=1),1,0))</f>
        <v>0</v>
      </c>
      <c r="AI108" s="17" t="str">
        <f>IF(AF108&gt;V108,"Üst",IF(AF108&lt;V108,"Alt","Push"))</f>
        <v>Alt</v>
      </c>
    </row>
    <row r="109" spans="1:35">
      <c r="A109" s="7">
        <v>46099</v>
      </c>
      <c r="B109" s="8" t="s">
        <v>288</v>
      </c>
      <c r="C109" s="8" t="s">
        <v>73</v>
      </c>
      <c r="D109" s="8" t="s">
        <v>101</v>
      </c>
      <c r="E109" s="9">
        <v>99</v>
      </c>
      <c r="F109" s="9">
        <v>120</v>
      </c>
      <c r="G109" s="10">
        <v>-11.5</v>
      </c>
      <c r="H109" s="11">
        <v>216.5</v>
      </c>
      <c r="I109" s="10">
        <v>-12.5</v>
      </c>
      <c r="J109" s="12">
        <v>1.166666666666667</v>
      </c>
      <c r="K109" s="12">
        <v>5.4</v>
      </c>
      <c r="L109" s="11">
        <v>214.5</v>
      </c>
      <c r="M109" s="12">
        <v>1.909090909090909</v>
      </c>
      <c r="N109" s="12">
        <v>1.909090909090909</v>
      </c>
      <c r="O109" s="10">
        <v>-11.5</v>
      </c>
      <c r="P109" s="12">
        <v>1.892857142857143</v>
      </c>
      <c r="Q109" s="12">
        <v>1.925925925925926</v>
      </c>
      <c r="R109" s="12">
        <v>1.16</v>
      </c>
      <c r="S109" s="12">
        <v>5.55</v>
      </c>
      <c r="T109" s="8" t="s">
        <v>131</v>
      </c>
      <c r="U109" s="8" t="s">
        <v>132</v>
      </c>
      <c r="V109" s="11">
        <v>216.5</v>
      </c>
      <c r="W109" s="12">
        <v>1.909090909090909</v>
      </c>
      <c r="X109" s="12">
        <v>1.909090909090909</v>
      </c>
      <c r="Y109" s="13">
        <f>(1/R109)/((1/R109)+(1/S109))</f>
        <v>0.827123695976155</v>
      </c>
      <c r="Z109" s="13">
        <f>(1/J109)/((1/J109)+(1/K109))</f>
        <v>0.8223350253807106</v>
      </c>
      <c r="AA109" s="14">
        <f>1/R109+1/S109-1</f>
        <v>0.042249145697421664</v>
      </c>
      <c r="AB109" s="15">
        <f>O109-I109</f>
        <v>1.0</v>
      </c>
      <c r="AC109" s="15">
        <f>IF(G109="","",G109-O109)</f>
        <v>0.0</v>
      </c>
      <c r="AD109" s="15">
        <f>H109-V109</f>
        <v>0.0</v>
      </c>
      <c r="AE109" s="16">
        <f>IF(F109&gt;E109,1,0)</f>
        <v>1</v>
      </c>
      <c r="AF109" s="16">
        <f>F109+E109</f>
        <v>219</v>
      </c>
      <c r="AG109" s="16">
        <f>IF(Y109=0.5,"",IF((Y109&gt;0.5)=(AE109=1),1,0))</f>
        <v>1</v>
      </c>
      <c r="AH109" s="16">
        <f>IF(Z109=0.5,"",IF((Z109&gt;0.5)=(AE109=1),1,0))</f>
        <v>1</v>
      </c>
      <c r="AI109" s="17" t="str">
        <f>IF(AF109&gt;V109,"Üst",IF(AF109&lt;V109,"Alt","Push"))</f>
        <v>Üst</v>
      </c>
    </row>
    <row r="110" spans="1:35">
      <c r="A110" s="7">
        <v>46099</v>
      </c>
      <c r="B110" s="8" t="s">
        <v>289</v>
      </c>
      <c r="C110" s="8" t="s">
        <v>130</v>
      </c>
      <c r="D110" s="8" t="s">
        <v>68</v>
      </c>
      <c r="E110" s="9">
        <v>121</v>
      </c>
      <c r="F110" s="9">
        <v>92</v>
      </c>
      <c r="G110" s="10">
        <v>19.5</v>
      </c>
      <c r="H110" s="11">
        <v>217.5</v>
      </c>
      <c r="I110" s="10">
        <v>19.5</v>
      </c>
      <c r="J110" s="12">
        <v>13</v>
      </c>
      <c r="K110" s="12">
        <v>1.041666666666667</v>
      </c>
      <c r="L110" s="11">
        <v>215.5</v>
      </c>
      <c r="M110" s="12">
        <v>1.909090909090909</v>
      </c>
      <c r="N110" s="12">
        <v>1.909090909090909</v>
      </c>
      <c r="O110" s="10">
        <v>19.5</v>
      </c>
      <c r="P110" s="12">
        <v>1.869565217391304</v>
      </c>
      <c r="Q110" s="12">
        <v>1.952380952380952</v>
      </c>
      <c r="R110" s="12">
        <v>13</v>
      </c>
      <c r="S110" s="12">
        <v>1.041666666666667</v>
      </c>
      <c r="T110" s="8" t="s">
        <v>239</v>
      </c>
      <c r="U110" s="8" t="s">
        <v>238</v>
      </c>
      <c r="V110" s="11">
        <v>216.5</v>
      </c>
      <c r="W110" s="12">
        <v>1.892857142857143</v>
      </c>
      <c r="X110" s="12">
        <v>1.925925925925926</v>
      </c>
      <c r="Y110" s="13">
        <f>(1/R110)/((1/R110)+(1/S110))</f>
        <v>0.0741839762611276</v>
      </c>
      <c r="Z110" s="13">
        <f>(1/J110)/((1/J110)+(1/K110))</f>
        <v>0.0741839762611276</v>
      </c>
      <c r="AA110" s="14">
        <f>1/R110+1/S110-1</f>
        <v>0.036923076923076836</v>
      </c>
      <c r="AB110" s="15">
        <f>O110-I110</f>
        <v>0.0</v>
      </c>
      <c r="AC110" s="15">
        <f>IF(G110="","",G110-O110)</f>
        <v>0.0</v>
      </c>
      <c r="AD110" s="15">
        <f>H110-V110</f>
        <v>1.0</v>
      </c>
      <c r="AE110" s="16">
        <f>IF(F110&gt;E110,1,0)</f>
        <v>0</v>
      </c>
      <c r="AF110" s="16">
        <f>F110+E110</f>
        <v>213</v>
      </c>
      <c r="AG110" s="16">
        <f>IF(Y110=0.5,"",IF((Y110&gt;0.5)=(AE110=1),1,0))</f>
        <v>1</v>
      </c>
      <c r="AH110" s="16">
        <f>IF(Z110=0.5,"",IF((Z110&gt;0.5)=(AE110=1),1,0))</f>
        <v>1</v>
      </c>
      <c r="AI110" s="17" t="str">
        <f>IF(AF110&gt;V110,"Üst",IF(AF110&lt;V110,"Alt","Push"))</f>
        <v>Alt</v>
      </c>
    </row>
    <row r="111" spans="1:35">
      <c r="A111" s="7">
        <v>46099</v>
      </c>
      <c r="B111" s="8" t="s">
        <v>290</v>
      </c>
      <c r="C111" s="8" t="s">
        <v>46</v>
      </c>
      <c r="D111" s="8" t="s">
        <v>56</v>
      </c>
      <c r="E111" s="9">
        <v>127</v>
      </c>
      <c r="F111" s="9">
        <v>119</v>
      </c>
      <c r="G111" s="10">
        <v>12.5</v>
      </c>
      <c r="H111" s="11">
        <v>232.5</v>
      </c>
      <c r="I111" s="10">
        <v>10.5</v>
      </c>
      <c r="J111" s="12">
        <v>4.6</v>
      </c>
      <c r="K111" s="12">
        <v>1.212765957446809</v>
      </c>
      <c r="L111" s="11">
        <v>235.5</v>
      </c>
      <c r="M111" s="12">
        <v>1.909090909090909</v>
      </c>
      <c r="N111" s="12">
        <v>1.909090909090909</v>
      </c>
      <c r="O111" s="10">
        <v>11.5</v>
      </c>
      <c r="P111" s="12">
        <v>1.925925925925926</v>
      </c>
      <c r="Q111" s="12">
        <v>1.892857142857143</v>
      </c>
      <c r="R111" s="12">
        <v>5.9</v>
      </c>
      <c r="S111" s="12">
        <v>1.148148148148148</v>
      </c>
      <c r="T111" s="8" t="s">
        <v>221</v>
      </c>
      <c r="U111" s="8" t="s">
        <v>222</v>
      </c>
      <c r="V111" s="11">
        <v>233.5</v>
      </c>
      <c r="W111" s="12">
        <v>1.925925925925926</v>
      </c>
      <c r="X111" s="12">
        <v>1.892857142857143</v>
      </c>
      <c r="Y111" s="13">
        <f>(1/R111)/((1/R111)+(1/S111))</f>
        <v>0.16290068313189698</v>
      </c>
      <c r="Z111" s="13">
        <f>(1/J111)/((1/J111)+(1/K111))</f>
        <v>0.20863836017569548</v>
      </c>
      <c r="AA111" s="14">
        <f>1/R111+1/S111-1</f>
        <v>0.04045926735921279</v>
      </c>
      <c r="AB111" s="15">
        <f>O111-I111</f>
        <v>1.0</v>
      </c>
      <c r="AC111" s="15">
        <f>IF(G111="","",G111-O111)</f>
        <v>1.0</v>
      </c>
      <c r="AD111" s="15">
        <f>H111-V111</f>
        <v>-1.0</v>
      </c>
      <c r="AE111" s="16">
        <f>IF(F111&gt;E111,1,0)</f>
        <v>0</v>
      </c>
      <c r="AF111" s="16">
        <f>F111+E111</f>
        <v>246</v>
      </c>
      <c r="AG111" s="16">
        <f>IF(Y111=0.5,"",IF((Y111&gt;0.5)=(AE111=1),1,0))</f>
        <v>1</v>
      </c>
      <c r="AH111" s="16">
        <f>IF(Z111=0.5,"",IF((Z111&gt;0.5)=(AE111=1),1,0))</f>
        <v>1</v>
      </c>
      <c r="AI111" s="17" t="str">
        <f>IF(AF111&gt;V111,"Üst",IF(AF111&lt;V111,"Alt","Push"))</f>
        <v>Üst</v>
      </c>
    </row>
    <row r="112" spans="1:35">
      <c r="A112" s="7">
        <v>46099</v>
      </c>
      <c r="B112" s="8" t="s">
        <v>291</v>
      </c>
      <c r="C112" s="8" t="s">
        <v>76</v>
      </c>
      <c r="D112" s="8" t="s">
        <v>86</v>
      </c>
      <c r="E112" s="9">
        <v>139</v>
      </c>
      <c r="F112" s="9">
        <v>109</v>
      </c>
      <c r="G112" s="10">
        <v>7.5</v>
      </c>
      <c r="H112" s="11">
        <v>237.5</v>
      </c>
      <c r="I112" s="10">
        <v>7.5</v>
      </c>
      <c r="J112" s="12">
        <v>3.35</v>
      </c>
      <c r="K112" s="12">
        <v>1.344827586206897</v>
      </c>
      <c r="L112" s="11">
        <v>234.5</v>
      </c>
      <c r="M112" s="12">
        <v>1.909090909090909</v>
      </c>
      <c r="N112" s="12">
        <v>1.909090909090909</v>
      </c>
      <c r="O112" s="10">
        <v>7.5</v>
      </c>
      <c r="P112" s="12">
        <v>1.892857142857143</v>
      </c>
      <c r="Q112" s="12">
        <v>1.925925925925926</v>
      </c>
      <c r="R112" s="12">
        <v>3.35</v>
      </c>
      <c r="S112" s="12">
        <v>1.344827586206897</v>
      </c>
      <c r="T112" s="8" t="s">
        <v>292</v>
      </c>
      <c r="U112" s="8" t="s">
        <v>293</v>
      </c>
      <c r="V112" s="11">
        <v>237.5</v>
      </c>
      <c r="W112" s="12">
        <v>1.909090909090909</v>
      </c>
      <c r="X112" s="12">
        <v>1.909090909090909</v>
      </c>
      <c r="Y112" s="13">
        <f>(1/R112)/((1/R112)+(1/S112))</f>
        <v>0.28644876973925815</v>
      </c>
      <c r="Z112" s="13">
        <f>(1/J112)/((1/J112)+(1/K112))</f>
        <v>0.28644876973925815</v>
      </c>
      <c r="AA112" s="14">
        <f>1/R112+1/S112-1</f>
        <v>0.04209720627631075</v>
      </c>
      <c r="AB112" s="15">
        <f>O112-I112</f>
        <v>0.0</v>
      </c>
      <c r="AC112" s="15">
        <f>IF(G112="","",G112-O112)</f>
        <v>0.0</v>
      </c>
      <c r="AD112" s="15">
        <f>H112-V112</f>
        <v>0.0</v>
      </c>
      <c r="AE112" s="16">
        <f>IF(F112&gt;E112,1,0)</f>
        <v>0</v>
      </c>
      <c r="AF112" s="16">
        <f>F112+E112</f>
        <v>248</v>
      </c>
      <c r="AG112" s="16">
        <f>IF(Y112=0.5,"",IF((Y112&gt;0.5)=(AE112=1),1,0))</f>
        <v>1</v>
      </c>
      <c r="AH112" s="16">
        <f>IF(Z112=0.5,"",IF((Z112&gt;0.5)=(AE112=1),1,0))</f>
        <v>1</v>
      </c>
      <c r="AI112" s="17" t="str">
        <f>IF(AF112&gt;V112,"Üst",IF(AF112&lt;V112,"Alt","Push"))</f>
        <v>Üst</v>
      </c>
    </row>
    <row r="113" spans="1:35">
      <c r="A113" s="7">
        <v>46099</v>
      </c>
      <c r="B113" s="8" t="s">
        <v>294</v>
      </c>
      <c r="C113" s="8" t="s">
        <v>41</v>
      </c>
      <c r="D113" s="8" t="s">
        <v>77</v>
      </c>
      <c r="E113" s="9">
        <v>111</v>
      </c>
      <c r="F113" s="9">
        <v>147</v>
      </c>
      <c r="G113" s="10">
        <v>-13.5</v>
      </c>
      <c r="H113" s="11">
        <v>231.5</v>
      </c>
      <c r="I113" s="10">
        <v>-12.5</v>
      </c>
      <c r="J113" s="12">
        <v>1.153846153846154</v>
      </c>
      <c r="K113" s="12">
        <v>5.7</v>
      </c>
      <c r="L113" s="11">
        <v>234.5</v>
      </c>
      <c r="M113" s="12">
        <v>1.909090909090909</v>
      </c>
      <c r="N113" s="12">
        <v>1.909090909090909</v>
      </c>
      <c r="O113" s="10">
        <v>-12.5</v>
      </c>
      <c r="P113" s="12">
        <v>1.869565217391304</v>
      </c>
      <c r="Q113" s="12">
        <v>1.952380952380952</v>
      </c>
      <c r="R113" s="12">
        <v>1.125</v>
      </c>
      <c r="S113" s="12">
        <v>6.5</v>
      </c>
      <c r="T113" s="8" t="s">
        <v>70</v>
      </c>
      <c r="U113" s="8" t="s">
        <v>71</v>
      </c>
      <c r="V113" s="11">
        <v>231.5</v>
      </c>
      <c r="W113" s="12">
        <v>1.909090909090909</v>
      </c>
      <c r="X113" s="12">
        <v>1.909090909090909</v>
      </c>
      <c r="Y113" s="13">
        <f>(1/R113)/((1/R113)+(1/S113))</f>
        <v>0.8524590163934427</v>
      </c>
      <c r="Z113" s="13">
        <f>(1/J113)/((1/J113)+(1/K113))</f>
        <v>0.8316498316498315</v>
      </c>
      <c r="AA113" s="14">
        <f>1/R113+1/S113-1</f>
        <v>0.04273504273504258</v>
      </c>
      <c r="AB113" s="15">
        <f>O113-I113</f>
        <v>0.0</v>
      </c>
      <c r="AC113" s="15">
        <f>IF(G113="","",G113-O113)</f>
        <v>-1.0</v>
      </c>
      <c r="AD113" s="15">
        <f>H113-V113</f>
        <v>0.0</v>
      </c>
      <c r="AE113" s="16">
        <f>IF(F113&gt;E113,1,0)</f>
        <v>1</v>
      </c>
      <c r="AF113" s="16">
        <f>F113+E113</f>
        <v>258</v>
      </c>
      <c r="AG113" s="16">
        <f>IF(Y113=0.5,"",IF((Y113&gt;0.5)=(AE113=1),1,0))</f>
        <v>1</v>
      </c>
      <c r="AH113" s="16">
        <f>IF(Z113=0.5,"",IF((Z113&gt;0.5)=(AE113=1),1,0))</f>
        <v>1</v>
      </c>
      <c r="AI113" s="17" t="str">
        <f>IF(AF113&gt;V113,"Üst",IF(AF113&lt;V113,"Alt","Push"))</f>
        <v>Üst</v>
      </c>
    </row>
    <row r="114" spans="1:35">
      <c r="A114" s="7">
        <v>46099</v>
      </c>
      <c r="B114" s="8" t="s">
        <v>295</v>
      </c>
      <c r="C114" s="8" t="s">
        <v>57</v>
      </c>
      <c r="D114" s="8" t="s">
        <v>96</v>
      </c>
      <c r="E114" s="9">
        <v>109</v>
      </c>
      <c r="F114" s="9">
        <v>124</v>
      </c>
      <c r="G114" s="10">
        <v>1.5</v>
      </c>
      <c r="H114" s="11">
        <v>237.5</v>
      </c>
      <c r="I114" s="10">
        <v>-1.5</v>
      </c>
      <c r="J114" s="12">
        <v>1.8</v>
      </c>
      <c r="K114" s="12">
        <v>2.05</v>
      </c>
      <c r="L114" s="11">
        <v>228.5</v>
      </c>
      <c r="M114" s="12">
        <v>1.909090909090909</v>
      </c>
      <c r="N114" s="12">
        <v>1.909090909090909</v>
      </c>
      <c r="O114" s="10">
        <v>2.5</v>
      </c>
      <c r="P114" s="12">
        <v>1.869565217391304</v>
      </c>
      <c r="Q114" s="12">
        <v>1.952380952380952</v>
      </c>
      <c r="R114" s="12">
        <v>2.1</v>
      </c>
      <c r="S114" s="12">
        <v>1.769230769230769</v>
      </c>
      <c r="T114" s="8" t="s">
        <v>167</v>
      </c>
      <c r="U114" s="8" t="s">
        <v>168</v>
      </c>
      <c r="V114" s="11">
        <v>236.5</v>
      </c>
      <c r="W114" s="12">
        <v>1.869565217391304</v>
      </c>
      <c r="X114" s="12">
        <v>1.952380952380952</v>
      </c>
      <c r="Y114" s="13">
        <f>(1/R114)/((1/R114)+(1/S114))</f>
        <v>0.4572564612326044</v>
      </c>
      <c r="Z114" s="13">
        <f>(1/J114)/((1/J114)+(1/K114))</f>
        <v>0.5324675324675325</v>
      </c>
      <c r="AA114" s="14">
        <f>1/R114+1/S114-1</f>
        <v>0.04140786749482395</v>
      </c>
      <c r="AB114" s="15">
        <f>O114-I114</f>
        <v>4.0</v>
      </c>
      <c r="AC114" s="15">
        <f>IF(G114="","",G114-O114)</f>
        <v>-1.0</v>
      </c>
      <c r="AD114" s="15">
        <f>H114-V114</f>
        <v>1.0</v>
      </c>
      <c r="AE114" s="16">
        <f>IF(F114&gt;E114,1,0)</f>
        <v>1</v>
      </c>
      <c r="AF114" s="16">
        <f>F114+E114</f>
        <v>233</v>
      </c>
      <c r="AG114" s="16">
        <f>IF(Y114=0.5,"",IF((Y114&gt;0.5)=(AE114=1),1,0))</f>
        <v>0</v>
      </c>
      <c r="AH114" s="16">
        <f>IF(Z114=0.5,"",IF((Z114&gt;0.5)=(AE114=1),1,0))</f>
        <v>1</v>
      </c>
      <c r="AI114" s="17" t="str">
        <f>IF(AF114&gt;V114,"Üst",IF(AF114&lt;V114,"Alt","Push"))</f>
        <v>Alt</v>
      </c>
    </row>
    <row r="115" spans="1:35">
      <c r="A115" s="7">
        <v>46099</v>
      </c>
      <c r="B115" s="8" t="s">
        <v>296</v>
      </c>
      <c r="C115" s="8" t="s">
        <v>51</v>
      </c>
      <c r="D115" s="8" t="s">
        <v>61</v>
      </c>
      <c r="E115" s="9">
        <v>135</v>
      </c>
      <c r="F115" s="9">
        <v>120</v>
      </c>
      <c r="G115" s="10">
        <v>8.5</v>
      </c>
      <c r="H115" s="11">
        <v>239.5</v>
      </c>
      <c r="I115" s="10">
        <v>9.5</v>
      </c>
      <c r="J115" s="12">
        <v>4.3</v>
      </c>
      <c r="K115" s="12">
        <v>1.235294117647059</v>
      </c>
      <c r="L115" s="11">
        <v>239.5</v>
      </c>
      <c r="M115" s="12">
        <v>1.909090909090909</v>
      </c>
      <c r="N115" s="12">
        <v>1.909090909090909</v>
      </c>
      <c r="O115" s="10">
        <v>8.5</v>
      </c>
      <c r="P115" s="12">
        <v>1.847457627118644</v>
      </c>
      <c r="Q115" s="12">
        <v>1.980392156862745</v>
      </c>
      <c r="R115" s="12">
        <v>3.6</v>
      </c>
      <c r="S115" s="12">
        <v>1.307692307692308</v>
      </c>
      <c r="T115" s="8" t="s">
        <v>44</v>
      </c>
      <c r="U115" s="8" t="s">
        <v>43</v>
      </c>
      <c r="V115" s="11">
        <v>239.5</v>
      </c>
      <c r="W115" s="12">
        <v>1.952380952380952</v>
      </c>
      <c r="X115" s="12">
        <v>1.869565217391304</v>
      </c>
      <c r="Y115" s="13">
        <f>(1/R115)/((1/R115)+(1/S115))</f>
        <v>0.26645768025078376</v>
      </c>
      <c r="Z115" s="13">
        <f>(1/J115)/((1/J115)+(1/K115))</f>
        <v>0.22316684378320936</v>
      </c>
      <c r="AA115" s="14">
        <f>1/R115+1/S115-1</f>
        <v>0.0424836601307188</v>
      </c>
      <c r="AB115" s="15">
        <f>O115-I115</f>
        <v>-1.0</v>
      </c>
      <c r="AC115" s="15">
        <f>IF(G115="","",G115-O115)</f>
        <v>0.0</v>
      </c>
      <c r="AD115" s="15">
        <f>H115-V115</f>
        <v>0.0</v>
      </c>
      <c r="AE115" s="16">
        <f>IF(F115&gt;E115,1,0)</f>
        <v>0</v>
      </c>
      <c r="AF115" s="16">
        <f>F115+E115</f>
        <v>255</v>
      </c>
      <c r="AG115" s="16">
        <f>IF(Y115=0.5,"",IF((Y115&gt;0.5)=(AE115=1),1,0))</f>
        <v>1</v>
      </c>
      <c r="AH115" s="16">
        <f>IF(Z115=0.5,"",IF((Z115&gt;0.5)=(AE115=1),1,0))</f>
        <v>1</v>
      </c>
      <c r="AI115" s="17" t="str">
        <f>IF(AF115&gt;V115,"Üst",IF(AF115&lt;V115,"Alt","Push"))</f>
        <v>Üst</v>
      </c>
    </row>
    <row r="116" spans="1:35">
      <c r="A116" s="7">
        <v>46099</v>
      </c>
      <c r="B116" s="8" t="s">
        <v>297</v>
      </c>
      <c r="C116" s="8" t="s">
        <v>91</v>
      </c>
      <c r="D116" s="8" t="s">
        <v>74</v>
      </c>
      <c r="E116" s="9">
        <v>124</v>
      </c>
      <c r="F116" s="9">
        <v>116</v>
      </c>
      <c r="G116" s="10">
        <v>-2.5</v>
      </c>
      <c r="H116" s="11">
        <v>222.5</v>
      </c>
      <c r="I116" s="10">
        <v>-1.5</v>
      </c>
      <c r="J116" s="12">
        <v>1.819672131147541</v>
      </c>
      <c r="K116" s="12">
        <v>2.02</v>
      </c>
      <c r="L116" s="11">
        <v>222.5</v>
      </c>
      <c r="M116" s="12">
        <v>1.909090909090909</v>
      </c>
      <c r="N116" s="12">
        <v>1.909090909090909</v>
      </c>
      <c r="O116" s="10">
        <v>-1.5</v>
      </c>
      <c r="P116" s="12">
        <v>1.847457627118644</v>
      </c>
      <c r="Q116" s="12">
        <v>1.980392156862745</v>
      </c>
      <c r="R116" s="12">
        <v>1.769230769230769</v>
      </c>
      <c r="S116" s="12">
        <v>2.1</v>
      </c>
      <c r="T116" s="8" t="s">
        <v>168</v>
      </c>
      <c r="U116" s="8" t="s">
        <v>167</v>
      </c>
      <c r="V116" s="11">
        <v>223.5</v>
      </c>
      <c r="W116" s="12">
        <v>1.925925925925926</v>
      </c>
      <c r="X116" s="12">
        <v>1.892857142857143</v>
      </c>
      <c r="Y116" s="13">
        <f>(1/R116)/((1/R116)+(1/S116))</f>
        <v>0.5427435387673957</v>
      </c>
      <c r="Z116" s="13">
        <f>(1/J116)/((1/J116)+(1/K116))</f>
        <v>0.5260865852617197</v>
      </c>
      <c r="AA116" s="14">
        <f>1/R116+1/S116-1</f>
        <v>0.04140786749482395</v>
      </c>
      <c r="AB116" s="15">
        <f>O116-I116</f>
        <v>0.0</v>
      </c>
      <c r="AC116" s="15">
        <f>IF(G116="","",G116-O116)</f>
        <v>-1.0</v>
      </c>
      <c r="AD116" s="15">
        <f>H116-V116</f>
        <v>-1.0</v>
      </c>
      <c r="AE116" s="16">
        <f>IF(F116&gt;E116,1,0)</f>
        <v>0</v>
      </c>
      <c r="AF116" s="16">
        <f>F116+E116</f>
        <v>240</v>
      </c>
      <c r="AG116" s="16">
        <f>IF(Y116=0.5,"",IF((Y116&gt;0.5)=(AE116=1),1,0))</f>
        <v>0</v>
      </c>
      <c r="AH116" s="16">
        <f>IF(Z116=0.5,"",IF((Z116&gt;0.5)=(AE116=1),1,0))</f>
        <v>0</v>
      </c>
      <c r="AI116" s="17" t="str">
        <f>IF(AF116&gt;V116,"Üst",IF(AF116&lt;V116,"Alt","Push"))</f>
        <v>Üst</v>
      </c>
    </row>
    <row r="117" spans="1:35">
      <c r="A117" s="7">
        <v>46100</v>
      </c>
      <c r="B117" s="8" t="s">
        <v>298</v>
      </c>
      <c r="C117" s="8" t="s">
        <v>62</v>
      </c>
      <c r="D117" s="8" t="s">
        <v>105</v>
      </c>
      <c r="E117" s="9">
        <v>111</v>
      </c>
      <c r="F117" s="9">
        <v>130</v>
      </c>
      <c r="G117" s="10">
        <v>-5.5</v>
      </c>
      <c r="H117" s="11">
        <v>227.5</v>
      </c>
      <c r="I117" s="10">
        <v>-4.5</v>
      </c>
      <c r="J117" s="12">
        <v>1.555555555555556</v>
      </c>
      <c r="K117" s="12">
        <v>2.5</v>
      </c>
      <c r="L117" s="11">
        <v>226.5</v>
      </c>
      <c r="M117" s="12">
        <v>1.909090909090909</v>
      </c>
      <c r="N117" s="12">
        <v>1.909090909090909</v>
      </c>
      <c r="O117" s="10">
        <v>-5.5</v>
      </c>
      <c r="P117" s="12">
        <v>1.869565217391304</v>
      </c>
      <c r="Q117" s="12">
        <v>1.952380952380952</v>
      </c>
      <c r="R117" s="12">
        <v>1.444444444444444</v>
      </c>
      <c r="S117" s="12">
        <v>2.85</v>
      </c>
      <c r="T117" s="8" t="s">
        <v>147</v>
      </c>
      <c r="U117" s="8" t="s">
        <v>146</v>
      </c>
      <c r="V117" s="11">
        <v>225.5</v>
      </c>
      <c r="W117" s="12">
        <v>1.892857142857143</v>
      </c>
      <c r="X117" s="12">
        <v>1.925925925925926</v>
      </c>
      <c r="Y117" s="13">
        <f>(1/R117)/((1/R117)+(1/S117))</f>
        <v>0.6636481241914618</v>
      </c>
      <c r="Z117" s="13">
        <f>(1/J117)/((1/J117)+(1/K117))</f>
        <v>0.6164383561643836</v>
      </c>
      <c r="AA117" s="14">
        <f>1/R117+1/S117-1</f>
        <v>0.04318488529014841</v>
      </c>
      <c r="AB117" s="15">
        <f>O117-I117</f>
        <v>-1.0</v>
      </c>
      <c r="AC117" s="15">
        <f>IF(G117="","",G117-O117)</f>
        <v>0.0</v>
      </c>
      <c r="AD117" s="15">
        <f>H117-V117</f>
        <v>2.0</v>
      </c>
      <c r="AE117" s="16">
        <f>IF(F117&gt;E117,1,0)</f>
        <v>1</v>
      </c>
      <c r="AF117" s="16">
        <f>F117+E117</f>
        <v>241</v>
      </c>
      <c r="AG117" s="16">
        <f>IF(Y117=0.5,"",IF((Y117&gt;0.5)=(AE117=1),1,0))</f>
        <v>1</v>
      </c>
      <c r="AH117" s="16">
        <f>IF(Z117=0.5,"",IF((Z117&gt;0.5)=(AE117=1),1,0))</f>
        <v>1</v>
      </c>
      <c r="AI117" s="17" t="str">
        <f>IF(AF117&gt;V117,"Üst",IF(AF117&lt;V117,"Alt","Push"))</f>
        <v>Üst</v>
      </c>
    </row>
    <row r="118" spans="1:35">
      <c r="A118" s="7">
        <v>46100</v>
      </c>
      <c r="B118" s="8" t="s">
        <v>299</v>
      </c>
      <c r="C118" s="8" t="s">
        <v>81</v>
      </c>
      <c r="D118" s="8" t="s">
        <v>64</v>
      </c>
      <c r="E118" s="9">
        <v>117</v>
      </c>
      <c r="F118" s="9">
        <v>95</v>
      </c>
      <c r="G118" s="10">
        <v>14.5</v>
      </c>
      <c r="H118" s="11">
        <v>232.5</v>
      </c>
      <c r="I118" s="10">
        <v>16.5</v>
      </c>
      <c r="J118" s="12">
        <v>8.5</v>
      </c>
      <c r="K118" s="12">
        <v>1.083333333333333</v>
      </c>
      <c r="L118" s="11">
        <v>230.5</v>
      </c>
      <c r="M118" s="12">
        <v>1.909090909090909</v>
      </c>
      <c r="N118" s="12">
        <v>1.909090909090909</v>
      </c>
      <c r="O118" s="10">
        <v>14.5</v>
      </c>
      <c r="P118" s="12">
        <v>1.892857142857143</v>
      </c>
      <c r="Q118" s="12">
        <v>1.925925925925926</v>
      </c>
      <c r="R118" s="12">
        <v>8.5</v>
      </c>
      <c r="S118" s="12">
        <v>1.083333333333333</v>
      </c>
      <c r="T118" s="8" t="s">
        <v>103</v>
      </c>
      <c r="U118" s="8" t="s">
        <v>102</v>
      </c>
      <c r="V118" s="11">
        <v>231.5</v>
      </c>
      <c r="W118" s="12">
        <v>1.869565217391304</v>
      </c>
      <c r="X118" s="12">
        <v>1.952380952380952</v>
      </c>
      <c r="Y118" s="13">
        <f>(1/R118)/((1/R118)+(1/S118))</f>
        <v>0.11304347826086955</v>
      </c>
      <c r="Z118" s="13">
        <f>(1/J118)/((1/J118)+(1/K118))</f>
        <v>0.11304347826086955</v>
      </c>
      <c r="AA118" s="14">
        <f>1/R118+1/S118-1</f>
        <v>0.040723981900452566</v>
      </c>
      <c r="AB118" s="15">
        <f>O118-I118</f>
        <v>-2.0</v>
      </c>
      <c r="AC118" s="15">
        <f>IF(G118="","",G118-O118)</f>
        <v>0.0</v>
      </c>
      <c r="AD118" s="15">
        <f>H118-V118</f>
        <v>1.0</v>
      </c>
      <c r="AE118" s="16">
        <f>IF(F118&gt;E118,1,0)</f>
        <v>0</v>
      </c>
      <c r="AF118" s="16">
        <f>F118+E118</f>
        <v>212</v>
      </c>
      <c r="AG118" s="16">
        <f>IF(Y118=0.5,"",IF((Y118&gt;0.5)=(AE118=1),1,0))</f>
        <v>1</v>
      </c>
      <c r="AH118" s="16">
        <f>IF(Z118=0.5,"",IF((Z118&gt;0.5)=(AE118=1),1,0))</f>
        <v>1</v>
      </c>
      <c r="AI118" s="17" t="str">
        <f>IF(AF118&gt;V118,"Üst",IF(AF118&lt;V118,"Alt","Push"))</f>
        <v>Alt</v>
      </c>
    </row>
    <row r="119" spans="1:35">
      <c r="A119" s="7">
        <v>46100</v>
      </c>
      <c r="B119" s="8" t="s">
        <v>300</v>
      </c>
      <c r="C119" s="8" t="s">
        <v>91</v>
      </c>
      <c r="D119" s="8" t="s">
        <v>69</v>
      </c>
      <c r="E119" s="9">
        <v>134</v>
      </c>
      <c r="F119" s="9">
        <v>126</v>
      </c>
      <c r="G119" s="10">
        <v>-3.5</v>
      </c>
      <c r="H119" s="11">
        <v>241.5</v>
      </c>
      <c r="I119" s="10">
        <v>-2.5</v>
      </c>
      <c r="J119" s="12">
        <v>1.769230769230769</v>
      </c>
      <c r="K119" s="12">
        <v>2.1</v>
      </c>
      <c r="L119" s="11">
        <v>240.5</v>
      </c>
      <c r="M119" s="12">
        <v>1.909090909090909</v>
      </c>
      <c r="N119" s="12">
        <v>1.909090909090909</v>
      </c>
      <c r="O119" s="10">
        <v>-3.5</v>
      </c>
      <c r="P119" s="12">
        <v>1.952380952380952</v>
      </c>
      <c r="Q119" s="12">
        <v>1.869565217391304</v>
      </c>
      <c r="R119" s="12">
        <v>1.675675675675676</v>
      </c>
      <c r="S119" s="12">
        <v>2.24</v>
      </c>
      <c r="T119" s="8" t="s">
        <v>83</v>
      </c>
      <c r="U119" s="8" t="s">
        <v>84</v>
      </c>
      <c r="V119" s="11">
        <v>242.5</v>
      </c>
      <c r="W119" s="12">
        <v>1.909090909090909</v>
      </c>
      <c r="X119" s="12">
        <v>1.909090909090909</v>
      </c>
      <c r="Y119" s="13">
        <f>(1/R119)/((1/R119)+(1/S119))</f>
        <v>0.5720596355604638</v>
      </c>
      <c r="Z119" s="13">
        <f>(1/J119)/((1/J119)+(1/K119))</f>
        <v>0.5427435387673957</v>
      </c>
      <c r="AA119" s="14">
        <f>1/R119+1/S119-1</f>
        <v>0.04320276497695863</v>
      </c>
      <c r="AB119" s="15">
        <f>O119-I119</f>
        <v>-1.0</v>
      </c>
      <c r="AC119" s="15">
        <f>IF(G119="","",G119-O119)</f>
        <v>0.0</v>
      </c>
      <c r="AD119" s="15">
        <f>H119-V119</f>
        <v>-1.0</v>
      </c>
      <c r="AE119" s="16">
        <f>IF(F119&gt;E119,1,0)</f>
        <v>0</v>
      </c>
      <c r="AF119" s="16">
        <f>F119+E119</f>
        <v>260</v>
      </c>
      <c r="AG119" s="16">
        <f>IF(Y119=0.5,"",IF((Y119&gt;0.5)=(AE119=1),1,0))</f>
        <v>0</v>
      </c>
      <c r="AH119" s="16">
        <f>IF(Z119=0.5,"",IF((Z119&gt;0.5)=(AE119=1),1,0))</f>
        <v>0</v>
      </c>
      <c r="AI119" s="17" t="str">
        <f>IF(AF119&gt;V119,"Üst",IF(AF119&lt;V119,"Alt","Push"))</f>
        <v>Üst</v>
      </c>
    </row>
    <row r="120" spans="1:35">
      <c r="A120" s="7">
        <v>46100</v>
      </c>
      <c r="B120" s="8" t="s">
        <v>301</v>
      </c>
      <c r="C120" s="8" t="s">
        <v>134</v>
      </c>
      <c r="D120" s="8" t="s">
        <v>86</v>
      </c>
      <c r="E120" s="9">
        <v>115</v>
      </c>
      <c r="F120" s="9">
        <v>110</v>
      </c>
      <c r="G120" s="10">
        <v>9.5</v>
      </c>
      <c r="H120" s="11">
        <v>236.5</v>
      </c>
      <c r="I120" s="10">
        <v>13.5</v>
      </c>
      <c r="J120" s="12">
        <v>6.25</v>
      </c>
      <c r="K120" s="12">
        <v>1.133333333333333</v>
      </c>
      <c r="L120" s="11">
        <v>238.5</v>
      </c>
      <c r="M120" s="12">
        <v>1.909090909090909</v>
      </c>
      <c r="N120" s="12">
        <v>1.909090909090909</v>
      </c>
      <c r="O120" s="10">
        <v>9.5</v>
      </c>
      <c r="P120" s="12">
        <v>1.909090909090909</v>
      </c>
      <c r="Q120" s="12">
        <v>1.909090909090909</v>
      </c>
      <c r="R120" s="12">
        <v>4.7</v>
      </c>
      <c r="S120" s="12">
        <v>1.206185567010309</v>
      </c>
      <c r="T120" s="8" t="s">
        <v>302</v>
      </c>
      <c r="U120" s="8" t="s">
        <v>303</v>
      </c>
      <c r="V120" s="11">
        <v>236.5</v>
      </c>
      <c r="W120" s="12">
        <v>1.909090909090909</v>
      </c>
      <c r="X120" s="12">
        <v>1.909090909090909</v>
      </c>
      <c r="Y120" s="13">
        <f>(1/R120)/((1/R120)+(1/S120))</f>
        <v>0.2042241228835748</v>
      </c>
      <c r="Z120" s="13">
        <f>(1/J120)/((1/J120)+(1/K120))</f>
        <v>0.15349887133182846</v>
      </c>
      <c r="AA120" s="14">
        <f>1/R120+1/S120-1</f>
        <v>0.0418257865066376</v>
      </c>
      <c r="AB120" s="15">
        <f>O120-I120</f>
        <v>-4.0</v>
      </c>
      <c r="AC120" s="15">
        <f>IF(G120="","",G120-O120)</f>
        <v>0.0</v>
      </c>
      <c r="AD120" s="15">
        <f>H120-V120</f>
        <v>0.0</v>
      </c>
      <c r="AE120" s="16">
        <f>IF(F120&gt;E120,1,0)</f>
        <v>0</v>
      </c>
      <c r="AF120" s="16">
        <f>F120+E120</f>
        <v>225</v>
      </c>
      <c r="AG120" s="16">
        <f>IF(Y120=0.5,"",IF((Y120&gt;0.5)=(AE120=1),1,0))</f>
        <v>1</v>
      </c>
      <c r="AH120" s="16">
        <f>IF(Z120=0.5,"",IF((Z120&gt;0.5)=(AE120=1),1,0))</f>
        <v>1</v>
      </c>
      <c r="AI120" s="17" t="str">
        <f>IF(AF120&gt;V120,"Üst",IF(AF120&lt;V120,"Alt","Push"))</f>
        <v>Alt</v>
      </c>
    </row>
    <row r="121" spans="1:35">
      <c r="A121" s="7">
        <v>46100</v>
      </c>
      <c r="B121" s="8" t="s">
        <v>304</v>
      </c>
      <c r="C121" s="8" t="s">
        <v>57</v>
      </c>
      <c r="D121" s="8" t="s">
        <v>96</v>
      </c>
      <c r="E121" s="9">
        <v>99</v>
      </c>
      <c r="F121" s="9">
        <v>105</v>
      </c>
      <c r="G121" s="10">
        <v>-4.5</v>
      </c>
      <c r="H121" s="11">
        <v>228.5</v>
      </c>
      <c r="I121" s="10">
        <v>-1.5</v>
      </c>
      <c r="J121" s="12">
        <v>1.833333333333333</v>
      </c>
      <c r="K121" s="12">
        <v>2</v>
      </c>
      <c r="L121" s="11">
        <v>233.5</v>
      </c>
      <c r="M121" s="12">
        <v>1.909090909090909</v>
      </c>
      <c r="N121" s="12">
        <v>1.909090909090909</v>
      </c>
      <c r="O121" s="10">
        <v>-4.5</v>
      </c>
      <c r="P121" s="12">
        <v>1.925925925925926</v>
      </c>
      <c r="Q121" s="12">
        <v>1.892857142857143</v>
      </c>
      <c r="R121" s="12">
        <v>1.602409638554217</v>
      </c>
      <c r="S121" s="12">
        <v>2.4</v>
      </c>
      <c r="T121" s="8" t="s">
        <v>65</v>
      </c>
      <c r="U121" s="8" t="s">
        <v>66</v>
      </c>
      <c r="V121" s="11">
        <v>228.5</v>
      </c>
      <c r="W121" s="12">
        <v>1.892857142857143</v>
      </c>
      <c r="X121" s="12">
        <v>1.925925925925926</v>
      </c>
      <c r="Y121" s="13">
        <f>(1/R121)/((1/R121)+(1/S121))</f>
        <v>0.5996387718242023</v>
      </c>
      <c r="Z121" s="13">
        <f>(1/J121)/((1/J121)+(1/K121))</f>
        <v>0.5217391304347826</v>
      </c>
      <c r="AA121" s="14">
        <f>1/R121+1/S121-1</f>
        <v>0.0407268170426065</v>
      </c>
      <c r="AB121" s="15">
        <f>O121-I121</f>
        <v>-3.0</v>
      </c>
      <c r="AC121" s="15">
        <f>IF(G121="","",G121-O121)</f>
        <v>0.0</v>
      </c>
      <c r="AD121" s="15">
        <f>H121-V121</f>
        <v>0.0</v>
      </c>
      <c r="AE121" s="16">
        <f>IF(F121&gt;E121,1,0)</f>
        <v>1</v>
      </c>
      <c r="AF121" s="16">
        <f>F121+E121</f>
        <v>204</v>
      </c>
      <c r="AG121" s="16">
        <f>IF(Y121=0.5,"",IF((Y121&gt;0.5)=(AE121=1),1,0))</f>
        <v>1</v>
      </c>
      <c r="AH121" s="16">
        <f>IF(Z121=0.5,"",IF((Z121&gt;0.5)=(AE121=1),1,0))</f>
        <v>1</v>
      </c>
      <c r="AI121" s="17" t="str">
        <f>IF(AF121&gt;V121,"Üst",IF(AF121&lt;V121,"Alt","Push"))</f>
        <v>Alt</v>
      </c>
    </row>
    <row r="122" spans="1:35">
      <c r="A122" s="7">
        <v>46100</v>
      </c>
      <c r="B122" s="8" t="s">
        <v>305</v>
      </c>
      <c r="C122" s="8" t="s">
        <v>87</v>
      </c>
      <c r="D122" s="8" t="s">
        <v>82</v>
      </c>
      <c r="E122" s="9">
        <v>100</v>
      </c>
      <c r="F122" s="9">
        <v>101</v>
      </c>
      <c r="G122" s="10">
        <v>-9.5</v>
      </c>
      <c r="H122" s="11">
        <v>228.5</v>
      </c>
      <c r="I122" s="10">
        <v>-9.5</v>
      </c>
      <c r="J122" s="12">
        <v>1.263157894736842</v>
      </c>
      <c r="K122" s="12">
        <v>4</v>
      </c>
      <c r="L122" s="11">
        <v>225.5</v>
      </c>
      <c r="M122" s="12">
        <v>1.909090909090909</v>
      </c>
      <c r="N122" s="12">
        <v>1.909090909090909</v>
      </c>
      <c r="O122" s="10">
        <v>-9.5</v>
      </c>
      <c r="P122" s="12">
        <v>1.909090909090909</v>
      </c>
      <c r="Q122" s="12">
        <v>1.909090909090909</v>
      </c>
      <c r="R122" s="12">
        <v>1.212765957446809</v>
      </c>
      <c r="S122" s="12">
        <v>4.6</v>
      </c>
      <c r="T122" s="8" t="s">
        <v>306</v>
      </c>
      <c r="U122" s="8" t="s">
        <v>307</v>
      </c>
      <c r="V122" s="11">
        <v>228.5</v>
      </c>
      <c r="W122" s="12">
        <v>1.952380952380952</v>
      </c>
      <c r="X122" s="12">
        <v>1.869565217391304</v>
      </c>
      <c r="Y122" s="13">
        <f>(1/R122)/((1/R122)+(1/S122))</f>
        <v>0.7913616398243044</v>
      </c>
      <c r="Z122" s="13">
        <f>(1/J122)/((1/J122)+(1/K122))</f>
        <v>0.76</v>
      </c>
      <c r="AA122" s="14">
        <f>1/R122+1/S122-1</f>
        <v>0.04195270785659799</v>
      </c>
      <c r="AB122" s="15">
        <f>O122-I122</f>
        <v>0.0</v>
      </c>
      <c r="AC122" s="15">
        <f>IF(G122="","",G122-O122)</f>
        <v>0.0</v>
      </c>
      <c r="AD122" s="15">
        <f>H122-V122</f>
        <v>0.0</v>
      </c>
      <c r="AE122" s="16">
        <f>IF(F122&gt;E122,1,0)</f>
        <v>1</v>
      </c>
      <c r="AF122" s="16">
        <f>F122+E122</f>
        <v>201</v>
      </c>
      <c r="AG122" s="16">
        <f>IF(Y122=0.5,"",IF((Y122&gt;0.5)=(AE122=1),1,0))</f>
        <v>1</v>
      </c>
      <c r="AH122" s="16">
        <f>IF(Z122=0.5,"",IF((Z122&gt;0.5)=(AE122=1),1,0))</f>
        <v>1</v>
      </c>
      <c r="AI122" s="17" t="str">
        <f>IF(AF122&gt;V122,"Üst",IF(AF122&lt;V122,"Alt","Push"))</f>
        <v>Alt</v>
      </c>
    </row>
    <row r="123" spans="1:35">
      <c r="A123" s="7">
        <v>46100</v>
      </c>
      <c r="B123" s="8" t="s">
        <v>308</v>
      </c>
      <c r="C123" s="8" t="s">
        <v>52</v>
      </c>
      <c r="D123" s="8" t="s">
        <v>41</v>
      </c>
      <c r="E123" s="9">
        <v>96</v>
      </c>
      <c r="F123" s="9">
        <v>128</v>
      </c>
      <c r="G123" s="10">
        <v>5.5</v>
      </c>
      <c r="H123" s="11">
        <v>227.5</v>
      </c>
      <c r="I123" s="10">
        <v>4.5</v>
      </c>
      <c r="J123" s="12">
        <v>2.6</v>
      </c>
      <c r="K123" s="12">
        <v>1.520833333333333</v>
      </c>
      <c r="L123" s="11">
        <v>229.5</v>
      </c>
      <c r="M123" s="12">
        <v>1.909090909090909</v>
      </c>
      <c r="N123" s="12">
        <v>1.909090909090909</v>
      </c>
      <c r="O123" s="10">
        <v>5.5</v>
      </c>
      <c r="P123" s="12">
        <v>1.980392156862745</v>
      </c>
      <c r="Q123" s="12">
        <v>1.847457627118644</v>
      </c>
      <c r="R123" s="12">
        <v>3.05</v>
      </c>
      <c r="S123" s="12">
        <v>1.4</v>
      </c>
      <c r="T123" s="8" t="s">
        <v>309</v>
      </c>
      <c r="U123" s="8" t="s">
        <v>310</v>
      </c>
      <c r="V123" s="11">
        <v>227.5</v>
      </c>
      <c r="W123" s="12">
        <v>1.909090909090909</v>
      </c>
      <c r="X123" s="12">
        <v>1.909090909090909</v>
      </c>
      <c r="Y123" s="13">
        <f>(1/R123)/((1/R123)+(1/S123))</f>
        <v>0.3146067415730337</v>
      </c>
      <c r="Z123" s="13">
        <f>(1/J123)/((1/J123)+(1/K123))</f>
        <v>0.3690596562184024</v>
      </c>
      <c r="AA123" s="14">
        <f>1/R123+1/S123-1</f>
        <v>0.042154566744730726</v>
      </c>
      <c r="AB123" s="15">
        <f>O123-I123</f>
        <v>1.0</v>
      </c>
      <c r="AC123" s="15">
        <f>IF(G123="","",G123-O123)</f>
        <v>0.0</v>
      </c>
      <c r="AD123" s="15">
        <f>H123-V123</f>
        <v>0.0</v>
      </c>
      <c r="AE123" s="16">
        <f>IF(F123&gt;E123,1,0)</f>
        <v>1</v>
      </c>
      <c r="AF123" s="16">
        <f>F123+E123</f>
        <v>224</v>
      </c>
      <c r="AG123" s="16">
        <f>IF(Y123=0.5,"",IF((Y123&gt;0.5)=(AE123=1),1,0))</f>
        <v>0</v>
      </c>
      <c r="AH123" s="16">
        <f>IF(Z123=0.5,"",IF((Z123&gt;0.5)=(AE123=1),1,0))</f>
        <v>0</v>
      </c>
      <c r="AI123" s="17" t="str">
        <f>IF(AF123&gt;V123,"Üst",IF(AF123&lt;V123,"Alt","Push"))</f>
        <v>Alt</v>
      </c>
    </row>
    <row r="124" spans="1:35">
      <c r="A124" s="7">
        <v>46100</v>
      </c>
      <c r="B124" s="8" t="s">
        <v>311</v>
      </c>
      <c r="C124" s="8" t="s">
        <v>42</v>
      </c>
      <c r="D124" s="8" t="s">
        <v>97</v>
      </c>
      <c r="E124" s="9">
        <v>139</v>
      </c>
      <c r="F124" s="9">
        <v>118</v>
      </c>
      <c r="G124" s="10">
        <v>2.5</v>
      </c>
      <c r="H124" s="11">
        <v>228.5</v>
      </c>
      <c r="I124" s="10">
        <v>3.5</v>
      </c>
      <c r="J124" s="12">
        <v>2.36</v>
      </c>
      <c r="K124" s="12">
        <v>1.617283950617284</v>
      </c>
      <c r="L124" s="11">
        <v>231.5</v>
      </c>
      <c r="M124" s="12">
        <v>1.909090909090909</v>
      </c>
      <c r="N124" s="12">
        <v>1.909090909090909</v>
      </c>
      <c r="O124" s="10">
        <v>2.5</v>
      </c>
      <c r="P124" s="12">
        <v>1.925925925925926</v>
      </c>
      <c r="Q124" s="12">
        <v>1.892857142857143</v>
      </c>
      <c r="R124" s="12">
        <v>2.24</v>
      </c>
      <c r="S124" s="12">
        <v>1.675675675675676</v>
      </c>
      <c r="T124" s="8" t="s">
        <v>84</v>
      </c>
      <c r="U124" s="8" t="s">
        <v>83</v>
      </c>
      <c r="V124" s="11">
        <v>228.5</v>
      </c>
      <c r="W124" s="12">
        <v>1.892857142857143</v>
      </c>
      <c r="X124" s="12">
        <v>1.925925925925926</v>
      </c>
      <c r="Y124" s="13">
        <f>(1/R124)/((1/R124)+(1/S124))</f>
        <v>0.4279403644395361</v>
      </c>
      <c r="Z124" s="13">
        <f>(1/J124)/((1/J124)+(1/K124))</f>
        <v>0.4066302458405761</v>
      </c>
      <c r="AA124" s="14">
        <f>1/R124+1/S124-1</f>
        <v>0.04320276497695863</v>
      </c>
      <c r="AB124" s="15">
        <f>O124-I124</f>
        <v>-1.0</v>
      </c>
      <c r="AC124" s="15">
        <f>IF(G124="","",G124-O124)</f>
        <v>0.0</v>
      </c>
      <c r="AD124" s="15">
        <f>H124-V124</f>
        <v>0.0</v>
      </c>
      <c r="AE124" s="16">
        <f>IF(F124&gt;E124,1,0)</f>
        <v>0</v>
      </c>
      <c r="AF124" s="16">
        <f>F124+E124</f>
        <v>257</v>
      </c>
      <c r="AG124" s="16">
        <f>IF(Y124=0.5,"",IF((Y124&gt;0.5)=(AE124=1),1,0))</f>
        <v>1</v>
      </c>
      <c r="AH124" s="16">
        <f>IF(Z124=0.5,"",IF((Z124&gt;0.5)=(AE124=1),1,0))</f>
        <v>1</v>
      </c>
      <c r="AI124" s="17" t="str">
        <f>IF(AF124&gt;V124,"Üst",IF(AF124&lt;V124,"Alt","Push"))</f>
        <v>Üst</v>
      </c>
    </row>
    <row r="125" spans="1:35">
      <c r="A125" s="7">
        <v>46101</v>
      </c>
      <c r="B125" s="8" t="s">
        <v>312</v>
      </c>
      <c r="C125" s="8" t="s">
        <v>110</v>
      </c>
      <c r="D125" s="8" t="s">
        <v>68</v>
      </c>
      <c r="E125" s="9">
        <v>93</v>
      </c>
      <c r="F125" s="9">
        <v>92</v>
      </c>
      <c r="G125" s="10">
        <v>18.5</v>
      </c>
      <c r="H125" s="11">
        <v>214.5</v>
      </c>
      <c r="I125" s="10">
        <v>18.5</v>
      </c>
      <c r="J125" s="12">
        <v>12</v>
      </c>
      <c r="K125" s="12">
        <v>1.047619047619048</v>
      </c>
      <c r="L125" s="11">
        <v>215.5</v>
      </c>
      <c r="M125" s="12">
        <v>1.909090909090909</v>
      </c>
      <c r="N125" s="12">
        <v>1.909090909090909</v>
      </c>
      <c r="O125" s="10">
        <v>18.5</v>
      </c>
      <c r="P125" s="12">
        <v>1.925925925925926</v>
      </c>
      <c r="Q125" s="12">
        <v>1.892857142857143</v>
      </c>
      <c r="R125" s="12">
        <v>12</v>
      </c>
      <c r="S125" s="12">
        <v>1.047619047619048</v>
      </c>
      <c r="T125" s="8" t="s">
        <v>278</v>
      </c>
      <c r="U125" s="8" t="s">
        <v>279</v>
      </c>
      <c r="V125" s="11">
        <v>214.5</v>
      </c>
      <c r="W125" s="12">
        <v>1.892857142857143</v>
      </c>
      <c r="X125" s="12">
        <v>1.925925925925926</v>
      </c>
      <c r="Y125" s="13">
        <f>(1/R125)/((1/R125)+(1/S125))</f>
        <v>0.08029197080291971</v>
      </c>
      <c r="Z125" s="13">
        <f>(1/J125)/((1/J125)+(1/K125))</f>
        <v>0.08029197080291971</v>
      </c>
      <c r="AA125" s="14">
        <f>1/R125+1/S125-1</f>
        <v>0.037878787878787845</v>
      </c>
      <c r="AB125" s="15">
        <f>O125-I125</f>
        <v>0.0</v>
      </c>
      <c r="AC125" s="15">
        <f>IF(G125="","",G125-O125)</f>
        <v>0.0</v>
      </c>
      <c r="AD125" s="15">
        <f>H125-V125</f>
        <v>0.0</v>
      </c>
      <c r="AE125" s="16">
        <f>IF(F125&gt;E125,1,0)</f>
        <v>0</v>
      </c>
      <c r="AF125" s="16">
        <f>F125+E125</f>
        <v>185</v>
      </c>
      <c r="AG125" s="16">
        <f>IF(Y125=0.5,"",IF((Y125&gt;0.5)=(AE125=1),1,0))</f>
        <v>1</v>
      </c>
      <c r="AH125" s="16">
        <f>IF(Z125=0.5,"",IF((Z125&gt;0.5)=(AE125=1),1,0))</f>
        <v>1</v>
      </c>
      <c r="AI125" s="17" t="str">
        <f>IF(AF125&gt;V125,"Üst",IF(AF125&lt;V125,"Alt","Push"))</f>
        <v>Alt</v>
      </c>
    </row>
    <row r="126" spans="1:35">
      <c r="A126" s="7">
        <v>46101</v>
      </c>
      <c r="B126" s="8" t="s">
        <v>313</v>
      </c>
      <c r="C126" s="8" t="s">
        <v>73</v>
      </c>
      <c r="D126" s="8" t="s">
        <v>81</v>
      </c>
      <c r="E126" s="9">
        <v>101</v>
      </c>
      <c r="F126" s="9">
        <v>115</v>
      </c>
      <c r="G126" s="10">
        <v>-5.5</v>
      </c>
      <c r="H126" s="11">
        <v>219.5</v>
      </c>
      <c r="I126" s="10">
        <v>-6.5</v>
      </c>
      <c r="J126" s="12">
        <v>1.420168067226891</v>
      </c>
      <c r="K126" s="12">
        <v>2.95</v>
      </c>
      <c r="L126" s="11">
        <v>217.5</v>
      </c>
      <c r="M126" s="12">
        <v>1.909090909090909</v>
      </c>
      <c r="N126" s="12">
        <v>1.909090909090909</v>
      </c>
      <c r="O126" s="10">
        <v>-6.5</v>
      </c>
      <c r="P126" s="12">
        <v>1.925925925925926</v>
      </c>
      <c r="Q126" s="12">
        <v>1.892857142857143</v>
      </c>
      <c r="R126" s="12">
        <v>1.420168067226891</v>
      </c>
      <c r="S126" s="12">
        <v>2.95</v>
      </c>
      <c r="T126" s="8" t="s">
        <v>185</v>
      </c>
      <c r="U126" s="8" t="s">
        <v>186</v>
      </c>
      <c r="V126" s="11">
        <v>219.5</v>
      </c>
      <c r="W126" s="12">
        <v>1.952380952380952</v>
      </c>
      <c r="X126" s="12">
        <v>1.869565217391304</v>
      </c>
      <c r="Y126" s="13">
        <f>(1/R126)/((1/R126)+(1/S126))</f>
        <v>0.6750312469954812</v>
      </c>
      <c r="Z126" s="13">
        <f>(1/J126)/((1/J126)+(1/K126))</f>
        <v>0.6750312469954812</v>
      </c>
      <c r="AA126" s="14">
        <f>1/R126+1/S126-1</f>
        <v>0.04312506268177696</v>
      </c>
      <c r="AB126" s="15">
        <f>O126-I126</f>
        <v>0.0</v>
      </c>
      <c r="AC126" s="15">
        <f>IF(G126="","",G126-O126)</f>
        <v>1.0</v>
      </c>
      <c r="AD126" s="15">
        <f>H126-V126</f>
        <v>0.0</v>
      </c>
      <c r="AE126" s="16">
        <f>IF(F126&gt;E126,1,0)</f>
        <v>1</v>
      </c>
      <c r="AF126" s="16">
        <f>F126+E126</f>
        <v>216</v>
      </c>
      <c r="AG126" s="16">
        <f>IF(Y126=0.5,"",IF((Y126&gt;0.5)=(AE126=1),1,0))</f>
        <v>1</v>
      </c>
      <c r="AH126" s="16">
        <f>IF(Z126=0.5,"",IF((Z126&gt;0.5)=(AE126=1),1,0))</f>
        <v>1</v>
      </c>
      <c r="AI126" s="17" t="str">
        <f>IF(AF126&gt;V126,"Üst",IF(AF126&lt;V126,"Alt","Push"))</f>
        <v>Alt</v>
      </c>
    </row>
    <row r="127" spans="1:35">
      <c r="A127" s="7">
        <v>46101</v>
      </c>
      <c r="B127" s="8" t="s">
        <v>314</v>
      </c>
      <c r="C127" s="8" t="s">
        <v>51</v>
      </c>
      <c r="D127" s="8" t="s">
        <v>74</v>
      </c>
      <c r="E127" s="9">
        <v>95</v>
      </c>
      <c r="F127" s="9">
        <v>117</v>
      </c>
      <c r="G127" s="10">
        <v>-2.5</v>
      </c>
      <c r="H127" s="11">
        <v>227.5</v>
      </c>
      <c r="I127" s="10">
        <v>-3.5</v>
      </c>
      <c r="J127" s="12">
        <v>1.602409638554217</v>
      </c>
      <c r="K127" s="12">
        <v>2.4</v>
      </c>
      <c r="L127" s="11">
        <v>225.5</v>
      </c>
      <c r="M127" s="12">
        <v>1.909090909090909</v>
      </c>
      <c r="N127" s="12">
        <v>1.909090909090909</v>
      </c>
      <c r="O127" s="10">
        <v>-2.5</v>
      </c>
      <c r="P127" s="12">
        <v>1.869565217391304</v>
      </c>
      <c r="Q127" s="12">
        <v>1.952380952380952</v>
      </c>
      <c r="R127" s="12">
        <v>1.675675675675676</v>
      </c>
      <c r="S127" s="12">
        <v>2.24</v>
      </c>
      <c r="T127" s="8" t="s">
        <v>83</v>
      </c>
      <c r="U127" s="8" t="s">
        <v>84</v>
      </c>
      <c r="V127" s="11">
        <v>227.5</v>
      </c>
      <c r="W127" s="12">
        <v>1.952380952380952</v>
      </c>
      <c r="X127" s="12">
        <v>1.869565217391304</v>
      </c>
      <c r="Y127" s="13">
        <f>(1/R127)/((1/R127)+(1/S127))</f>
        <v>0.5720596355604638</v>
      </c>
      <c r="Z127" s="13">
        <f>(1/J127)/((1/J127)+(1/K127))</f>
        <v>0.5996387718242023</v>
      </c>
      <c r="AA127" s="14">
        <f>1/R127+1/S127-1</f>
        <v>0.04320276497695863</v>
      </c>
      <c r="AB127" s="15">
        <f>O127-I127</f>
        <v>1.0</v>
      </c>
      <c r="AC127" s="15">
        <f>IF(G127="","",G127-O127)</f>
        <v>0.0</v>
      </c>
      <c r="AD127" s="15">
        <f>H127-V127</f>
        <v>0.0</v>
      </c>
      <c r="AE127" s="16">
        <f>IF(F127&gt;E127,1,0)</f>
        <v>1</v>
      </c>
      <c r="AF127" s="16">
        <f>F127+E127</f>
        <v>212</v>
      </c>
      <c r="AG127" s="16">
        <f>IF(Y127=0.5,"",IF((Y127&gt;0.5)=(AE127=1),1,0))</f>
        <v>1</v>
      </c>
      <c r="AH127" s="16">
        <f>IF(Z127=0.5,"",IF((Z127&gt;0.5)=(AE127=1),1,0))</f>
        <v>1</v>
      </c>
      <c r="AI127" s="17" t="str">
        <f>IF(AF127&gt;V127,"Üst",IF(AF127&lt;V127,"Alt","Push"))</f>
        <v>Alt</v>
      </c>
    </row>
    <row r="128" spans="1:35">
      <c r="A128" s="7">
        <v>46101</v>
      </c>
      <c r="B128" s="8" t="s">
        <v>315</v>
      </c>
      <c r="C128" s="8" t="s">
        <v>101</v>
      </c>
      <c r="D128" s="8" t="s">
        <v>47</v>
      </c>
      <c r="E128" s="9">
        <v>117</v>
      </c>
      <c r="F128" s="9">
        <v>112</v>
      </c>
      <c r="G128" s="10">
        <v>15.5</v>
      </c>
      <c r="H128" s="11">
        <v>230.5</v>
      </c>
      <c r="I128" s="10">
        <v>14.5</v>
      </c>
      <c r="J128" s="12">
        <v>7</v>
      </c>
      <c r="K128" s="12">
        <v>1.111111111111111</v>
      </c>
      <c r="L128" s="11">
        <v>228.5</v>
      </c>
      <c r="M128" s="12">
        <v>1.909090909090909</v>
      </c>
      <c r="N128" s="12">
        <v>1.909090909090909</v>
      </c>
      <c r="O128" s="10">
        <v>15.5</v>
      </c>
      <c r="P128" s="12">
        <v>1.909090909090909</v>
      </c>
      <c r="Q128" s="12">
        <v>1.909090909090909</v>
      </c>
      <c r="R128" s="12">
        <v>9</v>
      </c>
      <c r="S128" s="12">
        <v>1.074074074074074</v>
      </c>
      <c r="T128" s="8" t="s">
        <v>316</v>
      </c>
      <c r="U128" s="8" t="s">
        <v>317</v>
      </c>
      <c r="V128" s="11">
        <v>230.5</v>
      </c>
      <c r="W128" s="12">
        <v>1.909090909090909</v>
      </c>
      <c r="X128" s="12">
        <v>1.909090909090909</v>
      </c>
      <c r="Y128" s="13">
        <f>(1/R128)/((1/R128)+(1/S128))</f>
        <v>0.10661764705882351</v>
      </c>
      <c r="Z128" s="13">
        <f>(1/J128)/((1/J128)+(1/K128))</f>
        <v>0.13698630136986303</v>
      </c>
      <c r="AA128" s="14">
        <f>1/R128+1/S128-1</f>
        <v>0.042145593869731934</v>
      </c>
      <c r="AB128" s="15">
        <f>O128-I128</f>
        <v>1.0</v>
      </c>
      <c r="AC128" s="15">
        <f>IF(G128="","",G128-O128)</f>
        <v>0.0</v>
      </c>
      <c r="AD128" s="15">
        <f>H128-V128</f>
        <v>0.0</v>
      </c>
      <c r="AE128" s="16">
        <f>IF(F128&gt;E128,1,0)</f>
        <v>0</v>
      </c>
      <c r="AF128" s="16">
        <f>F128+E128</f>
        <v>229</v>
      </c>
      <c r="AG128" s="16">
        <f>IF(Y128=0.5,"",IF((Y128&gt;0.5)=(AE128=1),1,0))</f>
        <v>1</v>
      </c>
      <c r="AH128" s="16">
        <f>IF(Z128=0.5,"",IF((Z128&gt;0.5)=(AE128=1),1,0))</f>
        <v>1</v>
      </c>
      <c r="AI128" s="17" t="str">
        <f>IF(AF128&gt;V128,"Üst",IF(AF128&lt;V128,"Alt","Push"))</f>
        <v>Alt</v>
      </c>
    </row>
    <row r="129" spans="1:35">
      <c r="A129" s="7">
        <v>46101</v>
      </c>
      <c r="B129" s="8" t="s">
        <v>318</v>
      </c>
      <c r="C129" s="8" t="s">
        <v>46</v>
      </c>
      <c r="D129" s="8" t="s">
        <v>77</v>
      </c>
      <c r="E129" s="9">
        <v>108</v>
      </c>
      <c r="F129" s="9">
        <v>104</v>
      </c>
      <c r="G129" s="10">
        <v>-1.5</v>
      </c>
      <c r="H129" s="11">
        <v>231.5</v>
      </c>
      <c r="I129" s="10">
        <v>-2.5</v>
      </c>
      <c r="J129" s="12">
        <v>1.740740740740741</v>
      </c>
      <c r="K129" s="12">
        <v>2.14</v>
      </c>
      <c r="L129" s="11">
        <v>229.5</v>
      </c>
      <c r="M129" s="12">
        <v>1.909090909090909</v>
      </c>
      <c r="N129" s="12">
        <v>1.909090909090909</v>
      </c>
      <c r="O129" s="10">
        <v>-1.5</v>
      </c>
      <c r="P129" s="12">
        <v>1.952380952380952</v>
      </c>
      <c r="Q129" s="12">
        <v>1.869565217391304</v>
      </c>
      <c r="R129" s="12">
        <v>1.869565217391304</v>
      </c>
      <c r="S129" s="12">
        <v>1.952380952380952</v>
      </c>
      <c r="T129" s="8" t="s">
        <v>53</v>
      </c>
      <c r="U129" s="8" t="s">
        <v>54</v>
      </c>
      <c r="V129" s="11">
        <v>231.5</v>
      </c>
      <c r="W129" s="12">
        <v>1.925925925925926</v>
      </c>
      <c r="X129" s="12">
        <v>1.892857142857143</v>
      </c>
      <c r="Y129" s="13">
        <f>(1/R129)/((1/R129)+(1/S129))</f>
        <v>0.5108342361863489</v>
      </c>
      <c r="Z129" s="13">
        <f>(1/J129)/((1/J129)+(1/K129))</f>
        <v>0.551441114716549</v>
      </c>
      <c r="AA129" s="14">
        <f>1/R129+1/S129-1</f>
        <v>0.04707884288145214</v>
      </c>
      <c r="AB129" s="15">
        <f>O129-I129</f>
        <v>1.0</v>
      </c>
      <c r="AC129" s="15">
        <f>IF(G129="","",G129-O129)</f>
        <v>0.0</v>
      </c>
      <c r="AD129" s="15">
        <f>H129-V129</f>
        <v>0.0</v>
      </c>
      <c r="AE129" s="16">
        <f>IF(F129&gt;E129,1,0)</f>
        <v>0</v>
      </c>
      <c r="AF129" s="16">
        <f>F129+E129</f>
        <v>212</v>
      </c>
      <c r="AG129" s="16">
        <f>IF(Y129=0.5,"",IF((Y129&gt;0.5)=(AE129=1),1,0))</f>
        <v>0</v>
      </c>
      <c r="AH129" s="16">
        <f>IF(Z129=0.5,"",IF((Z129&gt;0.5)=(AE129=1),1,0))</f>
        <v>0</v>
      </c>
      <c r="AI129" s="17" t="str">
        <f>IF(AF129&gt;V129,"Üst",IF(AF129&lt;V129,"Alt","Push"))</f>
        <v>Alt</v>
      </c>
    </row>
    <row r="130" spans="1:35">
      <c r="A130" s="7">
        <v>46101</v>
      </c>
      <c r="B130" s="8" t="s">
        <v>319</v>
      </c>
      <c r="C130" s="8" t="s">
        <v>76</v>
      </c>
      <c r="D130" s="8" t="s">
        <v>92</v>
      </c>
      <c r="E130" s="9">
        <v>115</v>
      </c>
      <c r="F130" s="9">
        <v>121</v>
      </c>
      <c r="G130" s="10">
        <v>-6.5</v>
      </c>
      <c r="H130" s="11">
        <v>239.5</v>
      </c>
      <c r="I130" s="10">
        <v>-6.5</v>
      </c>
      <c r="J130" s="12">
        <v>1.387596899224806</v>
      </c>
      <c r="K130" s="12">
        <v>3.1</v>
      </c>
      <c r="L130" s="11">
        <v>234.5</v>
      </c>
      <c r="M130" s="12">
        <v>1.909090909090909</v>
      </c>
      <c r="N130" s="12">
        <v>1.909090909090909</v>
      </c>
      <c r="O130" s="10">
        <v>-6.5</v>
      </c>
      <c r="P130" s="12">
        <v>1.892857142857143</v>
      </c>
      <c r="Q130" s="12">
        <v>1.925925925925926</v>
      </c>
      <c r="R130" s="12">
        <v>1.37037037037037</v>
      </c>
      <c r="S130" s="12">
        <v>3.2</v>
      </c>
      <c r="T130" s="8" t="s">
        <v>320</v>
      </c>
      <c r="U130" s="8" t="s">
        <v>321</v>
      </c>
      <c r="V130" s="11">
        <v>239.5</v>
      </c>
      <c r="W130" s="12">
        <v>1.952380952380952</v>
      </c>
      <c r="X130" s="12">
        <v>1.869565217391304</v>
      </c>
      <c r="Y130" s="13">
        <f>(1/R130)/((1/R130)+(1/S130))</f>
        <v>0.700162074554295</v>
      </c>
      <c r="Z130" s="13">
        <f>(1/J130)/((1/J130)+(1/K130))</f>
        <v>0.690792883054068</v>
      </c>
      <c r="AA130" s="14">
        <f>1/R130+1/S130-1</f>
        <v>0.042229729729729826</v>
      </c>
      <c r="AB130" s="15">
        <f>O130-I130</f>
        <v>0.0</v>
      </c>
      <c r="AC130" s="15">
        <f>IF(G130="","",G130-O130)</f>
        <v>0.0</v>
      </c>
      <c r="AD130" s="15">
        <f>H130-V130</f>
        <v>0.0</v>
      </c>
      <c r="AE130" s="16">
        <f>IF(F130&gt;E130,1,0)</f>
        <v>1</v>
      </c>
      <c r="AF130" s="16">
        <f>F130+E130</f>
        <v>236</v>
      </c>
      <c r="AG130" s="16">
        <f>IF(Y130=0.5,"",IF((Y130&gt;0.5)=(AE130=1),1,0))</f>
        <v>1</v>
      </c>
      <c r="AH130" s="16">
        <f>IF(Z130=0.5,"",IF((Z130&gt;0.5)=(AE130=1),1,0))</f>
        <v>1</v>
      </c>
      <c r="AI130" s="17" t="str">
        <f>IF(AF130&gt;V130,"Üst",IF(AF130&lt;V130,"Alt","Push"))</f>
        <v>Alt</v>
      </c>
    </row>
    <row r="131" spans="1:35">
      <c r="A131" s="7">
        <v>46102</v>
      </c>
      <c r="B131" s="8" t="s">
        <v>322</v>
      </c>
      <c r="C131" s="8" t="s">
        <v>130</v>
      </c>
      <c r="D131" s="8" t="s">
        <v>64</v>
      </c>
      <c r="E131" s="9">
        <v>132</v>
      </c>
      <c r="F131" s="9">
        <v>111</v>
      </c>
      <c r="G131" s="10">
        <v>21.5</v>
      </c>
      <c r="H131" s="11">
        <v>230.5</v>
      </c>
      <c r="I131" s="10">
        <v>21.5</v>
      </c>
      <c r="J131" s="12">
        <v>18</v>
      </c>
      <c r="K131" s="12">
        <v>1.022222222222222</v>
      </c>
      <c r="L131" s="11">
        <v>228.5</v>
      </c>
      <c r="M131" s="12">
        <v>1.909090909090909</v>
      </c>
      <c r="N131" s="12">
        <v>1.909090909090909</v>
      </c>
      <c r="O131" s="10">
        <v>21.5</v>
      </c>
      <c r="P131" s="12">
        <v>1.909090909090909</v>
      </c>
      <c r="Q131" s="12">
        <v>1.909090909090909</v>
      </c>
      <c r="R131" s="12">
        <v>14</v>
      </c>
      <c r="S131" s="12">
        <v>1.035714285714286</v>
      </c>
      <c r="T131" s="8" t="s">
        <v>323</v>
      </c>
      <c r="U131" s="8" t="s">
        <v>324</v>
      </c>
      <c r="V131" s="11">
        <v>230.5</v>
      </c>
      <c r="W131" s="12">
        <v>1.869565217391304</v>
      </c>
      <c r="X131" s="12">
        <v>1.952380952380952</v>
      </c>
      <c r="Y131" s="13">
        <f>(1/R131)/((1/R131)+(1/S131))</f>
        <v>0.06888361045130642</v>
      </c>
      <c r="Z131" s="13">
        <f>(1/J131)/((1/J131)+(1/K131))</f>
        <v>0.05373831775700934</v>
      </c>
      <c r="AA131" s="14">
        <f>1/R131+1/S131-1</f>
        <v>0.03694581280788167</v>
      </c>
      <c r="AB131" s="15">
        <f>O131-I131</f>
        <v>0.0</v>
      </c>
      <c r="AC131" s="15">
        <f>IF(G131="","",G131-O131)</f>
        <v>0.0</v>
      </c>
      <c r="AD131" s="15">
        <f>H131-V131</f>
        <v>0.0</v>
      </c>
      <c r="AE131" s="16">
        <f>IF(F131&gt;E131,1,0)</f>
        <v>0</v>
      </c>
      <c r="AF131" s="16">
        <f>F131+E131</f>
        <v>243</v>
      </c>
      <c r="AG131" s="16">
        <f>IF(Y131=0.5,"",IF((Y131&gt;0.5)=(AE131=1),1,0))</f>
        <v>1</v>
      </c>
      <c r="AH131" s="16">
        <f>IF(Z131=0.5,"",IF((Z131&gt;0.5)=(AE131=1),1,0))</f>
        <v>1</v>
      </c>
      <c r="AI131" s="17" t="str">
        <f>IF(AF131&gt;V131,"Üst",IF(AF131&lt;V131,"Alt","Push"))</f>
        <v>Üst</v>
      </c>
    </row>
    <row r="132" spans="1:35">
      <c r="A132" s="7">
        <v>46102</v>
      </c>
      <c r="B132" s="8" t="s">
        <v>325</v>
      </c>
      <c r="C132" s="8" t="s">
        <v>47</v>
      </c>
      <c r="D132" s="8" t="s">
        <v>105</v>
      </c>
      <c r="E132" s="9">
        <v>101</v>
      </c>
      <c r="F132" s="9">
        <v>124</v>
      </c>
      <c r="G132" s="10">
        <v>-18.5</v>
      </c>
      <c r="H132" s="11">
        <v>233.5</v>
      </c>
      <c r="I132" s="10">
        <v>-15.5</v>
      </c>
      <c r="J132" s="12">
        <v>1.083333333333333</v>
      </c>
      <c r="K132" s="12">
        <v>8.5</v>
      </c>
      <c r="L132" s="11">
        <v>234.5</v>
      </c>
      <c r="M132" s="12">
        <v>1.909090909090909</v>
      </c>
      <c r="N132" s="12">
        <v>1.909090909090909</v>
      </c>
      <c r="O132" s="10">
        <v>-18.5</v>
      </c>
      <c r="P132" s="12">
        <v>1.869565217391304</v>
      </c>
      <c r="Q132" s="12">
        <v>1.952380952380952</v>
      </c>
      <c r="R132" s="12">
        <v>1.060606060606061</v>
      </c>
      <c r="S132" s="12">
        <v>10.5</v>
      </c>
      <c r="T132" s="8" t="s">
        <v>326</v>
      </c>
      <c r="U132" s="8" t="s">
        <v>327</v>
      </c>
      <c r="V132" s="11">
        <v>233.5</v>
      </c>
      <c r="W132" s="12">
        <v>1.952380952380952</v>
      </c>
      <c r="X132" s="12">
        <v>1.869565217391304</v>
      </c>
      <c r="Y132" s="13">
        <f>(1/R132)/((1/R132)+(1/S132))</f>
        <v>0.908256880733945</v>
      </c>
      <c r="Z132" s="13">
        <f>(1/J132)/((1/J132)+(1/K132))</f>
        <v>0.8869565217391304</v>
      </c>
      <c r="AA132" s="14">
        <f>1/R132+1/S132-1</f>
        <v>0.03809523809523818</v>
      </c>
      <c r="AB132" s="15">
        <f>O132-I132</f>
        <v>-3.0</v>
      </c>
      <c r="AC132" s="15">
        <f>IF(G132="","",G132-O132)</f>
        <v>0.0</v>
      </c>
      <c r="AD132" s="15">
        <f>H132-V132</f>
        <v>0.0</v>
      </c>
      <c r="AE132" s="16">
        <f>IF(F132&gt;E132,1,0)</f>
        <v>1</v>
      </c>
      <c r="AF132" s="16">
        <f>F132+E132</f>
        <v>225</v>
      </c>
      <c r="AG132" s="16">
        <f>IF(Y132=0.5,"",IF((Y132&gt;0.5)=(AE132=1),1,0))</f>
        <v>1</v>
      </c>
      <c r="AH132" s="16">
        <f>IF(Z132=0.5,"",IF((Z132&gt;0.5)=(AE132=1),1,0))</f>
        <v>1</v>
      </c>
      <c r="AI132" s="17" t="str">
        <f>IF(AF132&gt;V132,"Üst",IF(AF132&lt;V132,"Alt","Push"))</f>
        <v>Alt</v>
      </c>
    </row>
    <row r="133" spans="1:35">
      <c r="A133" s="7">
        <v>46102</v>
      </c>
      <c r="B133" s="8" t="s">
        <v>328</v>
      </c>
      <c r="C133" s="8" t="s">
        <v>91</v>
      </c>
      <c r="D133" s="8" t="s">
        <v>62</v>
      </c>
      <c r="E133" s="9">
        <v>105</v>
      </c>
      <c r="F133" s="9">
        <v>104</v>
      </c>
      <c r="G133" s="10">
        <v>2.5</v>
      </c>
      <c r="H133" s="11">
        <v>233.5</v>
      </c>
      <c r="I133" s="10">
        <v>2.5</v>
      </c>
      <c r="J133" s="12">
        <v>2.2</v>
      </c>
      <c r="K133" s="12">
        <v>1.704225352112676</v>
      </c>
      <c r="L133" s="11">
        <v>231.5</v>
      </c>
      <c r="M133" s="12">
        <v>1.909090909090909</v>
      </c>
      <c r="N133" s="12">
        <v>1.909090909090909</v>
      </c>
      <c r="O133" s="10">
        <v>2.5</v>
      </c>
      <c r="P133" s="12">
        <v>1.980392156862745</v>
      </c>
      <c r="Q133" s="12">
        <v>1.847457627118644</v>
      </c>
      <c r="R133" s="12">
        <v>2.3</v>
      </c>
      <c r="S133" s="12">
        <v>1.645161290322581</v>
      </c>
      <c r="T133" s="8" t="s">
        <v>164</v>
      </c>
      <c r="U133" s="8" t="s">
        <v>163</v>
      </c>
      <c r="V133" s="11">
        <v>234.5</v>
      </c>
      <c r="W133" s="12">
        <v>1.925925925925926</v>
      </c>
      <c r="X133" s="12">
        <v>1.892857142857143</v>
      </c>
      <c r="Y133" s="13">
        <f>(1/R133)/((1/R133)+(1/S133))</f>
        <v>0.41700735895339325</v>
      </c>
      <c r="Z133" s="13">
        <f>(1/J133)/((1/J133)+(1/K133))</f>
        <v>0.43650793650793646</v>
      </c>
      <c r="AA133" s="14">
        <f>1/R133+1/S133-1</f>
        <v>0.04262574595055435</v>
      </c>
      <c r="AB133" s="15">
        <f>O133-I133</f>
        <v>0.0</v>
      </c>
      <c r="AC133" s="15">
        <f>IF(G133="","",G133-O133)</f>
        <v>0.0</v>
      </c>
      <c r="AD133" s="15">
        <f>H133-V133</f>
        <v>-1.0</v>
      </c>
      <c r="AE133" s="16">
        <f>IF(F133&gt;E133,1,0)</f>
        <v>0</v>
      </c>
      <c r="AF133" s="16">
        <f>F133+E133</f>
        <v>209</v>
      </c>
      <c r="AG133" s="16">
        <f>IF(Y133=0.5,"",IF((Y133&gt;0.5)=(AE133=1),1,0))</f>
        <v>1</v>
      </c>
      <c r="AH133" s="16">
        <f>IF(Z133=0.5,"",IF((Z133&gt;0.5)=(AE133=1),1,0))</f>
        <v>1</v>
      </c>
      <c r="AI133" s="17" t="str">
        <f>IF(AF133&gt;V133,"Üst",IF(AF133&lt;V133,"Alt","Push"))</f>
        <v>Alt</v>
      </c>
    </row>
    <row r="134" spans="1:35">
      <c r="A134" s="7">
        <v>46102</v>
      </c>
      <c r="B134" s="8" t="s">
        <v>329</v>
      </c>
      <c r="C134" s="8" t="s">
        <v>134</v>
      </c>
      <c r="D134" s="8" t="s">
        <v>96</v>
      </c>
      <c r="E134" s="9">
        <v>111</v>
      </c>
      <c r="F134" s="9">
        <v>106</v>
      </c>
      <c r="G134" s="10">
        <v>4.5</v>
      </c>
      <c r="H134" s="11">
        <v>238.5</v>
      </c>
      <c r="I134" s="10">
        <v>5.5</v>
      </c>
      <c r="J134" s="12">
        <v>2.7</v>
      </c>
      <c r="K134" s="12">
        <v>1.48780487804878</v>
      </c>
      <c r="L134" s="11">
        <v>233.5</v>
      </c>
      <c r="M134" s="12">
        <v>1.909090909090909</v>
      </c>
      <c r="N134" s="12">
        <v>1.909090909090909</v>
      </c>
      <c r="O134" s="10">
        <v>4.5</v>
      </c>
      <c r="P134" s="12">
        <v>1.925925925925926</v>
      </c>
      <c r="Q134" s="12">
        <v>1.892857142857143</v>
      </c>
      <c r="R134" s="12">
        <v>2.7</v>
      </c>
      <c r="S134" s="12">
        <v>1.48780487804878</v>
      </c>
      <c r="T134" s="8" t="s">
        <v>152</v>
      </c>
      <c r="U134" s="8" t="s">
        <v>153</v>
      </c>
      <c r="V134" s="11">
        <v>237.5</v>
      </c>
      <c r="W134" s="12">
        <v>1.892857142857143</v>
      </c>
      <c r="X134" s="12">
        <v>1.925925925925926</v>
      </c>
      <c r="Y134" s="13">
        <f>(1/R134)/((1/R134)+(1/S134))</f>
        <v>0.35527082119976705</v>
      </c>
      <c r="Z134" s="13">
        <f>(1/J134)/((1/J134)+(1/K134))</f>
        <v>0.35527082119976705</v>
      </c>
      <c r="AA134" s="14">
        <f>1/R134+1/S134-1</f>
        <v>0.042501517911353925</v>
      </c>
      <c r="AB134" s="15">
        <f>O134-I134</f>
        <v>-1.0</v>
      </c>
      <c r="AC134" s="15">
        <f>IF(G134="","",G134-O134)</f>
        <v>0.0</v>
      </c>
      <c r="AD134" s="15">
        <f>H134-V134</f>
        <v>1.0</v>
      </c>
      <c r="AE134" s="16">
        <f>IF(F134&gt;E134,1,0)</f>
        <v>0</v>
      </c>
      <c r="AF134" s="16">
        <f>F134+E134</f>
        <v>217</v>
      </c>
      <c r="AG134" s="16">
        <f>IF(Y134=0.5,"",IF((Y134&gt;0.5)=(AE134=1),1,0))</f>
        <v>1</v>
      </c>
      <c r="AH134" s="16">
        <f>IF(Z134=0.5,"",IF((Z134&gt;0.5)=(AE134=1),1,0))</f>
        <v>1</v>
      </c>
      <c r="AI134" s="17" t="str">
        <f>IF(AF134&gt;V134,"Üst",IF(AF134&lt;V134,"Alt","Push"))</f>
        <v>Alt</v>
      </c>
    </row>
    <row r="135" spans="1:35">
      <c r="A135" s="7">
        <v>46102</v>
      </c>
      <c r="B135" s="8" t="s">
        <v>330</v>
      </c>
      <c r="C135" s="8" t="s">
        <v>73</v>
      </c>
      <c r="D135" s="8" t="s">
        <v>51</v>
      </c>
      <c r="E135" s="9">
        <v>110</v>
      </c>
      <c r="F135" s="9">
        <v>126</v>
      </c>
      <c r="G135" s="10">
        <v>-7.5</v>
      </c>
      <c r="H135" s="11">
        <v>228.5</v>
      </c>
      <c r="I135" s="10">
        <v>-8.5</v>
      </c>
      <c r="J135" s="12">
        <v>1.277777777777778</v>
      </c>
      <c r="K135" s="12">
        <v>3.85</v>
      </c>
      <c r="L135" s="11">
        <v>228.5</v>
      </c>
      <c r="M135" s="12">
        <v>1.909090909090909</v>
      </c>
      <c r="N135" s="12">
        <v>1.909090909090909</v>
      </c>
      <c r="O135" s="10">
        <v>-7.5</v>
      </c>
      <c r="P135" s="12">
        <v>1.909090909090909</v>
      </c>
      <c r="Q135" s="12">
        <v>1.909090909090909</v>
      </c>
      <c r="R135" s="12">
        <v>1.32258064516129</v>
      </c>
      <c r="S135" s="12">
        <v>3.5</v>
      </c>
      <c r="T135" s="8" t="s">
        <v>260</v>
      </c>
      <c r="U135" s="8" t="s">
        <v>259</v>
      </c>
      <c r="V135" s="11">
        <v>228.5</v>
      </c>
      <c r="W135" s="12">
        <v>1.952380952380952</v>
      </c>
      <c r="X135" s="12">
        <v>1.869565217391304</v>
      </c>
      <c r="Y135" s="13">
        <f>(1/R135)/((1/R135)+(1/S135))</f>
        <v>0.725752508361204</v>
      </c>
      <c r="Z135" s="13">
        <f>(1/J135)/((1/J135)+(1/K135))</f>
        <v>0.7508125677139762</v>
      </c>
      <c r="AA135" s="14">
        <f>1/R135+1/S135-1</f>
        <v>0.04181184668989557</v>
      </c>
      <c r="AB135" s="15">
        <f>O135-I135</f>
        <v>1.0</v>
      </c>
      <c r="AC135" s="15">
        <f>IF(G135="","",G135-O135)</f>
        <v>0.0</v>
      </c>
      <c r="AD135" s="15">
        <f>H135-V135</f>
        <v>0.0</v>
      </c>
      <c r="AE135" s="16">
        <f>IF(F135&gt;E135,1,0)</f>
        <v>1</v>
      </c>
      <c r="AF135" s="16">
        <f>F135+E135</f>
        <v>236</v>
      </c>
      <c r="AG135" s="16">
        <f>IF(Y135=0.5,"",IF((Y135&gt;0.5)=(AE135=1),1,0))</f>
        <v>1</v>
      </c>
      <c r="AH135" s="16">
        <f>IF(Z135=0.5,"",IF((Z135&gt;0.5)=(AE135=1),1,0))</f>
        <v>1</v>
      </c>
      <c r="AI135" s="17" t="str">
        <f>IF(AF135&gt;V135,"Üst",IF(AF135&lt;V135,"Alt","Push"))</f>
        <v>Üst</v>
      </c>
    </row>
    <row r="136" spans="1:35">
      <c r="A136" s="7">
        <v>46102</v>
      </c>
      <c r="B136" s="8" t="s">
        <v>331</v>
      </c>
      <c r="C136" s="8" t="s">
        <v>69</v>
      </c>
      <c r="D136" s="8" t="s">
        <v>74</v>
      </c>
      <c r="E136" s="9">
        <v>122</v>
      </c>
      <c r="F136" s="9">
        <v>123</v>
      </c>
      <c r="G136" s="10">
        <v>-2.5</v>
      </c>
      <c r="H136" s="11">
        <v>228.5</v>
      </c>
      <c r="I136" s="10">
        <v>-2.5</v>
      </c>
      <c r="J136" s="12">
        <v>1.740740740740741</v>
      </c>
      <c r="K136" s="12">
        <v>2.14</v>
      </c>
      <c r="L136" s="11">
        <v>228.5</v>
      </c>
      <c r="M136" s="12">
        <v>1.909090909090909</v>
      </c>
      <c r="N136" s="12">
        <v>1.909090909090909</v>
      </c>
      <c r="O136" s="10">
        <v>-2.5</v>
      </c>
      <c r="P136" s="12">
        <v>1.892857142857143</v>
      </c>
      <c r="Q136" s="12">
        <v>1.925925925925926</v>
      </c>
      <c r="R136" s="12">
        <v>1.704225352112676</v>
      </c>
      <c r="S136" s="12">
        <v>2.2</v>
      </c>
      <c r="T136" s="8" t="s">
        <v>191</v>
      </c>
      <c r="U136" s="8" t="s">
        <v>190</v>
      </c>
      <c r="V136" s="11">
        <v>228.5</v>
      </c>
      <c r="W136" s="12">
        <v>1.909090909090909</v>
      </c>
      <c r="X136" s="12">
        <v>1.909090909090909</v>
      </c>
      <c r="Y136" s="13">
        <f>(1/R136)/((1/R136)+(1/S136))</f>
        <v>0.5634920634920635</v>
      </c>
      <c r="Z136" s="13">
        <f>(1/J136)/((1/J136)+(1/K136))</f>
        <v>0.551441114716549</v>
      </c>
      <c r="AA136" s="14">
        <f>1/R136+1/S136-1</f>
        <v>0.04132231404958686</v>
      </c>
      <c r="AB136" s="15">
        <f>O136-I136</f>
        <v>0.0</v>
      </c>
      <c r="AC136" s="15">
        <f>IF(G136="","",G136-O136)</f>
        <v>0.0</v>
      </c>
      <c r="AD136" s="15">
        <f>H136-V136</f>
        <v>0.0</v>
      </c>
      <c r="AE136" s="16">
        <f>IF(F136&gt;E136,1,0)</f>
        <v>1</v>
      </c>
      <c r="AF136" s="16">
        <f>F136+E136</f>
        <v>245</v>
      </c>
      <c r="AG136" s="16">
        <f>IF(Y136=0.5,"",IF((Y136&gt;0.5)=(AE136=1),1,0))</f>
        <v>1</v>
      </c>
      <c r="AH136" s="16">
        <f>IF(Z136=0.5,"",IF((Z136&gt;0.5)=(AE136=1),1,0))</f>
        <v>1</v>
      </c>
      <c r="AI136" s="17" t="str">
        <f>IF(AF136&gt;V136,"Üst",IF(AF136&lt;V136,"Alt","Push"))</f>
        <v>Üst</v>
      </c>
    </row>
    <row r="137" spans="1:35">
      <c r="A137" s="7">
        <v>46102</v>
      </c>
      <c r="B137" s="8" t="s">
        <v>332</v>
      </c>
      <c r="C137" s="8" t="s">
        <v>56</v>
      </c>
      <c r="D137" s="8" t="s">
        <v>82</v>
      </c>
      <c r="E137" s="9">
        <v>119</v>
      </c>
      <c r="F137" s="9">
        <v>134</v>
      </c>
      <c r="G137" s="10">
        <v>-16.5</v>
      </c>
      <c r="H137" s="11">
        <v>234.5</v>
      </c>
      <c r="I137" s="10">
        <v>-17.5</v>
      </c>
      <c r="J137" s="12">
        <v>1.055555555555556</v>
      </c>
      <c r="K137" s="12">
        <v>11</v>
      </c>
      <c r="L137" s="11">
        <v>231.5</v>
      </c>
      <c r="M137" s="12">
        <v>1.909090909090909</v>
      </c>
      <c r="N137" s="12">
        <v>1.909090909090909</v>
      </c>
      <c r="O137" s="10">
        <v>-16.5</v>
      </c>
      <c r="P137" s="12">
        <v>1.909090909090909</v>
      </c>
      <c r="Q137" s="12">
        <v>1.909090909090909</v>
      </c>
      <c r="R137" s="12">
        <v>1.0625</v>
      </c>
      <c r="S137" s="12">
        <v>10</v>
      </c>
      <c r="T137" s="8" t="s">
        <v>218</v>
      </c>
      <c r="U137" s="8" t="s">
        <v>219</v>
      </c>
      <c r="V137" s="11">
        <v>235.5</v>
      </c>
      <c r="W137" s="12">
        <v>1.892857142857143</v>
      </c>
      <c r="X137" s="12">
        <v>1.925925925925926</v>
      </c>
      <c r="Y137" s="13">
        <f>(1/R137)/((1/R137)+(1/S137))</f>
        <v>0.9039548022598869</v>
      </c>
      <c r="Z137" s="13">
        <f>(1/J137)/((1/J137)+(1/K137))</f>
        <v>0.912442396313364</v>
      </c>
      <c r="AA137" s="14">
        <f>1/R137+1/S137-1</f>
        <v>0.04117647058823537</v>
      </c>
      <c r="AB137" s="15">
        <f>O137-I137</f>
        <v>1.0</v>
      </c>
      <c r="AC137" s="15">
        <f>IF(G137="","",G137-O137)</f>
        <v>0.0</v>
      </c>
      <c r="AD137" s="15">
        <f>H137-V137</f>
        <v>-1.0</v>
      </c>
      <c r="AE137" s="16">
        <f>IF(F137&gt;E137,1,0)</f>
        <v>1</v>
      </c>
      <c r="AF137" s="16">
        <f>F137+E137</f>
        <v>253</v>
      </c>
      <c r="AG137" s="16">
        <f>IF(Y137=0.5,"",IF((Y137&gt;0.5)=(AE137=1),1,0))</f>
        <v>1</v>
      </c>
      <c r="AH137" s="16">
        <f>IF(Z137=0.5,"",IF((Z137&gt;0.5)=(AE137=1),1,0))</f>
        <v>1</v>
      </c>
      <c r="AI137" s="17" t="str">
        <f>IF(AF137&gt;V137,"Üst",IF(AF137&lt;V137,"Alt","Push"))</f>
        <v>Üst</v>
      </c>
    </row>
    <row r="138" spans="1:35">
      <c r="A138" s="7">
        <v>46102</v>
      </c>
      <c r="B138" s="8" t="s">
        <v>333</v>
      </c>
      <c r="C138" s="8" t="s">
        <v>57</v>
      </c>
      <c r="D138" s="8" t="s">
        <v>61</v>
      </c>
      <c r="E138" s="9">
        <v>138</v>
      </c>
      <c r="F138" s="9">
        <v>131</v>
      </c>
      <c r="G138" s="10">
        <v>7.5</v>
      </c>
      <c r="H138" s="11">
        <v>233.5</v>
      </c>
      <c r="I138" s="10">
        <v>7.5</v>
      </c>
      <c r="J138" s="12">
        <v>3.35</v>
      </c>
      <c r="K138" s="12">
        <v>1.344827586206897</v>
      </c>
      <c r="L138" s="11">
        <v>232.5</v>
      </c>
      <c r="M138" s="12">
        <v>1.909090909090909</v>
      </c>
      <c r="N138" s="12">
        <v>1.909090909090909</v>
      </c>
      <c r="O138" s="10">
        <v>7.5</v>
      </c>
      <c r="P138" s="12">
        <v>1.833333333333333</v>
      </c>
      <c r="Q138" s="12">
        <v>2</v>
      </c>
      <c r="R138" s="12">
        <v>3.2</v>
      </c>
      <c r="S138" s="12">
        <v>1.37037037037037</v>
      </c>
      <c r="T138" s="8" t="s">
        <v>321</v>
      </c>
      <c r="U138" s="8" t="s">
        <v>320</v>
      </c>
      <c r="V138" s="11">
        <v>233.5</v>
      </c>
      <c r="W138" s="12">
        <v>1.952380952380952</v>
      </c>
      <c r="X138" s="12">
        <v>1.869565217391304</v>
      </c>
      <c r="Y138" s="13">
        <f>(1/R138)/((1/R138)+(1/S138))</f>
        <v>0.299837925445705</v>
      </c>
      <c r="Z138" s="13">
        <f>(1/J138)/((1/J138)+(1/K138))</f>
        <v>0.28644876973925815</v>
      </c>
      <c r="AA138" s="14">
        <f>1/R138+1/S138-1</f>
        <v>0.042229729729729826</v>
      </c>
      <c r="AB138" s="15">
        <f>O138-I138</f>
        <v>0.0</v>
      </c>
      <c r="AC138" s="15">
        <f>IF(G138="","",G138-O138)</f>
        <v>0.0</v>
      </c>
      <c r="AD138" s="15">
        <f>H138-V138</f>
        <v>0.0</v>
      </c>
      <c r="AE138" s="16">
        <f>IF(F138&gt;E138,1,0)</f>
        <v>0</v>
      </c>
      <c r="AF138" s="16">
        <f>F138+E138</f>
        <v>269</v>
      </c>
      <c r="AG138" s="16">
        <f>IF(Y138=0.5,"",IF((Y138&gt;0.5)=(AE138=1),1,0))</f>
        <v>1</v>
      </c>
      <c r="AH138" s="16">
        <f>IF(Z138=0.5,"",IF((Z138&gt;0.5)=(AE138=1),1,0))</f>
        <v>1</v>
      </c>
      <c r="AI138" s="17" t="str">
        <f>IF(AF138&gt;V138,"Üst",IF(AF138&lt;V138,"Alt","Push"))</f>
        <v>Üst</v>
      </c>
    </row>
    <row r="139" spans="1:35">
      <c r="A139" s="7">
        <v>46102</v>
      </c>
      <c r="B139" s="8" t="s">
        <v>334</v>
      </c>
      <c r="C139" s="8" t="s">
        <v>42</v>
      </c>
      <c r="D139" s="8" t="s">
        <v>41</v>
      </c>
      <c r="E139" s="9">
        <v>126</v>
      </c>
      <c r="F139" s="9">
        <v>116</v>
      </c>
      <c r="G139" s="10"/>
      <c r="H139" s="11">
        <v>229.5</v>
      </c>
      <c r="I139" s="10">
        <v>6.5</v>
      </c>
      <c r="J139" s="12">
        <v>3.2</v>
      </c>
      <c r="K139" s="12">
        <v>1.37037037037037</v>
      </c>
      <c r="L139" s="11">
        <v>233.5</v>
      </c>
      <c r="M139" s="12">
        <v>1.909090909090909</v>
      </c>
      <c r="N139" s="12">
        <v>1.909090909090909</v>
      </c>
      <c r="O139" s="10">
        <v>5.5</v>
      </c>
      <c r="P139" s="12">
        <v>1.925925925925926</v>
      </c>
      <c r="Q139" s="12">
        <v>1.892857142857143</v>
      </c>
      <c r="R139" s="12">
        <v>2.85</v>
      </c>
      <c r="S139" s="12">
        <v>1.444444444444444</v>
      </c>
      <c r="T139" s="8" t="s">
        <v>146</v>
      </c>
      <c r="U139" s="8" t="s">
        <v>147</v>
      </c>
      <c r="V139" s="11">
        <v>228.5</v>
      </c>
      <c r="W139" s="12">
        <v>1.925925925925926</v>
      </c>
      <c r="X139" s="12">
        <v>1.892857142857143</v>
      </c>
      <c r="Y139" s="13">
        <f>(1/R139)/((1/R139)+(1/S139))</f>
        <v>0.33635187580853815</v>
      </c>
      <c r="Z139" s="13">
        <f>(1/J139)/((1/J139)+(1/K139))</f>
        <v>0.299837925445705</v>
      </c>
      <c r="AA139" s="14">
        <f>1/R139+1/S139-1</f>
        <v>0.04318488529014841</v>
      </c>
      <c r="AB139" s="15">
        <f>O139-I139</f>
        <v>-1.0</v>
      </c>
      <c r="AC139" s="15">
        <f>IF(G139="","",G139-O139)</f>
        <v/>
      </c>
      <c r="AD139" s="15">
        <f>H139-V139</f>
        <v>1.0</v>
      </c>
      <c r="AE139" s="16">
        <f>IF(F139&gt;E139,1,0)</f>
        <v>0</v>
      </c>
      <c r="AF139" s="16">
        <f>F139+E139</f>
        <v>242</v>
      </c>
      <c r="AG139" s="16">
        <f>IF(Y139=0.5,"",IF((Y139&gt;0.5)=(AE139=1),1,0))</f>
        <v>1</v>
      </c>
      <c r="AH139" s="16">
        <f>IF(Z139=0.5,"",IF((Z139&gt;0.5)=(AE139=1),1,0))</f>
        <v>1</v>
      </c>
      <c r="AI139" s="17" t="str">
        <f>IF(AF139&gt;V139,"Üst",IF(AF139&lt;V139,"Alt","Push"))</f>
        <v>Üst</v>
      </c>
    </row>
    <row r="140" spans="1:35">
      <c r="A140" s="7">
        <v>46102</v>
      </c>
      <c r="B140" s="8" t="s">
        <v>335</v>
      </c>
      <c r="C140" s="8" t="s">
        <v>52</v>
      </c>
      <c r="D140" s="8" t="s">
        <v>87</v>
      </c>
      <c r="E140" s="9">
        <v>108</v>
      </c>
      <c r="F140" s="9">
        <v>105</v>
      </c>
      <c r="G140" s="10">
        <v>-11.5</v>
      </c>
      <c r="H140" s="11">
        <v>218.5</v>
      </c>
      <c r="I140" s="10">
        <v>-10.5</v>
      </c>
      <c r="J140" s="12">
        <v>1.206185567010309</v>
      </c>
      <c r="K140" s="12">
        <v>4.7</v>
      </c>
      <c r="L140" s="11">
        <v>219.5</v>
      </c>
      <c r="M140" s="12">
        <v>1.909090909090909</v>
      </c>
      <c r="N140" s="12">
        <v>1.909090909090909</v>
      </c>
      <c r="O140" s="10">
        <v>-11.5</v>
      </c>
      <c r="P140" s="12">
        <v>1.952380952380952</v>
      </c>
      <c r="Q140" s="12">
        <v>1.869565217391304</v>
      </c>
      <c r="R140" s="12">
        <v>1.166666666666667</v>
      </c>
      <c r="S140" s="12">
        <v>5.4</v>
      </c>
      <c r="T140" s="8" t="s">
        <v>88</v>
      </c>
      <c r="U140" s="8" t="s">
        <v>89</v>
      </c>
      <c r="V140" s="11">
        <v>218.5</v>
      </c>
      <c r="W140" s="12">
        <v>1.952380952380952</v>
      </c>
      <c r="X140" s="12">
        <v>1.869565217391304</v>
      </c>
      <c r="Y140" s="13">
        <f>(1/R140)/((1/R140)+(1/S140))</f>
        <v>0.8223350253807106</v>
      </c>
      <c r="Z140" s="13">
        <f>(1/J140)/((1/J140)+(1/K140))</f>
        <v>0.7957758771164253</v>
      </c>
      <c r="AA140" s="14">
        <f>1/R140+1/S140-1</f>
        <v>0.042328042328042326</v>
      </c>
      <c r="AB140" s="15">
        <f>O140-I140</f>
        <v>-1.0</v>
      </c>
      <c r="AC140" s="15">
        <f>IF(G140="","",G140-O140)</f>
        <v>0.0</v>
      </c>
      <c r="AD140" s="15">
        <f>H140-V140</f>
        <v>0.0</v>
      </c>
      <c r="AE140" s="16">
        <f>IF(F140&gt;E140,1,0)</f>
        <v>0</v>
      </c>
      <c r="AF140" s="16">
        <f>F140+E140</f>
        <v>213</v>
      </c>
      <c r="AG140" s="16">
        <f>IF(Y140=0.5,"",IF((Y140&gt;0.5)=(AE140=1),1,0))</f>
        <v>0</v>
      </c>
      <c r="AH140" s="16">
        <f>IF(Z140=0.5,"",IF((Z140&gt;0.5)=(AE140=1),1,0))</f>
        <v>0</v>
      </c>
      <c r="AI140" s="17" t="str">
        <f>IF(AF140&gt;V140,"Üst",IF(AF140&lt;V140,"Alt","Push"))</f>
        <v>Alt</v>
      </c>
    </row>
    <row r="141" spans="1:35">
      <c r="A141" s="7">
        <v>46103</v>
      </c>
      <c r="B141" s="8" t="s">
        <v>336</v>
      </c>
      <c r="C141" s="8" t="s">
        <v>46</v>
      </c>
      <c r="D141" s="8" t="s">
        <v>92</v>
      </c>
      <c r="E141" s="9">
        <v>112</v>
      </c>
      <c r="F141" s="9">
        <v>128</v>
      </c>
      <c r="G141" s="10">
        <v>-8.5</v>
      </c>
      <c r="H141" s="11">
        <v>236.5</v>
      </c>
      <c r="I141" s="10">
        <v>-8.5</v>
      </c>
      <c r="J141" s="12">
        <v>1.277777777777778</v>
      </c>
      <c r="K141" s="12">
        <v>3.85</v>
      </c>
      <c r="L141" s="11">
        <v>240.5</v>
      </c>
      <c r="M141" s="12">
        <v>1.952380952380952</v>
      </c>
      <c r="N141" s="12">
        <v>1.869565217391304</v>
      </c>
      <c r="O141" s="10">
        <v>-8.5</v>
      </c>
      <c r="P141" s="12">
        <v>2</v>
      </c>
      <c r="Q141" s="12">
        <v>1.833333333333333</v>
      </c>
      <c r="R141" s="12">
        <v>1.294117647058824</v>
      </c>
      <c r="S141" s="12">
        <v>3.7</v>
      </c>
      <c r="T141" s="8" t="s">
        <v>254</v>
      </c>
      <c r="U141" s="8" t="s">
        <v>253</v>
      </c>
      <c r="V141" s="11">
        <v>237.5</v>
      </c>
      <c r="W141" s="12">
        <v>1.869565217391304</v>
      </c>
      <c r="X141" s="12">
        <v>1.952380952380952</v>
      </c>
      <c r="Y141" s="13">
        <f>(1/R141)/((1/R141)+(1/S141))</f>
        <v>0.7408716136631331</v>
      </c>
      <c r="Z141" s="13">
        <f>(1/J141)/((1/J141)+(1/K141))</f>
        <v>0.7508125677139762</v>
      </c>
      <c r="AA141" s="14">
        <f>1/R141+1/S141-1</f>
        <v>0.04299754299754288</v>
      </c>
      <c r="AB141" s="15">
        <f>O141-I141</f>
        <v>0.0</v>
      </c>
      <c r="AC141" s="15">
        <f>IF(G141="","",G141-O141)</f>
        <v>0.0</v>
      </c>
      <c r="AD141" s="15">
        <f>H141-V141</f>
        <v>-1.0</v>
      </c>
      <c r="AE141" s="16">
        <f>IF(F141&gt;E141,1,0)</f>
        <v>1</v>
      </c>
      <c r="AF141" s="16">
        <f>F141+E141</f>
        <v>240</v>
      </c>
      <c r="AG141" s="16">
        <f>IF(Y141=0.5,"",IF((Y141&gt;0.5)=(AE141=1),1,0))</f>
        <v>1</v>
      </c>
      <c r="AH141" s="16">
        <f>IF(Z141=0.5,"",IF((Z141&gt;0.5)=(AE141=1),1,0))</f>
        <v>1</v>
      </c>
      <c r="AI141" s="17" t="str">
        <f>IF(AF141&gt;V141,"Üst",IF(AF141&lt;V141,"Alt","Push"))</f>
        <v>Üst</v>
      </c>
    </row>
    <row r="142" spans="1:35">
      <c r="A142" s="7">
        <v>46103</v>
      </c>
      <c r="B142" s="8" t="s">
        <v>337</v>
      </c>
      <c r="C142" s="8" t="s">
        <v>68</v>
      </c>
      <c r="D142" s="8" t="s">
        <v>97</v>
      </c>
      <c r="E142" s="9">
        <v>122</v>
      </c>
      <c r="F142" s="9">
        <v>126</v>
      </c>
      <c r="G142" s="10">
        <v>-6.5</v>
      </c>
      <c r="H142" s="11">
        <v>218.5</v>
      </c>
      <c r="I142" s="10">
        <v>-4.5</v>
      </c>
      <c r="J142" s="12">
        <v>1.540540540540541</v>
      </c>
      <c r="K142" s="12">
        <v>2.54</v>
      </c>
      <c r="L142" s="11">
        <v>218.5</v>
      </c>
      <c r="M142" s="12">
        <v>1.909090909090909</v>
      </c>
      <c r="N142" s="12">
        <v>1.909090909090909</v>
      </c>
      <c r="O142" s="10">
        <v>-6.5</v>
      </c>
      <c r="P142" s="12">
        <v>1.847457627118644</v>
      </c>
      <c r="Q142" s="12">
        <v>1.980392156862745</v>
      </c>
      <c r="R142" s="12">
        <v>1.4</v>
      </c>
      <c r="S142" s="12">
        <v>3.05</v>
      </c>
      <c r="T142" s="8" t="s">
        <v>310</v>
      </c>
      <c r="U142" s="8" t="s">
        <v>309</v>
      </c>
      <c r="V142" s="11">
        <v>218.5</v>
      </c>
      <c r="W142" s="12">
        <v>1.869565217391304</v>
      </c>
      <c r="X142" s="12">
        <v>1.952380952380952</v>
      </c>
      <c r="Y142" s="13">
        <f>(1/R142)/((1/R142)+(1/S142))</f>
        <v>0.6853932584269663</v>
      </c>
      <c r="Z142" s="13">
        <f>(1/J142)/((1/J142)+(1/K142))</f>
        <v>0.6224665518611737</v>
      </c>
      <c r="AA142" s="14">
        <f>1/R142+1/S142-1</f>
        <v>0.042154566744730726</v>
      </c>
      <c r="AB142" s="15">
        <f>O142-I142</f>
        <v>-2.0</v>
      </c>
      <c r="AC142" s="15">
        <f>IF(G142="","",G142-O142)</f>
        <v>0.0</v>
      </c>
      <c r="AD142" s="15">
        <f>H142-V142</f>
        <v>0.0</v>
      </c>
      <c r="AE142" s="16">
        <f>IF(F142&gt;E142,1,0)</f>
        <v>1</v>
      </c>
      <c r="AF142" s="16">
        <f>F142+E142</f>
        <v>248</v>
      </c>
      <c r="AG142" s="16">
        <f>IF(Y142=0.5,"",IF((Y142&gt;0.5)=(AE142=1),1,0))</f>
        <v>1</v>
      </c>
      <c r="AH142" s="16">
        <f>IF(Z142=0.5,"",IF((Z142&gt;0.5)=(AE142=1),1,0))</f>
        <v>1</v>
      </c>
      <c r="AI142" s="17" t="str">
        <f>IF(AF142&gt;V142,"Üst",IF(AF142&lt;V142,"Alt","Push"))</f>
        <v>Üst</v>
      </c>
    </row>
    <row r="143" spans="1:35">
      <c r="A143" s="7">
        <v>46103</v>
      </c>
      <c r="B143" s="8" t="s">
        <v>338</v>
      </c>
      <c r="C143" s="8" t="s">
        <v>64</v>
      </c>
      <c r="D143" s="8" t="s">
        <v>110</v>
      </c>
      <c r="E143" s="9">
        <v>113</v>
      </c>
      <c r="F143" s="9">
        <v>145</v>
      </c>
      <c r="G143" s="10">
        <v>-22.5</v>
      </c>
      <c r="H143" s="11">
        <v>229.5</v>
      </c>
      <c r="I143" s="10">
        <v>-18.5</v>
      </c>
      <c r="J143" s="12">
        <v>1.047619047619048</v>
      </c>
      <c r="K143" s="12">
        <v>12</v>
      </c>
      <c r="L143" s="11">
        <v>227.5</v>
      </c>
      <c r="M143" s="12">
        <v>1.909090909090909</v>
      </c>
      <c r="N143" s="12">
        <v>1.909090909090909</v>
      </c>
      <c r="O143" s="10">
        <v>-22.5</v>
      </c>
      <c r="P143" s="12">
        <v>1.925925925925926</v>
      </c>
      <c r="Q143" s="12">
        <v>1.892857142857143</v>
      </c>
      <c r="R143" s="12">
        <v>1.027777777777778</v>
      </c>
      <c r="S143" s="12">
        <v>16</v>
      </c>
      <c r="T143" s="8" t="s">
        <v>339</v>
      </c>
      <c r="U143" s="8" t="s">
        <v>340</v>
      </c>
      <c r="V143" s="11">
        <v>229.5</v>
      </c>
      <c r="W143" s="12">
        <v>1.952380952380952</v>
      </c>
      <c r="X143" s="12">
        <v>1.869565217391304</v>
      </c>
      <c r="Y143" s="13">
        <f>(1/R143)/((1/R143)+(1/S143))</f>
        <v>0.9396411092985318</v>
      </c>
      <c r="Z143" s="13">
        <f>(1/J143)/((1/J143)+(1/K143))</f>
        <v>0.9197080291970803</v>
      </c>
      <c r="AA143" s="14">
        <f>1/R143+1/S143-1</f>
        <v>0.03547297297297303</v>
      </c>
      <c r="AB143" s="15">
        <f>O143-I143</f>
        <v>-4.0</v>
      </c>
      <c r="AC143" s="15">
        <f>IF(G143="","",G143-O143)</f>
        <v>0.0</v>
      </c>
      <c r="AD143" s="15">
        <f>H143-V143</f>
        <v>0.0</v>
      </c>
      <c r="AE143" s="16">
        <f>IF(F143&gt;E143,1,0)</f>
        <v>1</v>
      </c>
      <c r="AF143" s="16">
        <f>F143+E143</f>
        <v>258</v>
      </c>
      <c r="AG143" s="16">
        <f>IF(Y143=0.5,"",IF((Y143&gt;0.5)=(AE143=1),1,0))</f>
        <v>1</v>
      </c>
      <c r="AH143" s="16">
        <f>IF(Z143=0.5,"",IF((Z143&gt;0.5)=(AE143=1),1,0))</f>
        <v>1</v>
      </c>
      <c r="AI143" s="17" t="str">
        <f>IF(AF143&gt;V143,"Üst",IF(AF143&lt;V143,"Alt","Push"))</f>
        <v>Üst</v>
      </c>
    </row>
    <row r="144" spans="1:35">
      <c r="A144" s="7">
        <v>46103</v>
      </c>
      <c r="B144" s="8" t="s">
        <v>341</v>
      </c>
      <c r="C144" s="8" t="s">
        <v>77</v>
      </c>
      <c r="D144" s="8" t="s">
        <v>101</v>
      </c>
      <c r="E144" s="9">
        <v>102</v>
      </c>
      <c r="F144" s="9">
        <v>92</v>
      </c>
      <c r="G144" s="10">
        <v>-10.5</v>
      </c>
      <c r="H144" s="11">
        <v>221.5</v>
      </c>
      <c r="I144" s="10">
        <v>-9.5</v>
      </c>
      <c r="J144" s="12">
        <v>1.263157894736842</v>
      </c>
      <c r="K144" s="12">
        <v>4</v>
      </c>
      <c r="L144" s="11">
        <v>219.5</v>
      </c>
      <c r="M144" s="12">
        <v>1.909090909090909</v>
      </c>
      <c r="N144" s="12">
        <v>1.909090909090909</v>
      </c>
      <c r="O144" s="10">
        <v>-10.5</v>
      </c>
      <c r="P144" s="12">
        <v>1.909090909090909</v>
      </c>
      <c r="Q144" s="12">
        <v>1.909090909090909</v>
      </c>
      <c r="R144" s="12">
        <v>1.227272727272727</v>
      </c>
      <c r="S144" s="12">
        <v>4.4</v>
      </c>
      <c r="T144" s="8" t="s">
        <v>127</v>
      </c>
      <c r="U144" s="8" t="s">
        <v>128</v>
      </c>
      <c r="V144" s="11">
        <v>222.5</v>
      </c>
      <c r="W144" s="12">
        <v>1.952380952380952</v>
      </c>
      <c r="X144" s="12">
        <v>1.869565217391304</v>
      </c>
      <c r="Y144" s="13">
        <f>(1/R144)/((1/R144)+(1/S144))</f>
        <v>0.7819063004846527</v>
      </c>
      <c r="Z144" s="13">
        <f>(1/J144)/((1/J144)+(1/K144))</f>
        <v>0.76</v>
      </c>
      <c r="AA144" s="14">
        <f>1/R144+1/S144-1</f>
        <v>0.04208754208754195</v>
      </c>
      <c r="AB144" s="15">
        <f>O144-I144</f>
        <v>-1.0</v>
      </c>
      <c r="AC144" s="15">
        <f>IF(G144="","",G144-O144)</f>
        <v>0.0</v>
      </c>
      <c r="AD144" s="15">
        <f>H144-V144</f>
        <v>-1.0</v>
      </c>
      <c r="AE144" s="16">
        <f>IF(F144&gt;E144,1,0)</f>
        <v>0</v>
      </c>
      <c r="AF144" s="16">
        <f>F144+E144</f>
        <v>194</v>
      </c>
      <c r="AG144" s="16">
        <f>IF(Y144=0.5,"",IF((Y144&gt;0.5)=(AE144=1),1,0))</f>
        <v>0</v>
      </c>
      <c r="AH144" s="16">
        <f>IF(Z144=0.5,"",IF((Z144&gt;0.5)=(AE144=1),1,0))</f>
        <v>0</v>
      </c>
      <c r="AI144" s="17" t="str">
        <f>IF(AF144&gt;V144,"Üst",IF(AF144&lt;V144,"Alt","Push"))</f>
        <v>Alt</v>
      </c>
    </row>
    <row r="145" spans="1:35">
      <c r="A145" s="7">
        <v>46103</v>
      </c>
      <c r="B145" s="8" t="s">
        <v>342</v>
      </c>
      <c r="C145" s="8" t="s">
        <v>76</v>
      </c>
      <c r="D145" s="8" t="s">
        <v>87</v>
      </c>
      <c r="E145" s="9">
        <v>98</v>
      </c>
      <c r="F145" s="9">
        <v>120</v>
      </c>
      <c r="G145" s="10">
        <v>4.5</v>
      </c>
      <c r="H145" s="11">
        <v>219.5</v>
      </c>
      <c r="I145" s="10">
        <v>1.5</v>
      </c>
      <c r="J145" s="12">
        <v>1.952380952380952</v>
      </c>
      <c r="K145" s="12">
        <v>1.869565217391304</v>
      </c>
      <c r="L145" s="11">
        <v>220.5</v>
      </c>
      <c r="M145" s="12">
        <v>1.909090909090909</v>
      </c>
      <c r="N145" s="12">
        <v>1.909090909090909</v>
      </c>
      <c r="O145" s="10">
        <v>4.5</v>
      </c>
      <c r="P145" s="12">
        <v>1.909090909090909</v>
      </c>
      <c r="Q145" s="12">
        <v>1.909090909090909</v>
      </c>
      <c r="R145" s="12">
        <v>2.5</v>
      </c>
      <c r="S145" s="12">
        <v>1.555555555555556</v>
      </c>
      <c r="T145" s="8" t="s">
        <v>343</v>
      </c>
      <c r="U145" s="8" t="s">
        <v>344</v>
      </c>
      <c r="V145" s="11">
        <v>219.5</v>
      </c>
      <c r="W145" s="12">
        <v>1.925925925925926</v>
      </c>
      <c r="X145" s="12">
        <v>1.892857142857143</v>
      </c>
      <c r="Y145" s="13">
        <f>(1/R145)/((1/R145)+(1/S145))</f>
        <v>0.38356164383561653</v>
      </c>
      <c r="Z145" s="13">
        <f>(1/J145)/((1/J145)+(1/K145))</f>
        <v>0.4891657638136511</v>
      </c>
      <c r="AA145" s="14">
        <f>1/R145+1/S145-1</f>
        <v>0.042857142857142705</v>
      </c>
      <c r="AB145" s="15">
        <f>O145-I145</f>
        <v>3.0</v>
      </c>
      <c r="AC145" s="15">
        <f>IF(G145="","",G145-O145)</f>
        <v>0.0</v>
      </c>
      <c r="AD145" s="15">
        <f>H145-V145</f>
        <v>0.0</v>
      </c>
      <c r="AE145" s="16">
        <f>IF(F145&gt;E145,1,0)</f>
        <v>1</v>
      </c>
      <c r="AF145" s="16">
        <f>F145+E145</f>
        <v>218</v>
      </c>
      <c r="AG145" s="16">
        <f>IF(Y145=0.5,"",IF((Y145&gt;0.5)=(AE145=1),1,0))</f>
        <v>0</v>
      </c>
      <c r="AH145" s="16">
        <f>IF(Z145=0.5,"",IF((Z145&gt;0.5)=(AE145=1),1,0))</f>
        <v>0</v>
      </c>
      <c r="AI145" s="17" t="str">
        <f>IF(AF145&gt;V145,"Üst",IF(AF145&lt;V145,"Alt","Push"))</f>
        <v>Alt</v>
      </c>
    </row>
    <row r="146" spans="1:35">
      <c r="A146" s="7">
        <v>46104</v>
      </c>
      <c r="B146" s="8" t="s">
        <v>345</v>
      </c>
      <c r="C146" s="8" t="s">
        <v>47</v>
      </c>
      <c r="D146" s="8" t="s">
        <v>51</v>
      </c>
      <c r="E146" s="9">
        <v>107</v>
      </c>
      <c r="F146" s="9">
        <v>146</v>
      </c>
      <c r="G146" s="10">
        <v>-13.5</v>
      </c>
      <c r="H146" s="11">
        <v>239.5</v>
      </c>
      <c r="I146" s="10">
        <v>-12.5</v>
      </c>
      <c r="J146" s="12">
        <v>1.142857142857143</v>
      </c>
      <c r="K146" s="12">
        <v>6</v>
      </c>
      <c r="L146" s="11">
        <v>240.5</v>
      </c>
      <c r="M146" s="12">
        <v>1.909090909090909</v>
      </c>
      <c r="N146" s="12">
        <v>1.909090909090909</v>
      </c>
      <c r="O146" s="10">
        <v>-13.5</v>
      </c>
      <c r="P146" s="12">
        <v>1.909090909090909</v>
      </c>
      <c r="Q146" s="12">
        <v>1.909090909090909</v>
      </c>
      <c r="R146" s="12">
        <v>1.111111111111111</v>
      </c>
      <c r="S146" s="12">
        <v>7</v>
      </c>
      <c r="T146" s="8" t="s">
        <v>346</v>
      </c>
      <c r="U146" s="8" t="s">
        <v>347</v>
      </c>
      <c r="V146" s="11">
        <v>238.5</v>
      </c>
      <c r="W146" s="12">
        <v>1.892857142857143</v>
      </c>
      <c r="X146" s="12">
        <v>1.925925925925926</v>
      </c>
      <c r="Y146" s="13">
        <f>(1/R146)/((1/R146)+(1/S146))</f>
        <v>0.863013698630137</v>
      </c>
      <c r="Z146" s="13">
        <f>(1/J146)/((1/J146)+(1/K146))</f>
        <v>0.84</v>
      </c>
      <c r="AA146" s="14">
        <f>1/R146+1/S146-1</f>
        <v>0.042857142857142705</v>
      </c>
      <c r="AB146" s="15">
        <f>O146-I146</f>
        <v>-1.0</v>
      </c>
      <c r="AC146" s="15">
        <f>IF(G146="","",G146-O146)</f>
        <v>0.0</v>
      </c>
      <c r="AD146" s="15">
        <f>H146-V146</f>
        <v>1.0</v>
      </c>
      <c r="AE146" s="16">
        <f>IF(F146&gt;E146,1,0)</f>
        <v>1</v>
      </c>
      <c r="AF146" s="16">
        <f>F146+E146</f>
        <v>253</v>
      </c>
      <c r="AG146" s="16">
        <f>IF(Y146=0.5,"",IF((Y146&gt;0.5)=(AE146=1),1,0))</f>
        <v>1</v>
      </c>
      <c r="AH146" s="16">
        <f>IF(Z146=0.5,"",IF((Z146&gt;0.5)=(AE146=1),1,0))</f>
        <v>1</v>
      </c>
      <c r="AI146" s="17" t="str">
        <f>IF(AF146&gt;V146,"Üst",IF(AF146&lt;V146,"Alt","Push"))</f>
        <v>Üst</v>
      </c>
    </row>
    <row r="147" spans="1:35">
      <c r="A147" s="7">
        <v>46104</v>
      </c>
      <c r="B147" s="8" t="s">
        <v>348</v>
      </c>
      <c r="C147" s="8" t="s">
        <v>91</v>
      </c>
      <c r="D147" s="8" t="s">
        <v>81</v>
      </c>
      <c r="E147" s="9">
        <v>110</v>
      </c>
      <c r="F147" s="9">
        <v>113</v>
      </c>
      <c r="G147" s="10">
        <v>1.5</v>
      </c>
      <c r="H147" s="11">
        <v>224.5</v>
      </c>
      <c r="I147" s="10">
        <v>1.5</v>
      </c>
      <c r="J147" s="12">
        <v>2.05</v>
      </c>
      <c r="K147" s="12">
        <v>1.8</v>
      </c>
      <c r="L147" s="11">
        <v>228.5</v>
      </c>
      <c r="M147" s="12">
        <v>1.952380952380952</v>
      </c>
      <c r="N147" s="12">
        <v>1.869565217391304</v>
      </c>
      <c r="O147" s="10">
        <v>1.5</v>
      </c>
      <c r="P147" s="12">
        <v>1.925925925925926</v>
      </c>
      <c r="Q147" s="12">
        <v>1.892857142857143</v>
      </c>
      <c r="R147" s="12">
        <v>2.05</v>
      </c>
      <c r="S147" s="12">
        <v>1.8</v>
      </c>
      <c r="T147" s="8" t="s">
        <v>349</v>
      </c>
      <c r="U147" s="8" t="s">
        <v>350</v>
      </c>
      <c r="V147" s="11">
        <v>224.5</v>
      </c>
      <c r="W147" s="12">
        <v>1.869565217391304</v>
      </c>
      <c r="X147" s="12">
        <v>1.952380952380952</v>
      </c>
      <c r="Y147" s="13">
        <f>(1/R147)/((1/R147)+(1/S147))</f>
        <v>0.4675324675324676</v>
      </c>
      <c r="Z147" s="13">
        <f>(1/J147)/((1/J147)+(1/K147))</f>
        <v>0.4675324675324676</v>
      </c>
      <c r="AA147" s="14">
        <f>1/R147+1/S147-1</f>
        <v>0.04336043360433606</v>
      </c>
      <c r="AB147" s="15">
        <f>O147-I147</f>
        <v>0.0</v>
      </c>
      <c r="AC147" s="15">
        <f>IF(G147="","",G147-O147)</f>
        <v>0.0</v>
      </c>
      <c r="AD147" s="15">
        <f>H147-V147</f>
        <v>0.0</v>
      </c>
      <c r="AE147" s="16">
        <f>IF(F147&gt;E147,1,0)</f>
        <v>1</v>
      </c>
      <c r="AF147" s="16">
        <f>F147+E147</f>
        <v>223</v>
      </c>
      <c r="AG147" s="16">
        <f>IF(Y147=0.5,"",IF((Y147&gt;0.5)=(AE147=1),1,0))</f>
        <v>0</v>
      </c>
      <c r="AH147" s="16">
        <f>IF(Z147=0.5,"",IF((Z147&gt;0.5)=(AE147=1),1,0))</f>
        <v>0</v>
      </c>
      <c r="AI147" s="17" t="str">
        <f>IF(AF147&gt;V147,"Üst",IF(AF147&lt;V147,"Alt","Push"))</f>
        <v>Alt</v>
      </c>
    </row>
    <row r="148" spans="1:35">
      <c r="A148" s="7">
        <v>46104</v>
      </c>
      <c r="B148" s="8" t="s">
        <v>351</v>
      </c>
      <c r="C148" s="8" t="s">
        <v>56</v>
      </c>
      <c r="D148" s="8" t="s">
        <v>62</v>
      </c>
      <c r="E148" s="9">
        <v>128</v>
      </c>
      <c r="F148" s="9">
        <v>126</v>
      </c>
      <c r="G148" s="10">
        <v>-10.5</v>
      </c>
      <c r="H148" s="11">
        <v>233.5</v>
      </c>
      <c r="I148" s="10">
        <v>-12.5</v>
      </c>
      <c r="J148" s="12">
        <v>1.142857142857143</v>
      </c>
      <c r="K148" s="12">
        <v>6</v>
      </c>
      <c r="L148" s="11">
        <v>232.5</v>
      </c>
      <c r="M148" s="12">
        <v>1.909090909090909</v>
      </c>
      <c r="N148" s="12">
        <v>1.909090909090909</v>
      </c>
      <c r="O148" s="10">
        <v>-10.5</v>
      </c>
      <c r="P148" s="12">
        <v>1.909090909090909</v>
      </c>
      <c r="Q148" s="12">
        <v>1.909090909090909</v>
      </c>
      <c r="R148" s="12">
        <v>1.186915887850467</v>
      </c>
      <c r="S148" s="12">
        <v>5</v>
      </c>
      <c r="T148" s="8" t="s">
        <v>143</v>
      </c>
      <c r="U148" s="8" t="s">
        <v>144</v>
      </c>
      <c r="V148" s="11">
        <v>233.5</v>
      </c>
      <c r="W148" s="12">
        <v>1.925925925925926</v>
      </c>
      <c r="X148" s="12">
        <v>1.892857142857143</v>
      </c>
      <c r="Y148" s="13">
        <f>(1/R148)/((1/R148)+(1/S148))</f>
        <v>0.8081570996978852</v>
      </c>
      <c r="Z148" s="13">
        <f>(1/J148)/((1/J148)+(1/K148))</f>
        <v>0.84</v>
      </c>
      <c r="AA148" s="14">
        <f>1/R148+1/S148-1</f>
        <v>0.04251968503937009</v>
      </c>
      <c r="AB148" s="15">
        <f>O148-I148</f>
        <v>2.0</v>
      </c>
      <c r="AC148" s="15">
        <f>IF(G148="","",G148-O148)</f>
        <v>0.0</v>
      </c>
      <c r="AD148" s="15">
        <f>H148-V148</f>
        <v>0.0</v>
      </c>
      <c r="AE148" s="16">
        <f>IF(F148&gt;E148,1,0)</f>
        <v>0</v>
      </c>
      <c r="AF148" s="16">
        <f>F148+E148</f>
        <v>254</v>
      </c>
      <c r="AG148" s="16">
        <f>IF(Y148=0.5,"",IF((Y148&gt;0.5)=(AE148=1),1,0))</f>
        <v>0</v>
      </c>
      <c r="AH148" s="16">
        <f>IF(Z148=0.5,"",IF((Z148&gt;0.5)=(AE148=1),1,0))</f>
        <v>0</v>
      </c>
      <c r="AI148" s="17" t="str">
        <f>IF(AF148&gt;V148,"Üst",IF(AF148&lt;V148,"Alt","Push"))</f>
        <v>Üst</v>
      </c>
    </row>
    <row r="149" spans="1:35">
      <c r="A149" s="7">
        <v>46104</v>
      </c>
      <c r="B149" s="8" t="s">
        <v>352</v>
      </c>
      <c r="C149" s="8" t="s">
        <v>130</v>
      </c>
      <c r="D149" s="8" t="s">
        <v>42</v>
      </c>
      <c r="E149" s="9">
        <v>123</v>
      </c>
      <c r="F149" s="9">
        <v>103</v>
      </c>
      <c r="G149" s="10">
        <v>16.5</v>
      </c>
      <c r="H149" s="11">
        <v>225.5</v>
      </c>
      <c r="I149" s="10">
        <v>13.5</v>
      </c>
      <c r="J149" s="12">
        <v>7</v>
      </c>
      <c r="K149" s="12">
        <v>1.111111111111111</v>
      </c>
      <c r="L149" s="11">
        <v>222.5</v>
      </c>
      <c r="M149" s="12">
        <v>1.909090909090909</v>
      </c>
      <c r="N149" s="12">
        <v>1.909090909090909</v>
      </c>
      <c r="O149" s="10">
        <v>16.5</v>
      </c>
      <c r="P149" s="12">
        <v>1.847457627118644</v>
      </c>
      <c r="Q149" s="12">
        <v>1.980392156862745</v>
      </c>
      <c r="R149" s="12">
        <v>8.5</v>
      </c>
      <c r="S149" s="12">
        <v>1.083333333333333</v>
      </c>
      <c r="T149" s="8" t="s">
        <v>103</v>
      </c>
      <c r="U149" s="8" t="s">
        <v>102</v>
      </c>
      <c r="V149" s="11">
        <v>226.5</v>
      </c>
      <c r="W149" s="12">
        <v>1.892857142857143</v>
      </c>
      <c r="X149" s="12">
        <v>1.925925925925926</v>
      </c>
      <c r="Y149" s="13">
        <f>(1/R149)/((1/R149)+(1/S149))</f>
        <v>0.11304347826086955</v>
      </c>
      <c r="Z149" s="13">
        <f>(1/J149)/((1/J149)+(1/K149))</f>
        <v>0.13698630136986303</v>
      </c>
      <c r="AA149" s="14">
        <f>1/R149+1/S149-1</f>
        <v>0.040723981900452566</v>
      </c>
      <c r="AB149" s="15">
        <f>O149-I149</f>
        <v>3.0</v>
      </c>
      <c r="AC149" s="15">
        <f>IF(G149="","",G149-O149)</f>
        <v>0.0</v>
      </c>
      <c r="AD149" s="15">
        <f>H149-V149</f>
        <v>-1.0</v>
      </c>
      <c r="AE149" s="16">
        <f>IF(F149&gt;E149,1,0)</f>
        <v>0</v>
      </c>
      <c r="AF149" s="16">
        <f>F149+E149</f>
        <v>226</v>
      </c>
      <c r="AG149" s="16">
        <f>IF(Y149=0.5,"",IF((Y149&gt;0.5)=(AE149=1),1,0))</f>
        <v>1</v>
      </c>
      <c r="AH149" s="16">
        <f>IF(Z149=0.5,"",IF((Z149&gt;0.5)=(AE149=1),1,0))</f>
        <v>1</v>
      </c>
      <c r="AI149" s="17" t="str">
        <f>IF(AF149&gt;V149,"Üst",IF(AF149&lt;V149,"Alt","Push"))</f>
        <v>Alt</v>
      </c>
    </row>
    <row r="150" spans="1:35">
      <c r="A150" s="7">
        <v>46104</v>
      </c>
      <c r="B150" s="8" t="s">
        <v>353</v>
      </c>
      <c r="C150" s="8" t="s">
        <v>82</v>
      </c>
      <c r="D150" s="8" t="s">
        <v>69</v>
      </c>
      <c r="E150" s="9">
        <v>136</v>
      </c>
      <c r="F150" s="9">
        <v>111</v>
      </c>
      <c r="G150" s="10">
        <v>3.5</v>
      </c>
      <c r="H150" s="11">
        <v>244.5</v>
      </c>
      <c r="I150" s="10">
        <v>5.5</v>
      </c>
      <c r="J150" s="12">
        <v>2.85</v>
      </c>
      <c r="K150" s="12">
        <v>1.444444444444444</v>
      </c>
      <c r="L150" s="11">
        <v>240.5</v>
      </c>
      <c r="M150" s="12">
        <v>1.869565217391304</v>
      </c>
      <c r="N150" s="12">
        <v>1.952380952380952</v>
      </c>
      <c r="O150" s="10">
        <v>3.5</v>
      </c>
      <c r="P150" s="12">
        <v>1.847457627118644</v>
      </c>
      <c r="Q150" s="12">
        <v>1.980392156862745</v>
      </c>
      <c r="R150" s="12">
        <v>2.3</v>
      </c>
      <c r="S150" s="12">
        <v>1.645161290322581</v>
      </c>
      <c r="T150" s="8" t="s">
        <v>164</v>
      </c>
      <c r="U150" s="8" t="s">
        <v>163</v>
      </c>
      <c r="V150" s="11">
        <v>244.5</v>
      </c>
      <c r="W150" s="12">
        <v>1.925925925925926</v>
      </c>
      <c r="X150" s="12">
        <v>1.892857142857143</v>
      </c>
      <c r="Y150" s="13">
        <f>(1/R150)/((1/R150)+(1/S150))</f>
        <v>0.41700735895339325</v>
      </c>
      <c r="Z150" s="13">
        <f>(1/J150)/((1/J150)+(1/K150))</f>
        <v>0.33635187580853815</v>
      </c>
      <c r="AA150" s="14">
        <f>1/R150+1/S150-1</f>
        <v>0.04262574595055435</v>
      </c>
      <c r="AB150" s="15">
        <f>O150-I150</f>
        <v>-2.0</v>
      </c>
      <c r="AC150" s="15">
        <f>IF(G150="","",G150-O150)</f>
        <v>0.0</v>
      </c>
      <c r="AD150" s="15">
        <f>H150-V150</f>
        <v>0.0</v>
      </c>
      <c r="AE150" s="16">
        <f>IF(F150&gt;E150,1,0)</f>
        <v>0</v>
      </c>
      <c r="AF150" s="16">
        <f>F150+E150</f>
        <v>247</v>
      </c>
      <c r="AG150" s="16">
        <f>IF(Y150=0.5,"",IF((Y150&gt;0.5)=(AE150=1),1,0))</f>
        <v>1</v>
      </c>
      <c r="AH150" s="16">
        <f>IF(Z150=0.5,"",IF((Z150&gt;0.5)=(AE150=1),1,0))</f>
        <v>1</v>
      </c>
      <c r="AI150" s="17" t="str">
        <f>IF(AF150&gt;V150,"Üst",IF(AF150&lt;V150,"Alt","Push"))</f>
        <v>Üst</v>
      </c>
    </row>
    <row r="151" spans="1:35">
      <c r="A151" s="7">
        <v>46104</v>
      </c>
      <c r="B151" s="8" t="s">
        <v>354</v>
      </c>
      <c r="C151" s="8" t="s">
        <v>74</v>
      </c>
      <c r="D151" s="8" t="s">
        <v>86</v>
      </c>
      <c r="E151" s="9">
        <v>124</v>
      </c>
      <c r="F151" s="9">
        <v>132</v>
      </c>
      <c r="G151" s="10">
        <v>9.5</v>
      </c>
      <c r="H151" s="11">
        <v>232.5</v>
      </c>
      <c r="I151" s="10">
        <v>8.5</v>
      </c>
      <c r="J151" s="12">
        <v>3.75</v>
      </c>
      <c r="K151" s="12">
        <v>1.289855072463768</v>
      </c>
      <c r="L151" s="11">
        <v>227.5</v>
      </c>
      <c r="M151" s="12">
        <v>1.909090909090909</v>
      </c>
      <c r="N151" s="12">
        <v>1.909090909090909</v>
      </c>
      <c r="O151" s="10">
        <v>8.5</v>
      </c>
      <c r="P151" s="12">
        <v>1.980392156862745</v>
      </c>
      <c r="Q151" s="12">
        <v>1.847457627118644</v>
      </c>
      <c r="R151" s="12">
        <v>3.95</v>
      </c>
      <c r="S151" s="12">
        <v>1.266666666666667</v>
      </c>
      <c r="T151" s="8" t="s">
        <v>266</v>
      </c>
      <c r="U151" s="8" t="s">
        <v>265</v>
      </c>
      <c r="V151" s="11">
        <v>233.5</v>
      </c>
      <c r="W151" s="12">
        <v>1.909090909090909</v>
      </c>
      <c r="X151" s="12">
        <v>1.909090909090909</v>
      </c>
      <c r="Y151" s="13">
        <f>(1/R151)/((1/R151)+(1/S151))</f>
        <v>0.24281150159744405</v>
      </c>
      <c r="Z151" s="13">
        <f>(1/J151)/((1/J151)+(1/K151))</f>
        <v>0.2559309849029475</v>
      </c>
      <c r="AA151" s="14">
        <f>1/R151+1/S151-1</f>
        <v>0.04263824117255166</v>
      </c>
      <c r="AB151" s="15">
        <f>O151-I151</f>
        <v>0.0</v>
      </c>
      <c r="AC151" s="15">
        <f>IF(G151="","",G151-O151)</f>
        <v>1.0</v>
      </c>
      <c r="AD151" s="15">
        <f>H151-V151</f>
        <v>-1.0</v>
      </c>
      <c r="AE151" s="16">
        <f>IF(F151&gt;E151,1,0)</f>
        <v>1</v>
      </c>
      <c r="AF151" s="16">
        <f>F151+E151</f>
        <v>256</v>
      </c>
      <c r="AG151" s="16">
        <f>IF(Y151=0.5,"",IF((Y151&gt;0.5)=(AE151=1),1,0))</f>
        <v>0</v>
      </c>
      <c r="AH151" s="16">
        <f>IF(Z151=0.5,"",IF((Z151&gt;0.5)=(AE151=1),1,0))</f>
        <v>0</v>
      </c>
      <c r="AI151" s="17" t="str">
        <f>IF(AF151&gt;V151,"Üst",IF(AF151&lt;V151,"Alt","Push"))</f>
        <v>Üst</v>
      </c>
    </row>
    <row r="152" spans="1:35">
      <c r="A152" s="7">
        <v>46104</v>
      </c>
      <c r="B152" s="8" t="s">
        <v>355</v>
      </c>
      <c r="C152" s="8" t="s">
        <v>76</v>
      </c>
      <c r="D152" s="8" t="s">
        <v>41</v>
      </c>
      <c r="E152" s="9">
        <v>143</v>
      </c>
      <c r="F152" s="9">
        <v>127</v>
      </c>
      <c r="G152" s="10">
        <v>8.5</v>
      </c>
      <c r="H152" s="11">
        <v>230.5</v>
      </c>
      <c r="I152" s="10">
        <v>12.5</v>
      </c>
      <c r="J152" s="12">
        <v>6.25</v>
      </c>
      <c r="K152" s="12">
        <v>1.133333333333333</v>
      </c>
      <c r="L152" s="11">
        <v>231.5</v>
      </c>
      <c r="M152" s="12">
        <v>1.909090909090909</v>
      </c>
      <c r="N152" s="12">
        <v>1.909090909090909</v>
      </c>
      <c r="O152" s="10">
        <v>8.5</v>
      </c>
      <c r="P152" s="12">
        <v>1.892857142857143</v>
      </c>
      <c r="Q152" s="12">
        <v>1.925925925925926</v>
      </c>
      <c r="R152" s="12">
        <v>4.1</v>
      </c>
      <c r="S152" s="12">
        <v>1.253164556962025</v>
      </c>
      <c r="T152" s="8" t="s">
        <v>48</v>
      </c>
      <c r="U152" s="8" t="s">
        <v>49</v>
      </c>
      <c r="V152" s="11">
        <v>230.5</v>
      </c>
      <c r="W152" s="12">
        <v>1.892857142857143</v>
      </c>
      <c r="X152" s="12">
        <v>1.925925925925926</v>
      </c>
      <c r="Y152" s="13">
        <f>(1/R152)/((1/R152)+(1/S152))</f>
        <v>0.23409789548356588</v>
      </c>
      <c r="Z152" s="13">
        <f>(1/J152)/((1/J152)+(1/K152))</f>
        <v>0.15349887133182846</v>
      </c>
      <c r="AA152" s="14">
        <f>1/R152+1/S152-1</f>
        <v>0.04188223700418825</v>
      </c>
      <c r="AB152" s="15">
        <f>O152-I152</f>
        <v>-4.0</v>
      </c>
      <c r="AC152" s="15">
        <f>IF(G152="","",G152-O152)</f>
        <v>0.0</v>
      </c>
      <c r="AD152" s="15">
        <f>H152-V152</f>
        <v>0.0</v>
      </c>
      <c r="AE152" s="16">
        <f>IF(F152&gt;E152,1,0)</f>
        <v>0</v>
      </c>
      <c r="AF152" s="16">
        <f>F152+E152</f>
        <v>270</v>
      </c>
      <c r="AG152" s="16">
        <f>IF(Y152=0.5,"",IF((Y152&gt;0.5)=(AE152=1),1,0))</f>
        <v>1</v>
      </c>
      <c r="AH152" s="16">
        <f>IF(Z152=0.5,"",IF((Z152&gt;0.5)=(AE152=1),1,0))</f>
        <v>1</v>
      </c>
      <c r="AI152" s="17" t="str">
        <f>IF(AF152&gt;V152,"Üst",IF(AF152&lt;V152,"Alt","Push"))</f>
        <v>Üst</v>
      </c>
    </row>
    <row r="153" spans="1:35">
      <c r="A153" s="7">
        <v>46104</v>
      </c>
      <c r="B153" s="8" t="s">
        <v>356</v>
      </c>
      <c r="C153" s="8" t="s">
        <v>73</v>
      </c>
      <c r="D153" s="8" t="s">
        <v>61</v>
      </c>
      <c r="E153" s="9">
        <v>137</v>
      </c>
      <c r="F153" s="9">
        <v>131</v>
      </c>
      <c r="G153" s="10">
        <v>2.5</v>
      </c>
      <c r="H153" s="11">
        <v>230.5</v>
      </c>
      <c r="I153" s="10">
        <v>2.5</v>
      </c>
      <c r="J153" s="12">
        <v>2.14</v>
      </c>
      <c r="K153" s="12">
        <v>1.740740740740741</v>
      </c>
      <c r="L153" s="11">
        <v>229.5</v>
      </c>
      <c r="M153" s="12">
        <v>1.909090909090909</v>
      </c>
      <c r="N153" s="12">
        <v>1.909090909090909</v>
      </c>
      <c r="O153" s="10">
        <v>3.5</v>
      </c>
      <c r="P153" s="12">
        <v>1.833333333333333</v>
      </c>
      <c r="Q153" s="12">
        <v>2</v>
      </c>
      <c r="R153" s="12">
        <v>2.14</v>
      </c>
      <c r="S153" s="12">
        <v>1.740740740740741</v>
      </c>
      <c r="T153" s="8" t="s">
        <v>357</v>
      </c>
      <c r="U153" s="8" t="s">
        <v>358</v>
      </c>
      <c r="V153" s="11">
        <v>230.5</v>
      </c>
      <c r="W153" s="12">
        <v>1.952380952380952</v>
      </c>
      <c r="X153" s="12">
        <v>1.869565217391304</v>
      </c>
      <c r="Y153" s="13">
        <f>(1/R153)/((1/R153)+(1/S153))</f>
        <v>0.44855888528345106</v>
      </c>
      <c r="Z153" s="13">
        <f>(1/J153)/((1/J153)+(1/K153))</f>
        <v>0.44855888528345106</v>
      </c>
      <c r="AA153" s="14">
        <f>1/R153+1/S153-1</f>
        <v>0.04175780473255131</v>
      </c>
      <c r="AB153" s="15">
        <f>O153-I153</f>
        <v>1.0</v>
      </c>
      <c r="AC153" s="15">
        <f>IF(G153="","",G153-O153)</f>
        <v>-1.0</v>
      </c>
      <c r="AD153" s="15">
        <f>H153-V153</f>
        <v>0.0</v>
      </c>
      <c r="AE153" s="16">
        <f>IF(F153&gt;E153,1,0)</f>
        <v>0</v>
      </c>
      <c r="AF153" s="16">
        <f>F153+E153</f>
        <v>268</v>
      </c>
      <c r="AG153" s="16">
        <f>IF(Y153=0.5,"",IF((Y153&gt;0.5)=(AE153=1),1,0))</f>
        <v>1</v>
      </c>
      <c r="AH153" s="16">
        <f>IF(Z153=0.5,"",IF((Z153&gt;0.5)=(AE153=1),1,0))</f>
        <v>1</v>
      </c>
      <c r="AI153" s="17" t="str">
        <f>IF(AF153&gt;V153,"Üst",IF(AF153&lt;V153,"Alt","Push"))</f>
        <v>Üst</v>
      </c>
    </row>
    <row r="154" spans="1:35">
      <c r="A154" s="7">
        <v>46104</v>
      </c>
      <c r="B154" s="8" t="s">
        <v>359</v>
      </c>
      <c r="C154" s="8" t="s">
        <v>68</v>
      </c>
      <c r="D154" s="8" t="s">
        <v>46</v>
      </c>
      <c r="E154" s="9">
        <v>99</v>
      </c>
      <c r="F154" s="9">
        <v>134</v>
      </c>
      <c r="G154" s="10">
        <v>-15.5</v>
      </c>
      <c r="H154" s="11">
        <v>218.5</v>
      </c>
      <c r="I154" s="10">
        <v>-13.5</v>
      </c>
      <c r="J154" s="12">
        <v>1.111111111111111</v>
      </c>
      <c r="K154" s="12">
        <v>7</v>
      </c>
      <c r="L154" s="11">
        <v>220.5</v>
      </c>
      <c r="M154" s="12">
        <v>1.909090909090909</v>
      </c>
      <c r="N154" s="12">
        <v>1.909090909090909</v>
      </c>
      <c r="O154" s="10">
        <v>-15.5</v>
      </c>
      <c r="P154" s="12">
        <v>1.892857142857143</v>
      </c>
      <c r="Q154" s="12">
        <v>1.925925925925926</v>
      </c>
      <c r="R154" s="12">
        <v>1.090909090909091</v>
      </c>
      <c r="S154" s="12">
        <v>8</v>
      </c>
      <c r="T154" s="8" t="s">
        <v>174</v>
      </c>
      <c r="U154" s="8" t="s">
        <v>173</v>
      </c>
      <c r="V154" s="11">
        <v>218.5</v>
      </c>
      <c r="W154" s="12">
        <v>1.925925925925926</v>
      </c>
      <c r="X154" s="12">
        <v>1.892857142857143</v>
      </c>
      <c r="Y154" s="13">
        <f>(1/R154)/((1/R154)+(1/S154))</f>
        <v>0.88</v>
      </c>
      <c r="Z154" s="13">
        <f>(1/J154)/((1/J154)+(1/K154))</f>
        <v>0.863013698630137</v>
      </c>
      <c r="AA154" s="14">
        <f>1/R154+1/S154-1</f>
        <v>0.04166666666666674</v>
      </c>
      <c r="AB154" s="15">
        <f>O154-I154</f>
        <v>-2.0</v>
      </c>
      <c r="AC154" s="15">
        <f>IF(G154="","",G154-O154)</f>
        <v>0.0</v>
      </c>
      <c r="AD154" s="15">
        <f>H154-V154</f>
        <v>0.0</v>
      </c>
      <c r="AE154" s="16">
        <f>IF(F154&gt;E154,1,0)</f>
        <v>1</v>
      </c>
      <c r="AF154" s="16">
        <f>F154+E154</f>
        <v>233</v>
      </c>
      <c r="AG154" s="16">
        <f>IF(Y154=0.5,"",IF((Y154&gt;0.5)=(AE154=1),1,0))</f>
        <v>1</v>
      </c>
      <c r="AH154" s="16">
        <f>IF(Z154=0.5,"",IF((Z154&gt;0.5)=(AE154=1),1,0))</f>
        <v>1</v>
      </c>
      <c r="AI154" s="17" t="str">
        <f>IF(AF154&gt;V154,"Üst",IF(AF154&lt;V154,"Alt","Push"))</f>
        <v>Üst</v>
      </c>
    </row>
    <row r="155" spans="1:35">
      <c r="A155" s="7">
        <v>46104</v>
      </c>
      <c r="B155" s="8" t="s">
        <v>360</v>
      </c>
      <c r="C155" s="8" t="s">
        <v>52</v>
      </c>
      <c r="D155" s="8" t="s">
        <v>57</v>
      </c>
      <c r="E155" s="9">
        <v>96</v>
      </c>
      <c r="F155" s="9">
        <v>129</v>
      </c>
      <c r="G155" s="10">
        <v>-13.5</v>
      </c>
      <c r="H155" s="11">
        <v>220.5</v>
      </c>
      <c r="I155" s="10">
        <v>-11.5</v>
      </c>
      <c r="J155" s="12">
        <v>1.173913043478261</v>
      </c>
      <c r="K155" s="12">
        <v>5.25</v>
      </c>
      <c r="L155" s="11">
        <v>225.5</v>
      </c>
      <c r="M155" s="12">
        <v>1.909090909090909</v>
      </c>
      <c r="N155" s="12">
        <v>1.909090909090909</v>
      </c>
      <c r="O155" s="10">
        <v>-13.5</v>
      </c>
      <c r="P155" s="12">
        <v>1.847457627118644</v>
      </c>
      <c r="Q155" s="12">
        <v>1.980392156862745</v>
      </c>
      <c r="R155" s="12">
        <v>1.111111111111111</v>
      </c>
      <c r="S155" s="12">
        <v>7</v>
      </c>
      <c r="T155" s="8" t="s">
        <v>346</v>
      </c>
      <c r="U155" s="8" t="s">
        <v>347</v>
      </c>
      <c r="V155" s="11">
        <v>221.5</v>
      </c>
      <c r="W155" s="12">
        <v>1.869565217391304</v>
      </c>
      <c r="X155" s="12">
        <v>1.952380952380952</v>
      </c>
      <c r="Y155" s="13">
        <f>(1/R155)/((1/R155)+(1/S155))</f>
        <v>0.863013698630137</v>
      </c>
      <c r="Z155" s="13">
        <f>(1/J155)/((1/J155)+(1/K155))</f>
        <v>0.8172588832487311</v>
      </c>
      <c r="AA155" s="14">
        <f>1/R155+1/S155-1</f>
        <v>0.042857142857142705</v>
      </c>
      <c r="AB155" s="15">
        <f>O155-I155</f>
        <v>-2.0</v>
      </c>
      <c r="AC155" s="15">
        <f>IF(G155="","",G155-O155)</f>
        <v>0.0</v>
      </c>
      <c r="AD155" s="15">
        <f>H155-V155</f>
        <v>-1.0</v>
      </c>
      <c r="AE155" s="16">
        <f>IF(F155&gt;E155,1,0)</f>
        <v>1</v>
      </c>
      <c r="AF155" s="16">
        <f>F155+E155</f>
        <v>225</v>
      </c>
      <c r="AG155" s="16">
        <f>IF(Y155=0.5,"",IF((Y155&gt;0.5)=(AE155=1),1,0))</f>
        <v>1</v>
      </c>
      <c r="AH155" s="16">
        <f>IF(Z155=0.5,"",IF((Z155&gt;0.5)=(AE155=1),1,0))</f>
        <v>1</v>
      </c>
      <c r="AI155" s="17" t="str">
        <f>IF(AF155&gt;V155,"Üst",IF(AF155&lt;V155,"Alt","Push"))</f>
        <v>Üst</v>
      </c>
    </row>
    <row r="156" spans="1:35">
      <c r="A156" s="7">
        <v>46105</v>
      </c>
      <c r="B156" s="8" t="s">
        <v>361</v>
      </c>
      <c r="C156" s="8" t="s">
        <v>97</v>
      </c>
      <c r="D156" s="8" t="s">
        <v>105</v>
      </c>
      <c r="E156" s="9">
        <v>90</v>
      </c>
      <c r="F156" s="9">
        <v>134</v>
      </c>
      <c r="G156" s="10">
        <v>-17.5</v>
      </c>
      <c r="H156" s="11">
        <v>232.5</v>
      </c>
      <c r="I156" s="10">
        <v>-16.5</v>
      </c>
      <c r="J156" s="12">
        <v>1.074074074074074</v>
      </c>
      <c r="K156" s="12">
        <v>9</v>
      </c>
      <c r="L156" s="11">
        <v>226.5</v>
      </c>
      <c r="M156" s="12">
        <v>1.909090909090909</v>
      </c>
      <c r="N156" s="12">
        <v>1.909090909090909</v>
      </c>
      <c r="O156" s="10">
        <v>-18.5</v>
      </c>
      <c r="P156" s="12">
        <v>1.952380952380952</v>
      </c>
      <c r="Q156" s="12">
        <v>1.869565217391304</v>
      </c>
      <c r="R156" s="12">
        <v>1.055555555555556</v>
      </c>
      <c r="S156" s="12">
        <v>11</v>
      </c>
      <c r="T156" s="8" t="s">
        <v>362</v>
      </c>
      <c r="U156" s="8" t="s">
        <v>363</v>
      </c>
      <c r="V156" s="11">
        <v>233.5</v>
      </c>
      <c r="W156" s="12">
        <v>1.925925925925926</v>
      </c>
      <c r="X156" s="12">
        <v>1.892857142857143</v>
      </c>
      <c r="Y156" s="13">
        <f>(1/R156)/((1/R156)+(1/S156))</f>
        <v>0.912442396313364</v>
      </c>
      <c r="Z156" s="13">
        <f>(1/J156)/((1/J156)+(1/K156))</f>
        <v>0.8933823529411764</v>
      </c>
      <c r="AA156" s="14">
        <f>1/R156+1/S156-1</f>
        <v>0.038277511961722466</v>
      </c>
      <c r="AB156" s="15">
        <f>O156-I156</f>
        <v>-2.0</v>
      </c>
      <c r="AC156" s="15">
        <f>IF(G156="","",G156-O156)</f>
        <v>1.0</v>
      </c>
      <c r="AD156" s="15">
        <f>H156-V156</f>
        <v>-1.0</v>
      </c>
      <c r="AE156" s="16">
        <f>IF(F156&gt;E156,1,0)</f>
        <v>1</v>
      </c>
      <c r="AF156" s="16">
        <f>F156+E156</f>
        <v>224</v>
      </c>
      <c r="AG156" s="16">
        <f>IF(Y156=0.5,"",IF((Y156&gt;0.5)=(AE156=1),1,0))</f>
        <v>1</v>
      </c>
      <c r="AH156" s="16">
        <f>IF(Z156=0.5,"",IF((Z156&gt;0.5)=(AE156=1),1,0))</f>
        <v>1</v>
      </c>
      <c r="AI156" s="17" t="str">
        <f>IF(AF156&gt;V156,"Üst",IF(AF156&lt;V156,"Alt","Push"))</f>
        <v>Alt</v>
      </c>
    </row>
    <row r="157" spans="1:35">
      <c r="A157" s="7">
        <v>46105</v>
      </c>
      <c r="B157" s="8" t="s">
        <v>364</v>
      </c>
      <c r="C157" s="8" t="s">
        <v>96</v>
      </c>
      <c r="D157" s="8" t="s">
        <v>110</v>
      </c>
      <c r="E157" s="9">
        <v>116</v>
      </c>
      <c r="F157" s="9">
        <v>121</v>
      </c>
      <c r="G157" s="10">
        <v>-8.5</v>
      </c>
      <c r="H157" s="11">
        <v>229.5</v>
      </c>
      <c r="I157" s="10">
        <v>-9.5</v>
      </c>
      <c r="J157" s="12">
        <v>1.266666666666667</v>
      </c>
      <c r="K157" s="12">
        <v>3.95</v>
      </c>
      <c r="L157" s="11">
        <v>231.5</v>
      </c>
      <c r="M157" s="12">
        <v>1.952380952380952</v>
      </c>
      <c r="N157" s="12">
        <v>1.869565217391304</v>
      </c>
      <c r="O157" s="10">
        <v>-8.5</v>
      </c>
      <c r="P157" s="12">
        <v>1.952380952380952</v>
      </c>
      <c r="Q157" s="12">
        <v>1.869565217391304</v>
      </c>
      <c r="R157" s="12">
        <v>1.28169014084507</v>
      </c>
      <c r="S157" s="12">
        <v>3.8</v>
      </c>
      <c r="T157" s="8" t="s">
        <v>365</v>
      </c>
      <c r="U157" s="8" t="s">
        <v>366</v>
      </c>
      <c r="V157" s="11">
        <v>229.5</v>
      </c>
      <c r="W157" s="12">
        <v>1.952380952380952</v>
      </c>
      <c r="X157" s="12">
        <v>1.869565217391304</v>
      </c>
      <c r="Y157" s="13">
        <f>(1/R157)/((1/R157)+(1/S157))</f>
        <v>0.7477827050997783</v>
      </c>
      <c r="Z157" s="13">
        <f>(1/J157)/((1/J157)+(1/K157))</f>
        <v>0.7571884984025559</v>
      </c>
      <c r="AA157" s="14">
        <f>1/R157+1/S157-1</f>
        <v>0.04337767495662237</v>
      </c>
      <c r="AB157" s="15">
        <f>O157-I157</f>
        <v>1.0</v>
      </c>
      <c r="AC157" s="15">
        <f>IF(G157="","",G157-O157)</f>
        <v>0.0</v>
      </c>
      <c r="AD157" s="15">
        <f>H157-V157</f>
        <v>0.0</v>
      </c>
      <c r="AE157" s="16">
        <f>IF(F157&gt;E157,1,0)</f>
        <v>1</v>
      </c>
      <c r="AF157" s="16">
        <f>F157+E157</f>
        <v>237</v>
      </c>
      <c r="AG157" s="16">
        <f>IF(Y157=0.5,"",IF((Y157&gt;0.5)=(AE157=1),1,0))</f>
        <v>1</v>
      </c>
      <c r="AH157" s="16">
        <f>IF(Z157=0.5,"",IF((Z157&gt;0.5)=(AE157=1),1,0))</f>
        <v>1</v>
      </c>
      <c r="AI157" s="17" t="str">
        <f>IF(AF157&gt;V157,"Üst",IF(AF157&lt;V157,"Alt","Push"))</f>
        <v>Üst</v>
      </c>
    </row>
    <row r="158" spans="1:35">
      <c r="A158" s="7">
        <v>46105</v>
      </c>
      <c r="B158" s="8" t="s">
        <v>367</v>
      </c>
      <c r="C158" s="8" t="s">
        <v>62</v>
      </c>
      <c r="D158" s="8" t="s">
        <v>134</v>
      </c>
      <c r="E158" s="9">
        <v>131</v>
      </c>
      <c r="F158" s="9">
        <v>136</v>
      </c>
      <c r="G158" s="10">
        <v>-10.5</v>
      </c>
      <c r="H158" s="11">
        <v>230.5</v>
      </c>
      <c r="I158" s="10">
        <v>-10.5</v>
      </c>
      <c r="J158" s="12">
        <v>1.21978021978022</v>
      </c>
      <c r="K158" s="12">
        <v>4.5</v>
      </c>
      <c r="L158" s="11">
        <v>228.5</v>
      </c>
      <c r="M158" s="12">
        <v>1.909090909090909</v>
      </c>
      <c r="N158" s="12">
        <v>1.909090909090909</v>
      </c>
      <c r="O158" s="10">
        <v>-10.5</v>
      </c>
      <c r="P158" s="12">
        <v>1.892857142857143</v>
      </c>
      <c r="Q158" s="12">
        <v>1.925925925925926</v>
      </c>
      <c r="R158" s="12">
        <v>1.21978021978022</v>
      </c>
      <c r="S158" s="12">
        <v>4.5</v>
      </c>
      <c r="T158" s="8" t="s">
        <v>276</v>
      </c>
      <c r="U158" s="8" t="s">
        <v>275</v>
      </c>
      <c r="V158" s="11">
        <v>230.5</v>
      </c>
      <c r="W158" s="12">
        <v>1.909090909090909</v>
      </c>
      <c r="X158" s="12">
        <v>1.909090909090909</v>
      </c>
      <c r="Y158" s="13">
        <f>(1/R158)/((1/R158)+(1/S158))</f>
        <v>0.7867435158501441</v>
      </c>
      <c r="Z158" s="13">
        <f>(1/J158)/((1/J158)+(1/K158))</f>
        <v>0.7867435158501441</v>
      </c>
      <c r="AA158" s="14">
        <f>1/R158+1/S158-1</f>
        <v>0.04204204204204198</v>
      </c>
      <c r="AB158" s="15">
        <f>O158-I158</f>
        <v>0.0</v>
      </c>
      <c r="AC158" s="15">
        <f>IF(G158="","",G158-O158)</f>
        <v>0.0</v>
      </c>
      <c r="AD158" s="15">
        <f>H158-V158</f>
        <v>0.0</v>
      </c>
      <c r="AE158" s="16">
        <f>IF(F158&gt;E158,1,0)</f>
        <v>1</v>
      </c>
      <c r="AF158" s="16">
        <f>F158+E158</f>
        <v>267</v>
      </c>
      <c r="AG158" s="16">
        <f>IF(Y158=0.5,"",IF((Y158&gt;0.5)=(AE158=1),1,0))</f>
        <v>1</v>
      </c>
      <c r="AH158" s="16">
        <f>IF(Z158=0.5,"",IF((Z158&gt;0.5)=(AE158=1),1,0))</f>
        <v>1</v>
      </c>
      <c r="AI158" s="17" t="str">
        <f>IF(AF158&gt;V158,"Üst",IF(AF158&lt;V158,"Alt","Push"))</f>
        <v>Üst</v>
      </c>
    </row>
    <row r="159" spans="1:35">
      <c r="A159" s="7">
        <v>46105</v>
      </c>
      <c r="B159" s="8" t="s">
        <v>368</v>
      </c>
      <c r="C159" s="8" t="s">
        <v>92</v>
      </c>
      <c r="D159" s="8" t="s">
        <v>87</v>
      </c>
      <c r="E159" s="9">
        <v>125</v>
      </c>
      <c r="F159" s="9">
        <v>123</v>
      </c>
      <c r="G159" s="10">
        <v>6.5</v>
      </c>
      <c r="H159" s="11">
        <v>233.5</v>
      </c>
      <c r="I159" s="10">
        <v>5.5</v>
      </c>
      <c r="J159" s="12">
        <v>2.8</v>
      </c>
      <c r="K159" s="12">
        <v>1.458715596330275</v>
      </c>
      <c r="L159" s="11">
        <v>233.5</v>
      </c>
      <c r="M159" s="12">
        <v>1.909090909090909</v>
      </c>
      <c r="N159" s="12">
        <v>1.909090909090909</v>
      </c>
      <c r="O159" s="10">
        <v>5.5</v>
      </c>
      <c r="P159" s="12">
        <v>1.952380952380952</v>
      </c>
      <c r="Q159" s="12">
        <v>1.869565217391304</v>
      </c>
      <c r="R159" s="12">
        <v>2.85</v>
      </c>
      <c r="S159" s="12">
        <v>1.444444444444444</v>
      </c>
      <c r="T159" s="8" t="s">
        <v>146</v>
      </c>
      <c r="U159" s="8" t="s">
        <v>147</v>
      </c>
      <c r="V159" s="11">
        <v>233.5</v>
      </c>
      <c r="W159" s="12">
        <v>1.909090909090909</v>
      </c>
      <c r="X159" s="12">
        <v>1.909090909090909</v>
      </c>
      <c r="Y159" s="13">
        <f>(1/R159)/((1/R159)+(1/S159))</f>
        <v>0.33635187580853815</v>
      </c>
      <c r="Z159" s="13">
        <f>(1/J159)/((1/J159)+(1/K159))</f>
        <v>0.3425247738043946</v>
      </c>
      <c r="AA159" s="14">
        <f>1/R159+1/S159-1</f>
        <v>0.04318488529014841</v>
      </c>
      <c r="AB159" s="15">
        <f>O159-I159</f>
        <v>0.0</v>
      </c>
      <c r="AC159" s="15">
        <f>IF(G159="","",G159-O159)</f>
        <v>1.0</v>
      </c>
      <c r="AD159" s="15">
        <f>H159-V159</f>
        <v>0.0</v>
      </c>
      <c r="AE159" s="16">
        <f>IF(F159&gt;E159,1,0)</f>
        <v>0</v>
      </c>
      <c r="AF159" s="16">
        <f>F159+E159</f>
        <v>248</v>
      </c>
      <c r="AG159" s="16">
        <f>IF(Y159=0.5,"",IF((Y159&gt;0.5)=(AE159=1),1,0))</f>
        <v>1</v>
      </c>
      <c r="AH159" s="16">
        <f>IF(Z159=0.5,"",IF((Z159&gt;0.5)=(AE159=1),1,0))</f>
        <v>1</v>
      </c>
      <c r="AI159" s="17" t="str">
        <f>IF(AF159&gt;V159,"Üst",IF(AF159&lt;V159,"Alt","Push"))</f>
        <v>Üst</v>
      </c>
    </row>
    <row r="160" spans="1:35">
      <c r="A160" s="7">
        <v>46106</v>
      </c>
      <c r="B160" s="8" t="s">
        <v>369</v>
      </c>
      <c r="C160" s="8" t="s">
        <v>51</v>
      </c>
      <c r="D160" s="8" t="s">
        <v>81</v>
      </c>
      <c r="E160" s="9">
        <v>130</v>
      </c>
      <c r="F160" s="9">
        <v>129</v>
      </c>
      <c r="G160" s="10">
        <v>-3.5</v>
      </c>
      <c r="H160" s="11">
        <v>229.5</v>
      </c>
      <c r="I160" s="10">
        <v>-2.5</v>
      </c>
      <c r="J160" s="12">
        <v>1.704225352112676</v>
      </c>
      <c r="K160" s="12">
        <v>2.2</v>
      </c>
      <c r="L160" s="11">
        <v>226.5</v>
      </c>
      <c r="M160" s="12">
        <v>1.909090909090909</v>
      </c>
      <c r="N160" s="12">
        <v>1.909090909090909</v>
      </c>
      <c r="O160" s="10">
        <v>-2.5</v>
      </c>
      <c r="P160" s="12">
        <v>1.892857142857143</v>
      </c>
      <c r="Q160" s="12">
        <v>1.925925925925926</v>
      </c>
      <c r="R160" s="12">
        <v>1.675675675675676</v>
      </c>
      <c r="S160" s="12">
        <v>2.24</v>
      </c>
      <c r="T160" s="8" t="s">
        <v>83</v>
      </c>
      <c r="U160" s="8" t="s">
        <v>84</v>
      </c>
      <c r="V160" s="11">
        <v>229.5</v>
      </c>
      <c r="W160" s="12">
        <v>1.925925925925926</v>
      </c>
      <c r="X160" s="12">
        <v>1.892857142857143</v>
      </c>
      <c r="Y160" s="13">
        <f>(1/R160)/((1/R160)+(1/S160))</f>
        <v>0.5720596355604638</v>
      </c>
      <c r="Z160" s="13">
        <f>(1/J160)/((1/J160)+(1/K160))</f>
        <v>0.5634920634920635</v>
      </c>
      <c r="AA160" s="14">
        <f>1/R160+1/S160-1</f>
        <v>0.04320276497695863</v>
      </c>
      <c r="AB160" s="15">
        <f>O160-I160</f>
        <v>0.0</v>
      </c>
      <c r="AC160" s="15">
        <f>IF(G160="","",G160-O160)</f>
        <v>-1.0</v>
      </c>
      <c r="AD160" s="15">
        <f>H160-V160</f>
        <v>0.0</v>
      </c>
      <c r="AE160" s="16">
        <f>IF(F160&gt;E160,1,0)</f>
        <v>0</v>
      </c>
      <c r="AF160" s="16">
        <f>F160+E160</f>
        <v>259</v>
      </c>
      <c r="AG160" s="16">
        <f>IF(Y160=0.5,"",IF((Y160&gt;0.5)=(AE160=1),1,0))</f>
        <v>0</v>
      </c>
      <c r="AH160" s="16">
        <f>IF(Z160=0.5,"",IF((Z160&gt;0.5)=(AE160=1),1,0))</f>
        <v>0</v>
      </c>
      <c r="AI160" s="17" t="str">
        <f>IF(AF160&gt;V160,"Üst",IF(AF160&lt;V160,"Alt","Push"))</f>
        <v>Üst</v>
      </c>
    </row>
    <row r="161" spans="1:35">
      <c r="A161" s="7">
        <v>46106</v>
      </c>
      <c r="B161" s="8" t="s">
        <v>370</v>
      </c>
      <c r="C161" s="8" t="s">
        <v>91</v>
      </c>
      <c r="D161" s="8" t="s">
        <v>56</v>
      </c>
      <c r="E161" s="9">
        <v>137</v>
      </c>
      <c r="F161" s="9">
        <v>130</v>
      </c>
      <c r="G161" s="10">
        <v>8.5</v>
      </c>
      <c r="H161" s="11">
        <v>241.5</v>
      </c>
      <c r="I161" s="10">
        <v>12.5</v>
      </c>
      <c r="J161" s="12">
        <v>5.9</v>
      </c>
      <c r="K161" s="12">
        <v>1.148148148148148</v>
      </c>
      <c r="L161" s="11">
        <v>237.5</v>
      </c>
      <c r="M161" s="12">
        <v>1.909090909090909</v>
      </c>
      <c r="N161" s="12">
        <v>1.909090909090909</v>
      </c>
      <c r="O161" s="10">
        <v>8.5</v>
      </c>
      <c r="P161" s="12">
        <v>1.925925925925926</v>
      </c>
      <c r="Q161" s="12">
        <v>1.892857142857143</v>
      </c>
      <c r="R161" s="12">
        <v>4.3</v>
      </c>
      <c r="S161" s="12">
        <v>1.235294117647059</v>
      </c>
      <c r="T161" s="8" t="s">
        <v>178</v>
      </c>
      <c r="U161" s="8" t="s">
        <v>177</v>
      </c>
      <c r="V161" s="11">
        <v>241.5</v>
      </c>
      <c r="W161" s="12">
        <v>1.952380952380952</v>
      </c>
      <c r="X161" s="12">
        <v>1.869565217391304</v>
      </c>
      <c r="Y161" s="13">
        <f>(1/R161)/((1/R161)+(1/S161))</f>
        <v>0.22316684378320936</v>
      </c>
      <c r="Z161" s="13">
        <f>(1/J161)/((1/J161)+(1/K161))</f>
        <v>0.16290068313189698</v>
      </c>
      <c r="AA161" s="14">
        <f>1/R161+1/S161-1</f>
        <v>0.042081949058693224</v>
      </c>
      <c r="AB161" s="15">
        <f>O161-I161</f>
        <v>-4.0</v>
      </c>
      <c r="AC161" s="15">
        <f>IF(G161="","",G161-O161)</f>
        <v>0.0</v>
      </c>
      <c r="AD161" s="15">
        <f>H161-V161</f>
        <v>0.0</v>
      </c>
      <c r="AE161" s="16">
        <f>IF(F161&gt;E161,1,0)</f>
        <v>0</v>
      </c>
      <c r="AF161" s="16">
        <f>F161+E161</f>
        <v>267</v>
      </c>
      <c r="AG161" s="16">
        <f>IF(Y161=0.5,"",IF((Y161&gt;0.5)=(AE161=1),1,0))</f>
        <v>1</v>
      </c>
      <c r="AH161" s="16">
        <f>IF(Z161=0.5,"",IF((Z161&gt;0.5)=(AE161=1),1,0))</f>
        <v>1</v>
      </c>
      <c r="AI161" s="17" t="str">
        <f>IF(AF161&gt;V161,"Üst",IF(AF161&lt;V161,"Alt","Push"))</f>
        <v>Üst</v>
      </c>
    </row>
    <row r="162" spans="1:35">
      <c r="A162" s="7">
        <v>46106</v>
      </c>
      <c r="B162" s="8" t="s">
        <v>371</v>
      </c>
      <c r="C162" s="8" t="s">
        <v>86</v>
      </c>
      <c r="D162" s="8" t="s">
        <v>42</v>
      </c>
      <c r="E162" s="9">
        <v>137</v>
      </c>
      <c r="F162" s="9">
        <v>157</v>
      </c>
      <c r="G162" s="10">
        <v>-6.5</v>
      </c>
      <c r="H162" s="11">
        <v>240.5</v>
      </c>
      <c r="I162" s="10">
        <v>-6.5</v>
      </c>
      <c r="J162" s="12">
        <v>1.434782608695652</v>
      </c>
      <c r="K162" s="12">
        <v>2.9</v>
      </c>
      <c r="L162" s="11">
        <v>237.5</v>
      </c>
      <c r="M162" s="12">
        <v>1.952380952380952</v>
      </c>
      <c r="N162" s="12">
        <v>1.869565217391304</v>
      </c>
      <c r="O162" s="10">
        <v>-6.5</v>
      </c>
      <c r="P162" s="12">
        <v>1.952380952380952</v>
      </c>
      <c r="Q162" s="12">
        <v>1.869565217391304</v>
      </c>
      <c r="R162" s="12">
        <v>1.408163265306122</v>
      </c>
      <c r="S162" s="12">
        <v>3</v>
      </c>
      <c r="T162" s="8" t="s">
        <v>244</v>
      </c>
      <c r="U162" s="8" t="s">
        <v>245</v>
      </c>
      <c r="V162" s="11">
        <v>241.5</v>
      </c>
      <c r="W162" s="12">
        <v>1.892857142857143</v>
      </c>
      <c r="X162" s="12">
        <v>1.925925925925926</v>
      </c>
      <c r="Y162" s="13">
        <f>(1/R162)/((1/R162)+(1/S162))</f>
        <v>0.6805555555555556</v>
      </c>
      <c r="Z162" s="13">
        <f>(1/J162)/((1/J162)+(1/K162))</f>
        <v>0.6690070210631895</v>
      </c>
      <c r="AA162" s="14">
        <f>1/R162+1/S162-1</f>
        <v>0.04347826086956519</v>
      </c>
      <c r="AB162" s="15">
        <f>O162-I162</f>
        <v>0.0</v>
      </c>
      <c r="AC162" s="15">
        <f>IF(G162="","",G162-O162)</f>
        <v>0.0</v>
      </c>
      <c r="AD162" s="15">
        <f>H162-V162</f>
        <v>-1.0</v>
      </c>
      <c r="AE162" s="16">
        <f>IF(F162&gt;E162,1,0)</f>
        <v>1</v>
      </c>
      <c r="AF162" s="16">
        <f>F162+E162</f>
        <v>294</v>
      </c>
      <c r="AG162" s="16">
        <f>IF(Y162=0.5,"",IF((Y162&gt;0.5)=(AE162=1),1,0))</f>
        <v>1</v>
      </c>
      <c r="AH162" s="16">
        <f>IF(Z162=0.5,"",IF((Z162&gt;0.5)=(AE162=1),1,0))</f>
        <v>1</v>
      </c>
      <c r="AI162" s="17" t="str">
        <f>IF(AF162&gt;V162,"Üst",IF(AF162&lt;V162,"Alt","Push"))</f>
        <v>Üst</v>
      </c>
    </row>
    <row r="163" spans="1:35">
      <c r="A163" s="7">
        <v>46106</v>
      </c>
      <c r="B163" s="8" t="s">
        <v>372</v>
      </c>
      <c r="C163" s="8" t="s">
        <v>130</v>
      </c>
      <c r="D163" s="8" t="s">
        <v>101</v>
      </c>
      <c r="E163" s="9">
        <v>109</v>
      </c>
      <c r="F163" s="9">
        <v>119</v>
      </c>
      <c r="G163" s="10">
        <v>2.5</v>
      </c>
      <c r="H163" s="11">
        <v>222.5</v>
      </c>
      <c r="I163" s="10">
        <v>3.5</v>
      </c>
      <c r="J163" s="12">
        <v>2.24</v>
      </c>
      <c r="K163" s="12">
        <v>1.675675675675676</v>
      </c>
      <c r="L163" s="11">
        <v>217.5</v>
      </c>
      <c r="M163" s="12">
        <v>1.869565217391304</v>
      </c>
      <c r="N163" s="12">
        <v>1.952380952380952</v>
      </c>
      <c r="O163" s="10">
        <v>2.5</v>
      </c>
      <c r="P163" s="12">
        <v>1.869565217391304</v>
      </c>
      <c r="Q163" s="12">
        <v>1.952380952380952</v>
      </c>
      <c r="R163" s="12">
        <v>2.1</v>
      </c>
      <c r="S163" s="12">
        <v>1.769230769230769</v>
      </c>
      <c r="T163" s="8" t="s">
        <v>167</v>
      </c>
      <c r="U163" s="8" t="s">
        <v>168</v>
      </c>
      <c r="V163" s="11">
        <v>222.5</v>
      </c>
      <c r="W163" s="12">
        <v>1.909090909090909</v>
      </c>
      <c r="X163" s="12">
        <v>1.909090909090909</v>
      </c>
      <c r="Y163" s="13">
        <f>(1/R163)/((1/R163)+(1/S163))</f>
        <v>0.4572564612326044</v>
      </c>
      <c r="Z163" s="13">
        <f>(1/J163)/((1/J163)+(1/K163))</f>
        <v>0.4279403644395361</v>
      </c>
      <c r="AA163" s="14">
        <f>1/R163+1/S163-1</f>
        <v>0.04140786749482395</v>
      </c>
      <c r="AB163" s="15">
        <f>O163-I163</f>
        <v>-1.0</v>
      </c>
      <c r="AC163" s="15">
        <f>IF(G163="","",G163-O163)</f>
        <v>0.0</v>
      </c>
      <c r="AD163" s="15">
        <f>H163-V163</f>
        <v>0.0</v>
      </c>
      <c r="AE163" s="16">
        <f>IF(F163&gt;E163,1,0)</f>
        <v>1</v>
      </c>
      <c r="AF163" s="16">
        <f>F163+E163</f>
        <v>228</v>
      </c>
      <c r="AG163" s="16">
        <f>IF(Y163=0.5,"",IF((Y163&gt;0.5)=(AE163=1),1,0))</f>
        <v>0</v>
      </c>
      <c r="AH163" s="16">
        <f>IF(Z163=0.5,"",IF((Z163&gt;0.5)=(AE163=1),1,0))</f>
        <v>0</v>
      </c>
      <c r="AI163" s="17" t="str">
        <f>IF(AF163&gt;V163,"Üst",IF(AF163&lt;V163,"Alt","Push"))</f>
        <v>Üst</v>
      </c>
    </row>
    <row r="164" spans="1:35">
      <c r="A164" s="7">
        <v>46106</v>
      </c>
      <c r="B164" s="8" t="s">
        <v>373</v>
      </c>
      <c r="C164" s="8" t="s">
        <v>69</v>
      </c>
      <c r="D164" s="8" t="s">
        <v>134</v>
      </c>
      <c r="E164" s="9">
        <v>120</v>
      </c>
      <c r="F164" s="9">
        <v>103</v>
      </c>
      <c r="G164" s="10">
        <v>-2.5</v>
      </c>
      <c r="H164" s="11">
        <v>242.5</v>
      </c>
      <c r="I164" s="10">
        <v>-3.5</v>
      </c>
      <c r="J164" s="12">
        <v>1.617283950617284</v>
      </c>
      <c r="K164" s="12">
        <v>2.36</v>
      </c>
      <c r="L164" s="11">
        <v>242.5</v>
      </c>
      <c r="M164" s="12">
        <v>1.909090909090909</v>
      </c>
      <c r="N164" s="12">
        <v>1.909090909090909</v>
      </c>
      <c r="O164" s="10">
        <v>-2.5</v>
      </c>
      <c r="P164" s="12">
        <v>1.869565217391304</v>
      </c>
      <c r="Q164" s="12">
        <v>1.952380952380952</v>
      </c>
      <c r="R164" s="12">
        <v>1.675675675675676</v>
      </c>
      <c r="S164" s="12">
        <v>2.24</v>
      </c>
      <c r="T164" s="8" t="s">
        <v>83</v>
      </c>
      <c r="U164" s="8" t="s">
        <v>84</v>
      </c>
      <c r="V164" s="11">
        <v>243.5</v>
      </c>
      <c r="W164" s="12">
        <v>1.952380952380952</v>
      </c>
      <c r="X164" s="12">
        <v>1.869565217391304</v>
      </c>
      <c r="Y164" s="13">
        <f>(1/R164)/((1/R164)+(1/S164))</f>
        <v>0.5720596355604638</v>
      </c>
      <c r="Z164" s="13">
        <f>(1/J164)/((1/J164)+(1/K164))</f>
        <v>0.593369754159424</v>
      </c>
      <c r="AA164" s="14">
        <f>1/R164+1/S164-1</f>
        <v>0.04320276497695863</v>
      </c>
      <c r="AB164" s="15">
        <f>O164-I164</f>
        <v>1.0</v>
      </c>
      <c r="AC164" s="15">
        <f>IF(G164="","",G164-O164)</f>
        <v>0.0</v>
      </c>
      <c r="AD164" s="15">
        <f>H164-V164</f>
        <v>-1.0</v>
      </c>
      <c r="AE164" s="16">
        <f>IF(F164&gt;E164,1,0)</f>
        <v>0</v>
      </c>
      <c r="AF164" s="16">
        <f>F164+E164</f>
        <v>223</v>
      </c>
      <c r="AG164" s="16">
        <f>IF(Y164=0.5,"",IF((Y164&gt;0.5)=(AE164=1),1,0))</f>
        <v>0</v>
      </c>
      <c r="AH164" s="16">
        <f>IF(Z164=0.5,"",IF((Z164&gt;0.5)=(AE164=1),1,0))</f>
        <v>0</v>
      </c>
      <c r="AI164" s="17" t="str">
        <f>IF(AF164&gt;V164,"Üst",IF(AF164&lt;V164,"Alt","Push"))</f>
        <v>Alt</v>
      </c>
    </row>
    <row r="165" spans="1:35">
      <c r="A165" s="7">
        <v>46106</v>
      </c>
      <c r="B165" s="8" t="s">
        <v>374</v>
      </c>
      <c r="C165" s="8" t="s">
        <v>82</v>
      </c>
      <c r="D165" s="8" t="s">
        <v>47</v>
      </c>
      <c r="E165" s="9">
        <v>123</v>
      </c>
      <c r="F165" s="9">
        <v>98</v>
      </c>
      <c r="G165" s="10">
        <v>17.5</v>
      </c>
      <c r="H165" s="11">
        <v>234.5</v>
      </c>
      <c r="I165" s="10">
        <v>15.5</v>
      </c>
      <c r="J165" s="12">
        <v>8.5</v>
      </c>
      <c r="K165" s="12">
        <v>1.083333333333333</v>
      </c>
      <c r="L165" s="11">
        <v>235.5</v>
      </c>
      <c r="M165" s="12">
        <v>1.909090909090909</v>
      </c>
      <c r="N165" s="12">
        <v>1.909090909090909</v>
      </c>
      <c r="O165" s="10">
        <v>16.5</v>
      </c>
      <c r="P165" s="12">
        <v>1.980392156862745</v>
      </c>
      <c r="Q165" s="12">
        <v>1.847457627118644</v>
      </c>
      <c r="R165" s="12">
        <v>11</v>
      </c>
      <c r="S165" s="12">
        <v>1.055555555555556</v>
      </c>
      <c r="T165" s="8" t="s">
        <v>363</v>
      </c>
      <c r="U165" s="8" t="s">
        <v>362</v>
      </c>
      <c r="V165" s="11">
        <v>234.5</v>
      </c>
      <c r="W165" s="12">
        <v>1.909090909090909</v>
      </c>
      <c r="X165" s="12">
        <v>1.909090909090909</v>
      </c>
      <c r="Y165" s="13">
        <f>(1/R165)/((1/R165)+(1/S165))</f>
        <v>0.08755760368663595</v>
      </c>
      <c r="Z165" s="13">
        <f>(1/J165)/((1/J165)+(1/K165))</f>
        <v>0.11304347826086955</v>
      </c>
      <c r="AA165" s="14">
        <f>1/R165+1/S165-1</f>
        <v>0.038277511961722466</v>
      </c>
      <c r="AB165" s="15">
        <f>O165-I165</f>
        <v>1.0</v>
      </c>
      <c r="AC165" s="15">
        <f>IF(G165="","",G165-O165)</f>
        <v>1.0</v>
      </c>
      <c r="AD165" s="15">
        <f>H165-V165</f>
        <v>0.0</v>
      </c>
      <c r="AE165" s="16">
        <f>IF(F165&gt;E165,1,0)</f>
        <v>0</v>
      </c>
      <c r="AF165" s="16">
        <f>F165+E165</f>
        <v>221</v>
      </c>
      <c r="AG165" s="16">
        <f>IF(Y165=0.5,"",IF((Y165&gt;0.5)=(AE165=1),1,0))</f>
        <v>1</v>
      </c>
      <c r="AH165" s="16">
        <f>IF(Z165=0.5,"",IF((Z165&gt;0.5)=(AE165=1),1,0))</f>
        <v>1</v>
      </c>
      <c r="AI165" s="17" t="str">
        <f>IF(AF165&gt;V165,"Üst",IF(AF165&lt;V165,"Alt","Push"))</f>
        <v>Alt</v>
      </c>
    </row>
    <row r="166" spans="1:35">
      <c r="A166" s="7">
        <v>46106</v>
      </c>
      <c r="B166" s="8" t="s">
        <v>375</v>
      </c>
      <c r="C166" s="8" t="s">
        <v>64</v>
      </c>
      <c r="D166" s="8" t="s">
        <v>41</v>
      </c>
      <c r="E166" s="9">
        <v>133</v>
      </c>
      <c r="F166" s="9">
        <v>110</v>
      </c>
      <c r="G166" s="10">
        <v>-3.5</v>
      </c>
      <c r="H166" s="11">
        <v>239.5</v>
      </c>
      <c r="I166" s="10">
        <v>-4.5</v>
      </c>
      <c r="J166" s="12">
        <v>1.540540540540541</v>
      </c>
      <c r="K166" s="12">
        <v>2.54</v>
      </c>
      <c r="L166" s="11">
        <v>240.5</v>
      </c>
      <c r="M166" s="12">
        <v>1.925925925925926</v>
      </c>
      <c r="N166" s="12">
        <v>1.892857142857143</v>
      </c>
      <c r="O166" s="10">
        <v>-3.5</v>
      </c>
      <c r="P166" s="12">
        <v>1.952380952380952</v>
      </c>
      <c r="Q166" s="12">
        <v>1.869565217391304</v>
      </c>
      <c r="R166" s="12">
        <v>1.645161290322581</v>
      </c>
      <c r="S166" s="12">
        <v>2.3</v>
      </c>
      <c r="T166" s="8" t="s">
        <v>163</v>
      </c>
      <c r="U166" s="8" t="s">
        <v>164</v>
      </c>
      <c r="V166" s="11">
        <v>239.5</v>
      </c>
      <c r="W166" s="12">
        <v>1.909090909090909</v>
      </c>
      <c r="X166" s="12">
        <v>1.909090909090909</v>
      </c>
      <c r="Y166" s="13">
        <f>(1/R166)/((1/R166)+(1/S166))</f>
        <v>0.5829926410466066</v>
      </c>
      <c r="Z166" s="13">
        <f>(1/J166)/((1/J166)+(1/K166))</f>
        <v>0.6224665518611737</v>
      </c>
      <c r="AA166" s="14">
        <f>1/R166+1/S166-1</f>
        <v>0.04262574595055435</v>
      </c>
      <c r="AB166" s="15">
        <f>O166-I166</f>
        <v>1.0</v>
      </c>
      <c r="AC166" s="15">
        <f>IF(G166="","",G166-O166)</f>
        <v>0.0</v>
      </c>
      <c r="AD166" s="15">
        <f>H166-V166</f>
        <v>0.0</v>
      </c>
      <c r="AE166" s="16">
        <f>IF(F166&gt;E166,1,0)</f>
        <v>0</v>
      </c>
      <c r="AF166" s="16">
        <f>F166+E166</f>
        <v>243</v>
      </c>
      <c r="AG166" s="16">
        <f>IF(Y166=0.5,"",IF((Y166&gt;0.5)=(AE166=1),1,0))</f>
        <v>0</v>
      </c>
      <c r="AH166" s="16">
        <f>IF(Z166=0.5,"",IF((Z166&gt;0.5)=(AE166=1),1,0))</f>
        <v>0</v>
      </c>
      <c r="AI166" s="17" t="str">
        <f>IF(AF166&gt;V166,"Üst",IF(AF166&lt;V166,"Alt","Push"))</f>
        <v>Üst</v>
      </c>
    </row>
    <row r="167" spans="1:35">
      <c r="A167" s="7">
        <v>46106</v>
      </c>
      <c r="B167" s="8" t="s">
        <v>376</v>
      </c>
      <c r="C167" s="8" t="s">
        <v>74</v>
      </c>
      <c r="D167" s="8" t="s">
        <v>77</v>
      </c>
      <c r="E167" s="9">
        <v>108</v>
      </c>
      <c r="F167" s="9">
        <v>110</v>
      </c>
      <c r="G167" s="10">
        <v>1.5</v>
      </c>
      <c r="H167" s="11">
        <v>223.5</v>
      </c>
      <c r="I167" s="10">
        <v>1.5</v>
      </c>
      <c r="J167" s="12">
        <v>1.909090909090909</v>
      </c>
      <c r="K167" s="12">
        <v>1.909090909090909</v>
      </c>
      <c r="L167" s="11">
        <v>222.5</v>
      </c>
      <c r="M167" s="12">
        <v>1.869565217391304</v>
      </c>
      <c r="N167" s="12">
        <v>1.952380952380952</v>
      </c>
      <c r="O167" s="10">
        <v>1.5</v>
      </c>
      <c r="P167" s="12">
        <v>1.952380952380952</v>
      </c>
      <c r="Q167" s="12">
        <v>1.869565217391304</v>
      </c>
      <c r="R167" s="12">
        <v>2.1</v>
      </c>
      <c r="S167" s="12">
        <v>1.769230769230769</v>
      </c>
      <c r="T167" s="8" t="s">
        <v>167</v>
      </c>
      <c r="U167" s="8" t="s">
        <v>168</v>
      </c>
      <c r="V167" s="11">
        <v>223.5</v>
      </c>
      <c r="W167" s="12">
        <v>1.952380952380952</v>
      </c>
      <c r="X167" s="12">
        <v>1.869565217391304</v>
      </c>
      <c r="Y167" s="13">
        <f>(1/R167)/((1/R167)+(1/S167))</f>
        <v>0.4572564612326044</v>
      </c>
      <c r="Z167" s="13">
        <f>(1/J167)/((1/J167)+(1/K167))</f>
        <v>0.5</v>
      </c>
      <c r="AA167" s="14">
        <f>1/R167+1/S167-1</f>
        <v>0.04140786749482395</v>
      </c>
      <c r="AB167" s="15">
        <f>O167-I167</f>
        <v>0.0</v>
      </c>
      <c r="AC167" s="15">
        <f>IF(G167="","",G167-O167)</f>
        <v>0.0</v>
      </c>
      <c r="AD167" s="15">
        <f>H167-V167</f>
        <v>0.0</v>
      </c>
      <c r="AE167" s="16">
        <f>IF(F167&gt;E167,1,0)</f>
        <v>1</v>
      </c>
      <c r="AF167" s="16">
        <f>F167+E167</f>
        <v>218</v>
      </c>
      <c r="AG167" s="16">
        <f>IF(Y167=0.5,"",IF((Y167&gt;0.5)=(AE167=1),1,0))</f>
        <v>0</v>
      </c>
      <c r="AH167" s="16">
        <f>IF(Z167=0.5,"",IF((Z167&gt;0.5)=(AE167=1),1,0))</f>
        <v/>
      </c>
      <c r="AI167" s="17" t="str">
        <f>IF(AF167&gt;V167,"Üst",IF(AF167&lt;V167,"Alt","Push"))</f>
        <v>Alt</v>
      </c>
    </row>
    <row r="168" spans="1:35">
      <c r="A168" s="7">
        <v>46106</v>
      </c>
      <c r="B168" s="8" t="s">
        <v>377</v>
      </c>
      <c r="C168" s="8" t="s">
        <v>61</v>
      </c>
      <c r="D168" s="8" t="s">
        <v>92</v>
      </c>
      <c r="E168" s="9">
        <v>135</v>
      </c>
      <c r="F168" s="9">
        <v>142</v>
      </c>
      <c r="G168" s="10">
        <v>-10.5</v>
      </c>
      <c r="H168" s="11">
        <v>245.5</v>
      </c>
      <c r="I168" s="10">
        <v>-13.5</v>
      </c>
      <c r="J168" s="12">
        <v>1.111111111111111</v>
      </c>
      <c r="K168" s="12">
        <v>7</v>
      </c>
      <c r="L168" s="11">
        <v>244.5</v>
      </c>
      <c r="M168" s="12">
        <v>1.909090909090909</v>
      </c>
      <c r="N168" s="12">
        <v>1.909090909090909</v>
      </c>
      <c r="O168" s="10">
        <v>-10.5</v>
      </c>
      <c r="P168" s="12">
        <v>1.892857142857143</v>
      </c>
      <c r="Q168" s="12">
        <v>1.925925925925926</v>
      </c>
      <c r="R168" s="12">
        <v>1.153846153846154</v>
      </c>
      <c r="S168" s="12">
        <v>5.7</v>
      </c>
      <c r="T168" s="8" t="s">
        <v>58</v>
      </c>
      <c r="U168" s="8" t="s">
        <v>59</v>
      </c>
      <c r="V168" s="11">
        <v>246.5</v>
      </c>
      <c r="W168" s="12">
        <v>1.925925925925926</v>
      </c>
      <c r="X168" s="12">
        <v>1.892857142857143</v>
      </c>
      <c r="Y168" s="13">
        <f>(1/R168)/((1/R168)+(1/S168))</f>
        <v>0.8316498316498315</v>
      </c>
      <c r="Z168" s="13">
        <f>(1/J168)/((1/J168)+(1/K168))</f>
        <v>0.863013698630137</v>
      </c>
      <c r="AA168" s="14">
        <f>1/R168+1/S168-1</f>
        <v>0.04210526315789487</v>
      </c>
      <c r="AB168" s="15">
        <f>O168-I168</f>
        <v>3.0</v>
      </c>
      <c r="AC168" s="15">
        <f>IF(G168="","",G168-O168)</f>
        <v>0.0</v>
      </c>
      <c r="AD168" s="15">
        <f>H168-V168</f>
        <v>-1.0</v>
      </c>
      <c r="AE168" s="16">
        <f>IF(F168&gt;E168,1,0)</f>
        <v>1</v>
      </c>
      <c r="AF168" s="16">
        <f>F168+E168</f>
        <v>277</v>
      </c>
      <c r="AG168" s="16">
        <f>IF(Y168=0.5,"",IF((Y168&gt;0.5)=(AE168=1),1,0))</f>
        <v>1</v>
      </c>
      <c r="AH168" s="16">
        <f>IF(Z168=0.5,"",IF((Z168&gt;0.5)=(AE168=1),1,0))</f>
        <v>1</v>
      </c>
      <c r="AI168" s="17" t="str">
        <f>IF(AF168&gt;V168,"Üst",IF(AF168&lt;V168,"Alt","Push"))</f>
        <v>Üst</v>
      </c>
    </row>
    <row r="169" spans="1:35">
      <c r="A169" s="7">
        <v>46106</v>
      </c>
      <c r="B169" s="8" t="s">
        <v>378</v>
      </c>
      <c r="C169" s="8" t="s">
        <v>68</v>
      </c>
      <c r="D169" s="8" t="s">
        <v>73</v>
      </c>
      <c r="E169" s="9">
        <v>106</v>
      </c>
      <c r="F169" s="9">
        <v>109</v>
      </c>
      <c r="G169" s="10">
        <v>-12.5</v>
      </c>
      <c r="H169" s="11">
        <v>218.5</v>
      </c>
      <c r="I169" s="10">
        <v>-10.5</v>
      </c>
      <c r="J169" s="12">
        <v>1.181818181818182</v>
      </c>
      <c r="K169" s="12">
        <v>5.1</v>
      </c>
      <c r="L169" s="11">
        <v>218.5</v>
      </c>
      <c r="M169" s="12">
        <v>1.909090909090909</v>
      </c>
      <c r="N169" s="12">
        <v>1.909090909090909</v>
      </c>
      <c r="O169" s="10">
        <v>-12.5</v>
      </c>
      <c r="P169" s="12">
        <v>1.925925925925926</v>
      </c>
      <c r="Q169" s="12">
        <v>1.892857142857143</v>
      </c>
      <c r="R169" s="12">
        <v>1.16</v>
      </c>
      <c r="S169" s="12">
        <v>5.55</v>
      </c>
      <c r="T169" s="8" t="s">
        <v>131</v>
      </c>
      <c r="U169" s="8" t="s">
        <v>132</v>
      </c>
      <c r="V169" s="11">
        <v>217.5</v>
      </c>
      <c r="W169" s="12">
        <v>1.909090909090909</v>
      </c>
      <c r="X169" s="12">
        <v>1.909090909090909</v>
      </c>
      <c r="Y169" s="13">
        <f>(1/R169)/((1/R169)+(1/S169))</f>
        <v>0.827123695976155</v>
      </c>
      <c r="Z169" s="13">
        <f>(1/J169)/((1/J169)+(1/K169))</f>
        <v>0.8118668596237336</v>
      </c>
      <c r="AA169" s="14">
        <f>1/R169+1/S169-1</f>
        <v>0.042249145697421664</v>
      </c>
      <c r="AB169" s="15">
        <f>O169-I169</f>
        <v>-2.0</v>
      </c>
      <c r="AC169" s="15">
        <f>IF(G169="","",G169-O169)</f>
        <v>0.0</v>
      </c>
      <c r="AD169" s="15">
        <f>H169-V169</f>
        <v>1.0</v>
      </c>
      <c r="AE169" s="16">
        <f>IF(F169&gt;E169,1,0)</f>
        <v>1</v>
      </c>
      <c r="AF169" s="16">
        <f>F169+E169</f>
        <v>215</v>
      </c>
      <c r="AG169" s="16">
        <f>IF(Y169=0.5,"",IF((Y169&gt;0.5)=(AE169=1),1,0))</f>
        <v>1</v>
      </c>
      <c r="AH169" s="16">
        <f>IF(Z169=0.5,"",IF((Z169&gt;0.5)=(AE169=1),1,0))</f>
        <v>1</v>
      </c>
      <c r="AI169" s="17" t="str">
        <f>IF(AF169&gt;V169,"Üst",IF(AF169&lt;V169,"Alt","Push"))</f>
        <v>Alt</v>
      </c>
    </row>
    <row r="170" spans="1:35">
      <c r="A170" s="7">
        <v>46106</v>
      </c>
      <c r="B170" s="8" t="s">
        <v>379</v>
      </c>
      <c r="C170" s="8" t="s">
        <v>52</v>
      </c>
      <c r="D170" s="8" t="s">
        <v>46</v>
      </c>
      <c r="E170" s="9">
        <v>99</v>
      </c>
      <c r="F170" s="9">
        <v>130</v>
      </c>
      <c r="G170" s="10">
        <v>-15.5</v>
      </c>
      <c r="H170" s="11">
        <v>226.5</v>
      </c>
      <c r="I170" s="10">
        <v>-12.5</v>
      </c>
      <c r="J170" s="12">
        <v>1.16</v>
      </c>
      <c r="K170" s="12">
        <v>5.55</v>
      </c>
      <c r="L170" s="11">
        <v>225.5</v>
      </c>
      <c r="M170" s="12">
        <v>1.909090909090909</v>
      </c>
      <c r="N170" s="12">
        <v>1.909090909090909</v>
      </c>
      <c r="O170" s="10">
        <v>-15.5</v>
      </c>
      <c r="P170" s="12">
        <v>1.909090909090909</v>
      </c>
      <c r="Q170" s="12">
        <v>1.909090909090909</v>
      </c>
      <c r="R170" s="12">
        <v>1.095238095238095</v>
      </c>
      <c r="S170" s="12">
        <v>7.75</v>
      </c>
      <c r="T170" s="8" t="s">
        <v>201</v>
      </c>
      <c r="U170" s="8" t="s">
        <v>202</v>
      </c>
      <c r="V170" s="11">
        <v>226.5</v>
      </c>
      <c r="W170" s="12">
        <v>1.909090909090909</v>
      </c>
      <c r="X170" s="12">
        <v>1.909090909090909</v>
      </c>
      <c r="Y170" s="13">
        <f>(1/R170)/((1/R170)+(1/S170))</f>
        <v>0.8761776581426649</v>
      </c>
      <c r="Z170" s="13">
        <f>(1/J170)/((1/J170)+(1/K170))</f>
        <v>0.827123695976155</v>
      </c>
      <c r="AA170" s="14">
        <f>1/R170+1/S170-1</f>
        <v>0.04207573632538564</v>
      </c>
      <c r="AB170" s="15">
        <f>O170-I170</f>
        <v>-3.0</v>
      </c>
      <c r="AC170" s="15">
        <f>IF(G170="","",G170-O170)</f>
        <v>0.0</v>
      </c>
      <c r="AD170" s="15">
        <f>H170-V170</f>
        <v>0.0</v>
      </c>
      <c r="AE170" s="16">
        <f>IF(F170&gt;E170,1,0)</f>
        <v>1</v>
      </c>
      <c r="AF170" s="16">
        <f>F170+E170</f>
        <v>229</v>
      </c>
      <c r="AG170" s="16">
        <f>IF(Y170=0.5,"",IF((Y170&gt;0.5)=(AE170=1),1,0))</f>
        <v>1</v>
      </c>
      <c r="AH170" s="16">
        <f>IF(Z170=0.5,"",IF((Z170&gt;0.5)=(AE170=1),1,0))</f>
        <v>1</v>
      </c>
      <c r="AI170" s="17" t="str">
        <f>IF(AF170&gt;V170,"Üst",IF(AF170&lt;V170,"Alt","Push"))</f>
        <v>Üst</v>
      </c>
    </row>
    <row r="171" spans="1:35">
      <c r="A171" s="7">
        <v>46106</v>
      </c>
      <c r="B171" s="8" t="s">
        <v>380</v>
      </c>
      <c r="C171" s="8" t="s">
        <v>76</v>
      </c>
      <c r="D171" s="8" t="s">
        <v>57</v>
      </c>
      <c r="E171" s="9">
        <v>94</v>
      </c>
      <c r="F171" s="9">
        <v>119</v>
      </c>
      <c r="G171" s="10">
        <v>-3.5</v>
      </c>
      <c r="H171" s="11">
        <v>226.5</v>
      </c>
      <c r="I171" s="10">
        <v>-3.5</v>
      </c>
      <c r="J171" s="12">
        <v>1.645161290322581</v>
      </c>
      <c r="K171" s="12">
        <v>2.3</v>
      </c>
      <c r="L171" s="11">
        <v>224.5</v>
      </c>
      <c r="M171" s="12">
        <v>1.909090909090909</v>
      </c>
      <c r="N171" s="12">
        <v>1.909090909090909</v>
      </c>
      <c r="O171" s="10">
        <v>-3.5</v>
      </c>
      <c r="P171" s="12">
        <v>1.847457627118644</v>
      </c>
      <c r="Q171" s="12">
        <v>1.980392156862745</v>
      </c>
      <c r="R171" s="12">
        <v>1.555555555555556</v>
      </c>
      <c r="S171" s="12">
        <v>2.5</v>
      </c>
      <c r="T171" s="8" t="s">
        <v>344</v>
      </c>
      <c r="U171" s="8" t="s">
        <v>343</v>
      </c>
      <c r="V171" s="11">
        <v>226.5</v>
      </c>
      <c r="W171" s="12">
        <v>1.909090909090909</v>
      </c>
      <c r="X171" s="12">
        <v>1.909090909090909</v>
      </c>
      <c r="Y171" s="13">
        <f>(1/R171)/((1/R171)+(1/S171))</f>
        <v>0.6164383561643836</v>
      </c>
      <c r="Z171" s="13">
        <f>(1/J171)/((1/J171)+(1/K171))</f>
        <v>0.5829926410466066</v>
      </c>
      <c r="AA171" s="14">
        <f>1/R171+1/S171-1</f>
        <v>0.042857142857142705</v>
      </c>
      <c r="AB171" s="15">
        <f>O171-I171</f>
        <v>0.0</v>
      </c>
      <c r="AC171" s="15">
        <f>IF(G171="","",G171-O171)</f>
        <v>0.0</v>
      </c>
      <c r="AD171" s="15">
        <f>H171-V171</f>
        <v>0.0</v>
      </c>
      <c r="AE171" s="16">
        <f>IF(F171&gt;E171,1,0)</f>
        <v>1</v>
      </c>
      <c r="AF171" s="16">
        <f>F171+E171</f>
        <v>213</v>
      </c>
      <c r="AG171" s="16">
        <f>IF(Y171=0.5,"",IF((Y171&gt;0.5)=(AE171=1),1,0))</f>
        <v>1</v>
      </c>
      <c r="AH171" s="16">
        <f>IF(Z171=0.5,"",IF((Z171&gt;0.5)=(AE171=1),1,0))</f>
        <v>1</v>
      </c>
      <c r="AI171" s="17" t="str">
        <f>IF(AF171&gt;V171,"Üst",IF(AF171&lt;V171,"Alt","Push"))</f>
        <v>Alt</v>
      </c>
    </row>
    <row r="172" spans="1:35">
      <c r="A172" s="7">
        <v>46107</v>
      </c>
      <c r="B172" s="8" t="s">
        <v>381</v>
      </c>
      <c r="C172" s="8" t="s">
        <v>110</v>
      </c>
      <c r="D172" s="8" t="s">
        <v>105</v>
      </c>
      <c r="E172" s="9">
        <v>103</v>
      </c>
      <c r="F172" s="9">
        <v>114</v>
      </c>
      <c r="G172" s="10">
        <v>-2.5</v>
      </c>
      <c r="H172" s="11">
        <v>223.5</v>
      </c>
      <c r="I172" s="10">
        <v>1.5</v>
      </c>
      <c r="J172" s="12">
        <v>1.925925925925926</v>
      </c>
      <c r="K172" s="12">
        <v>1.892857142857143</v>
      </c>
      <c r="L172" s="11">
        <v>223.5</v>
      </c>
      <c r="M172" s="12">
        <v>1.869565217391304</v>
      </c>
      <c r="N172" s="12">
        <v>1.952380952380952</v>
      </c>
      <c r="O172" s="10">
        <v>-2.5</v>
      </c>
      <c r="P172" s="12">
        <v>1.952380952380952</v>
      </c>
      <c r="Q172" s="12">
        <v>1.869565217391304</v>
      </c>
      <c r="R172" s="12">
        <v>1.769230769230769</v>
      </c>
      <c r="S172" s="12">
        <v>2.1</v>
      </c>
      <c r="T172" s="8" t="s">
        <v>168</v>
      </c>
      <c r="U172" s="8" t="s">
        <v>167</v>
      </c>
      <c r="V172" s="11">
        <v>224.5</v>
      </c>
      <c r="W172" s="12">
        <v>1.952380952380952</v>
      </c>
      <c r="X172" s="12">
        <v>1.869565217391304</v>
      </c>
      <c r="Y172" s="13">
        <f>(1/R172)/((1/R172)+(1/S172))</f>
        <v>0.5427435387673957</v>
      </c>
      <c r="Z172" s="13">
        <f>(1/J172)/((1/J172)+(1/K172))</f>
        <v>0.4956702459300312</v>
      </c>
      <c r="AA172" s="14">
        <f>1/R172+1/S172-1</f>
        <v>0.04140786749482395</v>
      </c>
      <c r="AB172" s="15">
        <f>O172-I172</f>
        <v>-4.0</v>
      </c>
      <c r="AC172" s="15">
        <f>IF(G172="","",G172-O172)</f>
        <v>0.0</v>
      </c>
      <c r="AD172" s="15">
        <f>H172-V172</f>
        <v>-1.0</v>
      </c>
      <c r="AE172" s="16">
        <f>IF(F172&gt;E172,1,0)</f>
        <v>1</v>
      </c>
      <c r="AF172" s="16">
        <f>F172+E172</f>
        <v>217</v>
      </c>
      <c r="AG172" s="16">
        <f>IF(Y172=0.5,"",IF((Y172&gt;0.5)=(AE172=1),1,0))</f>
        <v>1</v>
      </c>
      <c r="AH172" s="16">
        <f>IF(Z172=0.5,"",IF((Z172&gt;0.5)=(AE172=1),1,0))</f>
        <v>0</v>
      </c>
      <c r="AI172" s="17" t="str">
        <f>IF(AF172&gt;V172,"Üst",IF(AF172&lt;V172,"Alt","Push"))</f>
        <v>Alt</v>
      </c>
    </row>
    <row r="173" spans="1:35">
      <c r="A173" s="7">
        <v>46107</v>
      </c>
      <c r="B173" s="8" t="s">
        <v>382</v>
      </c>
      <c r="C173" s="8" t="s">
        <v>96</v>
      </c>
      <c r="D173" s="8" t="s">
        <v>81</v>
      </c>
      <c r="E173" s="9">
        <v>108</v>
      </c>
      <c r="F173" s="9">
        <v>129</v>
      </c>
      <c r="G173" s="10">
        <v>-4.5</v>
      </c>
      <c r="H173" s="11">
        <v>225.5</v>
      </c>
      <c r="I173" s="10">
        <v>-5.5</v>
      </c>
      <c r="J173" s="12">
        <v>1.458715596330275</v>
      </c>
      <c r="K173" s="12">
        <v>2.8</v>
      </c>
      <c r="L173" s="11">
        <v>225.5</v>
      </c>
      <c r="M173" s="12">
        <v>1.909090909090909</v>
      </c>
      <c r="N173" s="12">
        <v>1.909090909090909</v>
      </c>
      <c r="O173" s="10">
        <v>-4.5</v>
      </c>
      <c r="P173" s="12">
        <v>1.869565217391304</v>
      </c>
      <c r="Q173" s="12">
        <v>1.952380952380952</v>
      </c>
      <c r="R173" s="12">
        <v>1.444444444444444</v>
      </c>
      <c r="S173" s="12">
        <v>2.85</v>
      </c>
      <c r="T173" s="8" t="s">
        <v>147</v>
      </c>
      <c r="U173" s="8" t="s">
        <v>146</v>
      </c>
      <c r="V173" s="11">
        <v>225.5</v>
      </c>
      <c r="W173" s="12">
        <v>1.869565217391304</v>
      </c>
      <c r="X173" s="12">
        <v>1.952380952380952</v>
      </c>
      <c r="Y173" s="13">
        <f>(1/R173)/((1/R173)+(1/S173))</f>
        <v>0.6636481241914618</v>
      </c>
      <c r="Z173" s="13">
        <f>(1/J173)/((1/J173)+(1/K173))</f>
        <v>0.6574752261956053</v>
      </c>
      <c r="AA173" s="14">
        <f>1/R173+1/S173-1</f>
        <v>0.04318488529014841</v>
      </c>
      <c r="AB173" s="15">
        <f>O173-I173</f>
        <v>1.0</v>
      </c>
      <c r="AC173" s="15">
        <f>IF(G173="","",G173-O173)</f>
        <v>0.0</v>
      </c>
      <c r="AD173" s="15">
        <f>H173-V173</f>
        <v>0.0</v>
      </c>
      <c r="AE173" s="16">
        <f>IF(F173&gt;E173,1,0)</f>
        <v>1</v>
      </c>
      <c r="AF173" s="16">
        <f>F173+E173</f>
        <v>237</v>
      </c>
      <c r="AG173" s="16">
        <f>IF(Y173=0.5,"",IF((Y173&gt;0.5)=(AE173=1),1,0))</f>
        <v>1</v>
      </c>
      <c r="AH173" s="16">
        <f>IF(Z173=0.5,"",IF((Z173&gt;0.5)=(AE173=1),1,0))</f>
        <v>1</v>
      </c>
      <c r="AI173" s="17" t="str">
        <f>IF(AF173&gt;V173,"Üst",IF(AF173&lt;V173,"Alt","Push"))</f>
        <v>Üst</v>
      </c>
    </row>
    <row r="174" spans="1:35">
      <c r="A174" s="7">
        <v>46107</v>
      </c>
      <c r="B174" s="8" t="s">
        <v>383</v>
      </c>
      <c r="C174" s="8" t="s">
        <v>97</v>
      </c>
      <c r="D174" s="8" t="s">
        <v>62</v>
      </c>
      <c r="E174" s="9">
        <v>117</v>
      </c>
      <c r="F174" s="9">
        <v>121</v>
      </c>
      <c r="G174" s="10">
        <v>-15.5</v>
      </c>
      <c r="H174" s="11">
        <v>231.5</v>
      </c>
      <c r="I174" s="10">
        <v>-15.5</v>
      </c>
      <c r="J174" s="12">
        <v>1.083333333333333</v>
      </c>
      <c r="K174" s="12">
        <v>8.5</v>
      </c>
      <c r="L174" s="11">
        <v>228.5</v>
      </c>
      <c r="M174" s="12">
        <v>1.909090909090909</v>
      </c>
      <c r="N174" s="12">
        <v>1.909090909090909</v>
      </c>
      <c r="O174" s="10">
        <v>-15.5</v>
      </c>
      <c r="P174" s="12">
        <v>1.892857142857143</v>
      </c>
      <c r="Q174" s="12">
        <v>1.925925925925926</v>
      </c>
      <c r="R174" s="12">
        <v>1.074074074074074</v>
      </c>
      <c r="S174" s="12">
        <v>9</v>
      </c>
      <c r="T174" s="8" t="s">
        <v>317</v>
      </c>
      <c r="U174" s="8" t="s">
        <v>316</v>
      </c>
      <c r="V174" s="11">
        <v>230.5</v>
      </c>
      <c r="W174" s="12">
        <v>1.869565217391304</v>
      </c>
      <c r="X174" s="12">
        <v>1.952380952380952</v>
      </c>
      <c r="Y174" s="13">
        <f>(1/R174)/((1/R174)+(1/S174))</f>
        <v>0.8933823529411764</v>
      </c>
      <c r="Z174" s="13">
        <f>(1/J174)/((1/J174)+(1/K174))</f>
        <v>0.8869565217391304</v>
      </c>
      <c r="AA174" s="14">
        <f>1/R174+1/S174-1</f>
        <v>0.042145593869731934</v>
      </c>
      <c r="AB174" s="15">
        <f>O174-I174</f>
        <v>0.0</v>
      </c>
      <c r="AC174" s="15">
        <f>IF(G174="","",G174-O174)</f>
        <v>0.0</v>
      </c>
      <c r="AD174" s="15">
        <f>H174-V174</f>
        <v>1.0</v>
      </c>
      <c r="AE174" s="16">
        <f>IF(F174&gt;E174,1,0)</f>
        <v>1</v>
      </c>
      <c r="AF174" s="16">
        <f>F174+E174</f>
        <v>238</v>
      </c>
      <c r="AG174" s="16">
        <f>IF(Y174=0.5,"",IF((Y174&gt;0.5)=(AE174=1),1,0))</f>
        <v>1</v>
      </c>
      <c r="AH174" s="16">
        <f>IF(Z174=0.5,"",IF((Z174&gt;0.5)=(AE174=1),1,0))</f>
        <v>1</v>
      </c>
      <c r="AI174" s="17" t="str">
        <f>IF(AF174&gt;V174,"Üst",IF(AF174&lt;V174,"Alt","Push"))</f>
        <v>Üst</v>
      </c>
    </row>
    <row r="175" spans="1:35">
      <c r="A175" s="7">
        <v>46108</v>
      </c>
      <c r="B175" s="8" t="s">
        <v>384</v>
      </c>
      <c r="C175" s="8" t="s">
        <v>57</v>
      </c>
      <c r="D175" s="8" t="s">
        <v>56</v>
      </c>
      <c r="E175" s="9">
        <v>114</v>
      </c>
      <c r="F175" s="9">
        <v>113</v>
      </c>
      <c r="G175" s="10">
        <v>9.5</v>
      </c>
      <c r="H175" s="11">
        <v>236.5</v>
      </c>
      <c r="I175" s="10">
        <v>9.5</v>
      </c>
      <c r="J175" s="12">
        <v>4.4</v>
      </c>
      <c r="K175" s="12">
        <v>1.227272727272727</v>
      </c>
      <c r="L175" s="11">
        <v>235.5</v>
      </c>
      <c r="M175" s="12">
        <v>1.909090909090909</v>
      </c>
      <c r="N175" s="12">
        <v>1.909090909090909</v>
      </c>
      <c r="O175" s="10">
        <v>8.5</v>
      </c>
      <c r="P175" s="12">
        <v>1.980392156862745</v>
      </c>
      <c r="Q175" s="12">
        <v>1.847457627118644</v>
      </c>
      <c r="R175" s="12">
        <v>4</v>
      </c>
      <c r="S175" s="12">
        <v>1.263157894736842</v>
      </c>
      <c r="T175" s="8" t="s">
        <v>233</v>
      </c>
      <c r="U175" s="8" t="s">
        <v>232</v>
      </c>
      <c r="V175" s="11">
        <v>235.5</v>
      </c>
      <c r="W175" s="12">
        <v>1.869565217391304</v>
      </c>
      <c r="X175" s="12">
        <v>1.952380952380952</v>
      </c>
      <c r="Y175" s="13">
        <f>(1/R175)/((1/R175)+(1/S175))</f>
        <v>0.24</v>
      </c>
      <c r="Z175" s="13">
        <f>(1/J175)/((1/J175)+(1/K175))</f>
        <v>0.21809369951534735</v>
      </c>
      <c r="AA175" s="14">
        <f>1/R175+1/S175-1</f>
        <v>0.04166666666666674</v>
      </c>
      <c r="AB175" s="15">
        <f>O175-I175</f>
        <v>-1.0</v>
      </c>
      <c r="AC175" s="15">
        <f>IF(G175="","",G175-O175)</f>
        <v>1.0</v>
      </c>
      <c r="AD175" s="15">
        <f>H175-V175</f>
        <v>1.0</v>
      </c>
      <c r="AE175" s="16">
        <f>IF(F175&gt;E175,1,0)</f>
        <v>0</v>
      </c>
      <c r="AF175" s="16">
        <f>F175+E175</f>
        <v>227</v>
      </c>
      <c r="AG175" s="16">
        <f>IF(Y175=0.5,"",IF((Y175&gt;0.5)=(AE175=1),1,0))</f>
        <v>1</v>
      </c>
      <c r="AH175" s="16">
        <f>IF(Z175=0.5,"",IF((Z175&gt;0.5)=(AE175=1),1,0))</f>
        <v>1</v>
      </c>
      <c r="AI175" s="17" t="str">
        <f>IF(AF175&gt;V175,"Üst",IF(AF175&lt;V175,"Alt","Push"))</f>
        <v>Alt</v>
      </c>
    </row>
    <row r="176" spans="1:35">
      <c r="A176" s="7">
        <v>46108</v>
      </c>
      <c r="B176" s="8" t="s">
        <v>385</v>
      </c>
      <c r="C176" s="8" t="s">
        <v>51</v>
      </c>
      <c r="D176" s="8" t="s">
        <v>101</v>
      </c>
      <c r="E176" s="9">
        <v>102</v>
      </c>
      <c r="F176" s="9">
        <v>109</v>
      </c>
      <c r="G176" s="10">
        <v>-4.5</v>
      </c>
      <c r="H176" s="11">
        <v>223.5</v>
      </c>
      <c r="I176" s="10">
        <v>-7.5</v>
      </c>
      <c r="J176" s="12">
        <v>1.359712230215827</v>
      </c>
      <c r="K176" s="12">
        <v>3.25</v>
      </c>
      <c r="L176" s="11">
        <v>224.5</v>
      </c>
      <c r="M176" s="12">
        <v>1.909090909090909</v>
      </c>
      <c r="N176" s="12">
        <v>1.909090909090909</v>
      </c>
      <c r="O176" s="10">
        <v>-4.5</v>
      </c>
      <c r="P176" s="12">
        <v>1.869565217391304</v>
      </c>
      <c r="Q176" s="12">
        <v>1.952380952380952</v>
      </c>
      <c r="R176" s="12">
        <v>1.458715596330275</v>
      </c>
      <c r="S176" s="12">
        <v>2.8</v>
      </c>
      <c r="T176" s="8" t="s">
        <v>78</v>
      </c>
      <c r="U176" s="8" t="s">
        <v>79</v>
      </c>
      <c r="V176" s="11">
        <v>223.5</v>
      </c>
      <c r="W176" s="12">
        <v>1.892857142857143</v>
      </c>
      <c r="X176" s="12">
        <v>1.925925925925926</v>
      </c>
      <c r="Y176" s="13">
        <f>(1/R176)/((1/R176)+(1/S176))</f>
        <v>0.6574752261956053</v>
      </c>
      <c r="Z176" s="13">
        <f>(1/J176)/((1/J176)+(1/K176))</f>
        <v>0.705033164260632</v>
      </c>
      <c r="AA176" s="14">
        <f>1/R176+1/S176-1</f>
        <v>0.04267744833782583</v>
      </c>
      <c r="AB176" s="15">
        <f>O176-I176</f>
        <v>3.0</v>
      </c>
      <c r="AC176" s="15">
        <f>IF(G176="","",G176-O176)</f>
        <v>0.0</v>
      </c>
      <c r="AD176" s="15">
        <f>H176-V176</f>
        <v>0.0</v>
      </c>
      <c r="AE176" s="16">
        <f>IF(F176&gt;E176,1,0)</f>
        <v>1</v>
      </c>
      <c r="AF176" s="16">
        <f>F176+E176</f>
        <v>211</v>
      </c>
      <c r="AG176" s="16">
        <f>IF(Y176=0.5,"",IF((Y176&gt;0.5)=(AE176=1),1,0))</f>
        <v>1</v>
      </c>
      <c r="AH176" s="16">
        <f>IF(Z176=0.5,"",IF((Z176&gt;0.5)=(AE176=1),1,0))</f>
        <v>1</v>
      </c>
      <c r="AI176" s="17" t="str">
        <f>IF(AF176&gt;V176,"Üst",IF(AF176&lt;V176,"Alt","Push"))</f>
        <v>Alt</v>
      </c>
    </row>
    <row r="177" spans="1:35">
      <c r="A177" s="7">
        <v>46108</v>
      </c>
      <c r="B177" s="8" t="s">
        <v>386</v>
      </c>
      <c r="C177" s="8" t="s">
        <v>69</v>
      </c>
      <c r="D177" s="8" t="s">
        <v>134</v>
      </c>
      <c r="E177" s="9">
        <v>128</v>
      </c>
      <c r="F177" s="9">
        <v>149</v>
      </c>
      <c r="G177" s="10">
        <v>-5.5</v>
      </c>
      <c r="H177" s="11">
        <v>241.5</v>
      </c>
      <c r="I177" s="10">
        <v>-4.5</v>
      </c>
      <c r="J177" s="12">
        <v>1.555555555555556</v>
      </c>
      <c r="K177" s="12">
        <v>2.5</v>
      </c>
      <c r="L177" s="11">
        <v>241.5</v>
      </c>
      <c r="M177" s="12">
        <v>1.909090909090909</v>
      </c>
      <c r="N177" s="12">
        <v>1.909090909090909</v>
      </c>
      <c r="O177" s="10">
        <v>-5.5</v>
      </c>
      <c r="P177" s="12">
        <v>1.909090909090909</v>
      </c>
      <c r="Q177" s="12">
        <v>1.909090909090909</v>
      </c>
      <c r="R177" s="12">
        <v>1.458715596330275</v>
      </c>
      <c r="S177" s="12">
        <v>2.8</v>
      </c>
      <c r="T177" s="8" t="s">
        <v>78</v>
      </c>
      <c r="U177" s="8" t="s">
        <v>79</v>
      </c>
      <c r="V177" s="11">
        <v>240.5</v>
      </c>
      <c r="W177" s="12">
        <v>1.892857142857143</v>
      </c>
      <c r="X177" s="12">
        <v>1.925925925925926</v>
      </c>
      <c r="Y177" s="13">
        <f>(1/R177)/((1/R177)+(1/S177))</f>
        <v>0.6574752261956053</v>
      </c>
      <c r="Z177" s="13">
        <f>(1/J177)/((1/J177)+(1/K177))</f>
        <v>0.6164383561643836</v>
      </c>
      <c r="AA177" s="14">
        <f>1/R177+1/S177-1</f>
        <v>0.04267744833782583</v>
      </c>
      <c r="AB177" s="15">
        <f>O177-I177</f>
        <v>-1.0</v>
      </c>
      <c r="AC177" s="15">
        <f>IF(G177="","",G177-O177)</f>
        <v>0.0</v>
      </c>
      <c r="AD177" s="15">
        <f>H177-V177</f>
        <v>1.0</v>
      </c>
      <c r="AE177" s="16">
        <f>IF(F177&gt;E177,1,0)</f>
        <v>1</v>
      </c>
      <c r="AF177" s="16">
        <f>F177+E177</f>
        <v>277</v>
      </c>
      <c r="AG177" s="16">
        <f>IF(Y177=0.5,"",IF((Y177&gt;0.5)=(AE177=1),1,0))</f>
        <v>1</v>
      </c>
      <c r="AH177" s="16">
        <f>IF(Z177=0.5,"",IF((Z177&gt;0.5)=(AE177=1),1,0))</f>
        <v>1</v>
      </c>
      <c r="AI177" s="17" t="str">
        <f>IF(AF177&gt;V177,"Üst",IF(AF177&lt;V177,"Alt","Push"))</f>
        <v>Üst</v>
      </c>
    </row>
    <row r="178" spans="1:35">
      <c r="A178" s="7">
        <v>46108</v>
      </c>
      <c r="B178" s="8" t="s">
        <v>387</v>
      </c>
      <c r="C178" s="8" t="s">
        <v>74</v>
      </c>
      <c r="D178" s="8" t="s">
        <v>47</v>
      </c>
      <c r="E178" s="9">
        <v>119</v>
      </c>
      <c r="F178" s="9">
        <v>109</v>
      </c>
      <c r="G178" s="10">
        <v>13.5</v>
      </c>
      <c r="H178" s="11">
        <v>227.5</v>
      </c>
      <c r="I178" s="10">
        <v>12.5</v>
      </c>
      <c r="J178" s="12">
        <v>6</v>
      </c>
      <c r="K178" s="12">
        <v>1.142857142857143</v>
      </c>
      <c r="L178" s="11">
        <v>226.5</v>
      </c>
      <c r="M178" s="12">
        <v>1.909090909090909</v>
      </c>
      <c r="N178" s="12">
        <v>1.909090909090909</v>
      </c>
      <c r="O178" s="10">
        <v>13.5</v>
      </c>
      <c r="P178" s="12">
        <v>1.980392156862745</v>
      </c>
      <c r="Q178" s="12">
        <v>1.847457627118644</v>
      </c>
      <c r="R178" s="12">
        <v>7.25</v>
      </c>
      <c r="S178" s="12">
        <v>1.105263157894737</v>
      </c>
      <c r="T178" s="8" t="s">
        <v>206</v>
      </c>
      <c r="U178" s="8" t="s">
        <v>205</v>
      </c>
      <c r="V178" s="11">
        <v>227.5</v>
      </c>
      <c r="W178" s="12">
        <v>1.869565217391304</v>
      </c>
      <c r="X178" s="12">
        <v>1.952380952380952</v>
      </c>
      <c r="Y178" s="13">
        <f>(1/R178)/((1/R178)+(1/S178))</f>
        <v>0.1322834645669291</v>
      </c>
      <c r="Z178" s="13">
        <f>(1/J178)/((1/J178)+(1/K178))</f>
        <v>0.15999999999999998</v>
      </c>
      <c r="AA178" s="14">
        <f>1/R178+1/S178-1</f>
        <v>0.04269293924466355</v>
      </c>
      <c r="AB178" s="15">
        <f>O178-I178</f>
        <v>1.0</v>
      </c>
      <c r="AC178" s="15">
        <f>IF(G178="","",G178-O178)</f>
        <v>0.0</v>
      </c>
      <c r="AD178" s="15">
        <f>H178-V178</f>
        <v>0.0</v>
      </c>
      <c r="AE178" s="16">
        <f>IF(F178&gt;E178,1,0)</f>
        <v>0</v>
      </c>
      <c r="AF178" s="16">
        <f>F178+E178</f>
        <v>228</v>
      </c>
      <c r="AG178" s="16">
        <f>IF(Y178=0.5,"",IF((Y178&gt;0.5)=(AE178=1),1,0))</f>
        <v>1</v>
      </c>
      <c r="AH178" s="16">
        <f>IF(Z178=0.5,"",IF((Z178&gt;0.5)=(AE178=1),1,0))</f>
        <v>1</v>
      </c>
      <c r="AI178" s="17" t="str">
        <f>IF(AF178&gt;V178,"Üst",IF(AF178&lt;V178,"Alt","Push"))</f>
        <v>Üst</v>
      </c>
    </row>
    <row r="179" spans="1:35">
      <c r="A179" s="7">
        <v>46108</v>
      </c>
      <c r="B179" s="8" t="s">
        <v>388</v>
      </c>
      <c r="C179" s="8" t="s">
        <v>86</v>
      </c>
      <c r="D179" s="8" t="s">
        <v>130</v>
      </c>
      <c r="E179" s="9">
        <v>113</v>
      </c>
      <c r="F179" s="9">
        <v>131</v>
      </c>
      <c r="G179" s="10">
        <v>-19.5</v>
      </c>
      <c r="H179" s="11">
        <v>241.5</v>
      </c>
      <c r="I179" s="10">
        <v>-19.5</v>
      </c>
      <c r="J179" s="12">
        <v>1.035714285714286</v>
      </c>
      <c r="K179" s="12">
        <v>14</v>
      </c>
      <c r="L179" s="11">
        <v>236.5</v>
      </c>
      <c r="M179" s="12">
        <v>1.909090909090909</v>
      </c>
      <c r="N179" s="12">
        <v>1.909090909090909</v>
      </c>
      <c r="O179" s="10">
        <v>-18.5</v>
      </c>
      <c r="P179" s="12">
        <v>1.869565217391304</v>
      </c>
      <c r="Q179" s="12">
        <v>1.952380952380952</v>
      </c>
      <c r="R179" s="12">
        <v>1.047619047619048</v>
      </c>
      <c r="S179" s="12">
        <v>12</v>
      </c>
      <c r="T179" s="8" t="s">
        <v>279</v>
      </c>
      <c r="U179" s="8" t="s">
        <v>278</v>
      </c>
      <c r="V179" s="11">
        <v>241.5</v>
      </c>
      <c r="W179" s="12">
        <v>1.892857142857143</v>
      </c>
      <c r="X179" s="12">
        <v>1.925925925925926</v>
      </c>
      <c r="Y179" s="13">
        <f>(1/R179)/((1/R179)+(1/S179))</f>
        <v>0.9197080291970803</v>
      </c>
      <c r="Z179" s="13">
        <f>(1/J179)/((1/J179)+(1/K179))</f>
        <v>0.9311163895486936</v>
      </c>
      <c r="AA179" s="14">
        <f>1/R179+1/S179-1</f>
        <v>0.037878787878787845</v>
      </c>
      <c r="AB179" s="15">
        <f>O179-I179</f>
        <v>1.0</v>
      </c>
      <c r="AC179" s="15">
        <f>IF(G179="","",G179-O179)</f>
        <v>-1.0</v>
      </c>
      <c r="AD179" s="15">
        <f>H179-V179</f>
        <v>0.0</v>
      </c>
      <c r="AE179" s="16">
        <f>IF(F179&gt;E179,1,0)</f>
        <v>1</v>
      </c>
      <c r="AF179" s="16">
        <f>F179+E179</f>
        <v>244</v>
      </c>
      <c r="AG179" s="16">
        <f>IF(Y179=0.5,"",IF((Y179&gt;0.5)=(AE179=1),1,0))</f>
        <v>1</v>
      </c>
      <c r="AH179" s="16">
        <f>IF(Z179=0.5,"",IF((Z179&gt;0.5)=(AE179=1),1,0))</f>
        <v>1</v>
      </c>
      <c r="AI179" s="17" t="str">
        <f>IF(AF179&gt;V179,"Üst",IF(AF179&lt;V179,"Alt","Push"))</f>
        <v>Üst</v>
      </c>
    </row>
    <row r="180" spans="1:35">
      <c r="A180" s="7">
        <v>46108</v>
      </c>
      <c r="B180" s="8" t="s">
        <v>389</v>
      </c>
      <c r="C180" s="8" t="s">
        <v>96</v>
      </c>
      <c r="D180" s="8" t="s">
        <v>76</v>
      </c>
      <c r="E180" s="9">
        <v>106</v>
      </c>
      <c r="F180" s="9">
        <v>119</v>
      </c>
      <c r="G180" s="10">
        <v>-8.5</v>
      </c>
      <c r="H180" s="11">
        <v>229.5</v>
      </c>
      <c r="I180" s="10">
        <v>-7.5</v>
      </c>
      <c r="J180" s="12">
        <v>1.359712230215827</v>
      </c>
      <c r="K180" s="12">
        <v>3.25</v>
      </c>
      <c r="L180" s="11">
        <v>228.5</v>
      </c>
      <c r="M180" s="12">
        <v>1.909090909090909</v>
      </c>
      <c r="N180" s="12">
        <v>1.909090909090909</v>
      </c>
      <c r="O180" s="10">
        <v>-8.5</v>
      </c>
      <c r="P180" s="12">
        <v>1.909090909090909</v>
      </c>
      <c r="Q180" s="12">
        <v>1.909090909090909</v>
      </c>
      <c r="R180" s="12">
        <v>1.307692307692308</v>
      </c>
      <c r="S180" s="12">
        <v>3.6</v>
      </c>
      <c r="T180" s="8" t="s">
        <v>43</v>
      </c>
      <c r="U180" s="8" t="s">
        <v>44</v>
      </c>
      <c r="V180" s="11">
        <v>229.5</v>
      </c>
      <c r="W180" s="12">
        <v>1.925925925925926</v>
      </c>
      <c r="X180" s="12">
        <v>1.892857142857143</v>
      </c>
      <c r="Y180" s="13">
        <f>(1/R180)/((1/R180)+(1/S180))</f>
        <v>0.7335423197492164</v>
      </c>
      <c r="Z180" s="13">
        <f>(1/J180)/((1/J180)+(1/K180))</f>
        <v>0.705033164260632</v>
      </c>
      <c r="AA180" s="14">
        <f>1/R180+1/S180-1</f>
        <v>0.0424836601307188</v>
      </c>
      <c r="AB180" s="15">
        <f>O180-I180</f>
        <v>-1.0</v>
      </c>
      <c r="AC180" s="15">
        <f>IF(G180="","",G180-O180)</f>
        <v>0.0</v>
      </c>
      <c r="AD180" s="15">
        <f>H180-V180</f>
        <v>0.0</v>
      </c>
      <c r="AE180" s="16">
        <f>IF(F180&gt;E180,1,0)</f>
        <v>1</v>
      </c>
      <c r="AF180" s="16">
        <f>F180+E180</f>
        <v>225</v>
      </c>
      <c r="AG180" s="16">
        <f>IF(Y180=0.5,"",IF((Y180&gt;0.5)=(AE180=1),1,0))</f>
        <v>1</v>
      </c>
      <c r="AH180" s="16">
        <f>IF(Z180=0.5,"",IF((Z180&gt;0.5)=(AE180=1),1,0))</f>
        <v>1</v>
      </c>
      <c r="AI180" s="17" t="str">
        <f>IF(AF180&gt;V180,"Üst",IF(AF180&lt;V180,"Alt","Push"))</f>
        <v>Alt</v>
      </c>
    </row>
    <row r="181" spans="1:35">
      <c r="A181" s="7">
        <v>46108</v>
      </c>
      <c r="B181" s="8" t="s">
        <v>390</v>
      </c>
      <c r="C181" s="8" t="s">
        <v>41</v>
      </c>
      <c r="D181" s="8" t="s">
        <v>92</v>
      </c>
      <c r="E181" s="9">
        <v>129</v>
      </c>
      <c r="F181" s="9">
        <v>135</v>
      </c>
      <c r="G181" s="10">
        <v>-19.5</v>
      </c>
      <c r="H181" s="11">
        <v>247.5</v>
      </c>
      <c r="I181" s="10">
        <v>-18.5</v>
      </c>
      <c r="J181" s="12">
        <v>1.035714285714286</v>
      </c>
      <c r="K181" s="12">
        <v>14</v>
      </c>
      <c r="L181" s="11">
        <v>248.5</v>
      </c>
      <c r="M181" s="12">
        <v>1.909090909090909</v>
      </c>
      <c r="N181" s="12">
        <v>1.909090909090909</v>
      </c>
      <c r="O181" s="10">
        <v>-19.5</v>
      </c>
      <c r="P181" s="12">
        <v>1.869565217391304</v>
      </c>
      <c r="Q181" s="12">
        <v>1.952380952380952</v>
      </c>
      <c r="R181" s="12">
        <v>1.047619047619048</v>
      </c>
      <c r="S181" s="12">
        <v>12</v>
      </c>
      <c r="T181" s="8" t="s">
        <v>279</v>
      </c>
      <c r="U181" s="8" t="s">
        <v>278</v>
      </c>
      <c r="V181" s="11">
        <v>247.5</v>
      </c>
      <c r="W181" s="12">
        <v>1.892857142857143</v>
      </c>
      <c r="X181" s="12">
        <v>1.925925925925926</v>
      </c>
      <c r="Y181" s="13">
        <f>(1/R181)/((1/R181)+(1/S181))</f>
        <v>0.9197080291970803</v>
      </c>
      <c r="Z181" s="13">
        <f>(1/J181)/((1/J181)+(1/K181))</f>
        <v>0.9311163895486936</v>
      </c>
      <c r="AA181" s="14">
        <f>1/R181+1/S181-1</f>
        <v>0.037878787878787845</v>
      </c>
      <c r="AB181" s="15">
        <f>O181-I181</f>
        <v>-1.0</v>
      </c>
      <c r="AC181" s="15">
        <f>IF(G181="","",G181-O181)</f>
        <v>0.0</v>
      </c>
      <c r="AD181" s="15">
        <f>H181-V181</f>
        <v>0.0</v>
      </c>
      <c r="AE181" s="16">
        <f>IF(F181&gt;E181,1,0)</f>
        <v>1</v>
      </c>
      <c r="AF181" s="16">
        <f>F181+E181</f>
        <v>264</v>
      </c>
      <c r="AG181" s="16">
        <f>IF(Y181=0.5,"",IF((Y181&gt;0.5)=(AE181=1),1,0))</f>
        <v>1</v>
      </c>
      <c r="AH181" s="16">
        <f>IF(Z181=0.5,"",IF((Z181&gt;0.5)=(AE181=1),1,0))</f>
        <v>1</v>
      </c>
      <c r="AI181" s="17" t="str">
        <f>IF(AF181&gt;V181,"Üst",IF(AF181&lt;V181,"Alt","Push"))</f>
        <v>Üst</v>
      </c>
    </row>
    <row r="182" spans="1:35">
      <c r="A182" s="7">
        <v>46108</v>
      </c>
      <c r="B182" s="8" t="s">
        <v>391</v>
      </c>
      <c r="C182" s="8" t="s">
        <v>64</v>
      </c>
      <c r="D182" s="8" t="s">
        <v>73</v>
      </c>
      <c r="E182" s="9">
        <v>126</v>
      </c>
      <c r="F182" s="9">
        <v>131</v>
      </c>
      <c r="G182" s="10">
        <v>-12.5</v>
      </c>
      <c r="H182" s="11">
        <v>230.5</v>
      </c>
      <c r="I182" s="10">
        <v>-13.5</v>
      </c>
      <c r="J182" s="12">
        <v>1.125</v>
      </c>
      <c r="K182" s="12">
        <v>6.5</v>
      </c>
      <c r="L182" s="11">
        <v>234.5</v>
      </c>
      <c r="M182" s="12">
        <v>1.909090909090909</v>
      </c>
      <c r="N182" s="12">
        <v>1.909090909090909</v>
      </c>
      <c r="O182" s="10">
        <v>-12.5</v>
      </c>
      <c r="P182" s="12">
        <v>1.952380952380952</v>
      </c>
      <c r="Q182" s="12">
        <v>1.869565217391304</v>
      </c>
      <c r="R182" s="12">
        <v>1.133333333333333</v>
      </c>
      <c r="S182" s="12">
        <v>6.25</v>
      </c>
      <c r="T182" s="8" t="s">
        <v>287</v>
      </c>
      <c r="U182" s="8" t="s">
        <v>286</v>
      </c>
      <c r="V182" s="11">
        <v>230.5</v>
      </c>
      <c r="W182" s="12">
        <v>1.909090909090909</v>
      </c>
      <c r="X182" s="12">
        <v>1.909090909090909</v>
      </c>
      <c r="Y182" s="13">
        <f>(1/R182)/((1/R182)+(1/S182))</f>
        <v>0.8465011286681716</v>
      </c>
      <c r="Z182" s="13">
        <f>(1/J182)/((1/J182)+(1/K182))</f>
        <v>0.8524590163934427</v>
      </c>
      <c r="AA182" s="14">
        <f>1/R182+1/S182-1</f>
        <v>0.04235294117647048</v>
      </c>
      <c r="AB182" s="15">
        <f>O182-I182</f>
        <v>1.0</v>
      </c>
      <c r="AC182" s="15">
        <f>IF(G182="","",G182-O182)</f>
        <v>0.0</v>
      </c>
      <c r="AD182" s="15">
        <f>H182-V182</f>
        <v>0.0</v>
      </c>
      <c r="AE182" s="16">
        <f>IF(F182&gt;E182,1,0)</f>
        <v>1</v>
      </c>
      <c r="AF182" s="16">
        <f>F182+E182</f>
        <v>257</v>
      </c>
      <c r="AG182" s="16">
        <f>IF(Y182=0.5,"",IF((Y182&gt;0.5)=(AE182=1),1,0))</f>
        <v>1</v>
      </c>
      <c r="AH182" s="16">
        <f>IF(Z182=0.5,"",IF((Z182&gt;0.5)=(AE182=1),1,0))</f>
        <v>1</v>
      </c>
      <c r="AI182" s="17" t="str">
        <f>IF(AF182&gt;V182,"Üst",IF(AF182&lt;V182,"Alt","Push"))</f>
        <v>Üst</v>
      </c>
    </row>
    <row r="183" spans="1:35">
      <c r="A183" s="7">
        <v>46108</v>
      </c>
      <c r="B183" s="8" t="s">
        <v>392</v>
      </c>
      <c r="C183" s="8" t="s">
        <v>61</v>
      </c>
      <c r="D183" s="8" t="s">
        <v>46</v>
      </c>
      <c r="E183" s="9">
        <v>100</v>
      </c>
      <c r="F183" s="9">
        <v>93</v>
      </c>
      <c r="G183" s="10">
        <v>-10.5</v>
      </c>
      <c r="H183" s="11">
        <v>240.5</v>
      </c>
      <c r="I183" s="10">
        <v>-9.5</v>
      </c>
      <c r="J183" s="12">
        <v>1.24390243902439</v>
      </c>
      <c r="K183" s="12">
        <v>4.2</v>
      </c>
      <c r="L183" s="11">
        <v>235.5</v>
      </c>
      <c r="M183" s="12">
        <v>1.909090909090909</v>
      </c>
      <c r="N183" s="12">
        <v>1.909090909090909</v>
      </c>
      <c r="O183" s="10">
        <v>-10.5</v>
      </c>
      <c r="P183" s="12">
        <v>1.892857142857143</v>
      </c>
      <c r="Q183" s="12">
        <v>1.925925925925926</v>
      </c>
      <c r="R183" s="12">
        <v>1.2</v>
      </c>
      <c r="S183" s="12">
        <v>4.8</v>
      </c>
      <c r="T183" s="8" t="s">
        <v>235</v>
      </c>
      <c r="U183" s="8" t="s">
        <v>236</v>
      </c>
      <c r="V183" s="11">
        <v>240.5</v>
      </c>
      <c r="W183" s="12">
        <v>1.892857142857143</v>
      </c>
      <c r="X183" s="12">
        <v>1.925925925925926</v>
      </c>
      <c r="Y183" s="13">
        <f>(1/R183)/((1/R183)+(1/S183))</f>
        <v>0.7999999999999999</v>
      </c>
      <c r="Z183" s="13">
        <f>(1/J183)/((1/J183)+(1/K183))</f>
        <v>0.771505376344086</v>
      </c>
      <c r="AA183" s="14">
        <f>1/R183+1/S183-1</f>
        <v>0.04166666666666674</v>
      </c>
      <c r="AB183" s="15">
        <f>O183-I183</f>
        <v>-1.0</v>
      </c>
      <c r="AC183" s="15">
        <f>IF(G183="","",G183-O183)</f>
        <v>0.0</v>
      </c>
      <c r="AD183" s="15">
        <f>H183-V183</f>
        <v>0.0</v>
      </c>
      <c r="AE183" s="16">
        <f>IF(F183&gt;E183,1,0)</f>
        <v>0</v>
      </c>
      <c r="AF183" s="16">
        <f>F183+E183</f>
        <v>193</v>
      </c>
      <c r="AG183" s="16">
        <f>IF(Y183=0.5,"",IF((Y183&gt;0.5)=(AE183=1),1,0))</f>
        <v>0</v>
      </c>
      <c r="AH183" s="16">
        <f>IF(Z183=0.5,"",IF((Z183&gt;0.5)=(AE183=1),1,0))</f>
        <v>0</v>
      </c>
      <c r="AI183" s="17" t="str">
        <f>IF(AF183&gt;V183,"Üst",IF(AF183&lt;V183,"Alt","Push"))</f>
        <v>Alt</v>
      </c>
    </row>
    <row r="184" spans="1:35">
      <c r="A184" s="7">
        <v>46108</v>
      </c>
      <c r="B184" s="8" t="s">
        <v>393</v>
      </c>
      <c r="C184" s="8" t="s">
        <v>68</v>
      </c>
      <c r="D184" s="8" t="s">
        <v>91</v>
      </c>
      <c r="E184" s="9">
        <v>99</v>
      </c>
      <c r="F184" s="9">
        <v>116</v>
      </c>
      <c r="G184" s="10">
        <v>-18.5</v>
      </c>
      <c r="H184" s="11">
        <v>225.5</v>
      </c>
      <c r="I184" s="10">
        <v>-17.5</v>
      </c>
      <c r="J184" s="12">
        <v>1.0625</v>
      </c>
      <c r="K184" s="12">
        <v>10</v>
      </c>
      <c r="L184" s="11">
        <v>220.5</v>
      </c>
      <c r="M184" s="12">
        <v>1.909090909090909</v>
      </c>
      <c r="N184" s="12">
        <v>1.909090909090909</v>
      </c>
      <c r="O184" s="10">
        <v>-18.5</v>
      </c>
      <c r="P184" s="12">
        <v>1.952380952380952</v>
      </c>
      <c r="Q184" s="12">
        <v>1.869565217391304</v>
      </c>
      <c r="R184" s="12">
        <v>1.047619047619048</v>
      </c>
      <c r="S184" s="12">
        <v>12</v>
      </c>
      <c r="T184" s="8" t="s">
        <v>279</v>
      </c>
      <c r="U184" s="8" t="s">
        <v>278</v>
      </c>
      <c r="V184" s="11">
        <v>224.5</v>
      </c>
      <c r="W184" s="12">
        <v>1.869565217391304</v>
      </c>
      <c r="X184" s="12">
        <v>1.952380952380952</v>
      </c>
      <c r="Y184" s="13">
        <f>(1/R184)/((1/R184)+(1/S184))</f>
        <v>0.9197080291970803</v>
      </c>
      <c r="Z184" s="13">
        <f>(1/J184)/((1/J184)+(1/K184))</f>
        <v>0.9039548022598869</v>
      </c>
      <c r="AA184" s="14">
        <f>1/R184+1/S184-1</f>
        <v>0.037878787878787845</v>
      </c>
      <c r="AB184" s="15">
        <f>O184-I184</f>
        <v>-1.0</v>
      </c>
      <c r="AC184" s="15">
        <f>IF(G184="","",G184-O184)</f>
        <v>0.0</v>
      </c>
      <c r="AD184" s="15">
        <f>H184-V184</f>
        <v>1.0</v>
      </c>
      <c r="AE184" s="16">
        <f>IF(F184&gt;E184,1,0)</f>
        <v>1</v>
      </c>
      <c r="AF184" s="16">
        <f>F184+E184</f>
        <v>215</v>
      </c>
      <c r="AG184" s="16">
        <f>IF(Y184=0.5,"",IF((Y184&gt;0.5)=(AE184=1),1,0))</f>
        <v>1</v>
      </c>
      <c r="AH184" s="16">
        <f>IF(Z184=0.5,"",IF((Z184&gt;0.5)=(AE184=1),1,0))</f>
        <v>1</v>
      </c>
      <c r="AI184" s="17" t="str">
        <f>IF(AF184&gt;V184,"Üst",IF(AF184&lt;V184,"Alt","Push"))</f>
        <v>Alt</v>
      </c>
    </row>
    <row r="185" spans="1:35">
      <c r="A185" s="7">
        <v>46109</v>
      </c>
      <c r="B185" s="8" t="s">
        <v>394</v>
      </c>
      <c r="C185" s="8" t="s">
        <v>82</v>
      </c>
      <c r="D185" s="8" t="s">
        <v>52</v>
      </c>
      <c r="E185" s="9">
        <v>127</v>
      </c>
      <c r="F185" s="9">
        <v>95</v>
      </c>
      <c r="G185" s="10">
        <v>17.5</v>
      </c>
      <c r="H185" s="11">
        <v>226.5</v>
      </c>
      <c r="I185" s="10">
        <v>18.5</v>
      </c>
      <c r="J185" s="12">
        <v>11</v>
      </c>
      <c r="K185" s="12">
        <v>1.055555555555556</v>
      </c>
      <c r="L185" s="11">
        <v>226.5</v>
      </c>
      <c r="M185" s="12">
        <v>1.909090909090909</v>
      </c>
      <c r="N185" s="12">
        <v>1.909090909090909</v>
      </c>
      <c r="O185" s="10">
        <v>17.5</v>
      </c>
      <c r="P185" s="12">
        <v>1.892857142857143</v>
      </c>
      <c r="Q185" s="12">
        <v>1.925925925925926</v>
      </c>
      <c r="R185" s="12">
        <v>11</v>
      </c>
      <c r="S185" s="12">
        <v>1.055555555555556</v>
      </c>
      <c r="T185" s="8" t="s">
        <v>363</v>
      </c>
      <c r="U185" s="8" t="s">
        <v>362</v>
      </c>
      <c r="V185" s="11">
        <v>227.5</v>
      </c>
      <c r="W185" s="12">
        <v>1.952380952380952</v>
      </c>
      <c r="X185" s="12">
        <v>1.869565217391304</v>
      </c>
      <c r="Y185" s="13">
        <f>(1/R185)/((1/R185)+(1/S185))</f>
        <v>0.08755760368663595</v>
      </c>
      <c r="Z185" s="13">
        <f>(1/J185)/((1/J185)+(1/K185))</f>
        <v>0.08755760368663595</v>
      </c>
      <c r="AA185" s="14">
        <f>1/R185+1/S185-1</f>
        <v>0.038277511961722466</v>
      </c>
      <c r="AB185" s="15">
        <f>O185-I185</f>
        <v>-1.0</v>
      </c>
      <c r="AC185" s="15">
        <f>IF(G185="","",G185-O185)</f>
        <v>0.0</v>
      </c>
      <c r="AD185" s="15">
        <f>H185-V185</f>
        <v>-1.0</v>
      </c>
      <c r="AE185" s="16">
        <f>IF(F185&gt;E185,1,0)</f>
        <v>0</v>
      </c>
      <c r="AF185" s="16">
        <f>F185+E185</f>
        <v>222</v>
      </c>
      <c r="AG185" s="16">
        <f>IF(Y185=0.5,"",IF((Y185&gt;0.5)=(AE185=1),1,0))</f>
        <v>1</v>
      </c>
      <c r="AH185" s="16">
        <f>IF(Z185=0.5,"",IF((Z185&gt;0.5)=(AE185=1),1,0))</f>
        <v>1</v>
      </c>
      <c r="AI185" s="17" t="str">
        <f>IF(AF185&gt;V185,"Üst",IF(AF185&lt;V185,"Alt","Push"))</f>
        <v>Alt</v>
      </c>
    </row>
    <row r="186" spans="1:35">
      <c r="A186" s="7">
        <v>46109</v>
      </c>
      <c r="B186" s="8" t="s">
        <v>395</v>
      </c>
      <c r="C186" s="8" t="s">
        <v>42</v>
      </c>
      <c r="D186" s="8" t="s">
        <v>105</v>
      </c>
      <c r="E186" s="9">
        <v>118</v>
      </c>
      <c r="F186" s="9">
        <v>114</v>
      </c>
      <c r="G186" s="10">
        <v>-6.5</v>
      </c>
      <c r="H186" s="11">
        <v>234.5</v>
      </c>
      <c r="I186" s="10">
        <v>-5.5</v>
      </c>
      <c r="J186" s="12">
        <v>1.48780487804878</v>
      </c>
      <c r="K186" s="12">
        <v>2.7</v>
      </c>
      <c r="L186" s="11">
        <v>229.5</v>
      </c>
      <c r="M186" s="12">
        <v>1.909090909090909</v>
      </c>
      <c r="N186" s="12">
        <v>1.909090909090909</v>
      </c>
      <c r="O186" s="10">
        <v>-6.5</v>
      </c>
      <c r="P186" s="12">
        <v>1.909090909090909</v>
      </c>
      <c r="Q186" s="12">
        <v>1.909090909090909</v>
      </c>
      <c r="R186" s="12">
        <v>1.4</v>
      </c>
      <c r="S186" s="12">
        <v>3.05</v>
      </c>
      <c r="T186" s="8" t="s">
        <v>310</v>
      </c>
      <c r="U186" s="8" t="s">
        <v>309</v>
      </c>
      <c r="V186" s="11">
        <v>231.5</v>
      </c>
      <c r="W186" s="12">
        <v>1.869565217391304</v>
      </c>
      <c r="X186" s="12">
        <v>1.952380952380952</v>
      </c>
      <c r="Y186" s="13">
        <f>(1/R186)/((1/R186)+(1/S186))</f>
        <v>0.6853932584269663</v>
      </c>
      <c r="Z186" s="13">
        <f>(1/J186)/((1/J186)+(1/K186))</f>
        <v>0.644729178800233</v>
      </c>
      <c r="AA186" s="14">
        <f>1/R186+1/S186-1</f>
        <v>0.042154566744730726</v>
      </c>
      <c r="AB186" s="15">
        <f>O186-I186</f>
        <v>-1.0</v>
      </c>
      <c r="AC186" s="15">
        <f>IF(G186="","",G186-O186)</f>
        <v>0.0</v>
      </c>
      <c r="AD186" s="15">
        <f>H186-V186</f>
        <v>3.0</v>
      </c>
      <c r="AE186" s="16">
        <f>IF(F186&gt;E186,1,0)</f>
        <v>0</v>
      </c>
      <c r="AF186" s="16">
        <f>F186+E186</f>
        <v>232</v>
      </c>
      <c r="AG186" s="16">
        <f>IF(Y186=0.5,"",IF((Y186&gt;0.5)=(AE186=1),1,0))</f>
        <v>0</v>
      </c>
      <c r="AH186" s="16">
        <f>IF(Z186=0.5,"",IF((Z186&gt;0.5)=(AE186=1),1,0))</f>
        <v>0</v>
      </c>
      <c r="AI186" s="17" t="str">
        <f>IF(AF186&gt;V186,"Üst",IF(AF186&lt;V186,"Alt","Push"))</f>
        <v>Üst</v>
      </c>
    </row>
    <row r="187" spans="1:35">
      <c r="A187" s="7">
        <v>46109</v>
      </c>
      <c r="B187" s="8" t="s">
        <v>396</v>
      </c>
      <c r="C187" s="8" t="s">
        <v>97</v>
      </c>
      <c r="D187" s="8" t="s">
        <v>51</v>
      </c>
      <c r="E187" s="9">
        <v>113</v>
      </c>
      <c r="F187" s="9">
        <v>123</v>
      </c>
      <c r="G187" s="10">
        <v>-12.5</v>
      </c>
      <c r="H187" s="11">
        <v>234.5</v>
      </c>
      <c r="I187" s="10">
        <v>-15.5</v>
      </c>
      <c r="J187" s="12">
        <v>1.111111111111111</v>
      </c>
      <c r="K187" s="12">
        <v>7</v>
      </c>
      <c r="L187" s="11">
        <v>237.5</v>
      </c>
      <c r="M187" s="12">
        <v>1.892857142857143</v>
      </c>
      <c r="N187" s="12">
        <v>1.925925925925926</v>
      </c>
      <c r="O187" s="10">
        <v>-13.5</v>
      </c>
      <c r="P187" s="12">
        <v>1.925925925925926</v>
      </c>
      <c r="Q187" s="12">
        <v>1.892857142857143</v>
      </c>
      <c r="R187" s="12">
        <v>1.125</v>
      </c>
      <c r="S187" s="12">
        <v>6.5</v>
      </c>
      <c r="T187" s="8" t="s">
        <v>70</v>
      </c>
      <c r="U187" s="8" t="s">
        <v>71</v>
      </c>
      <c r="V187" s="11">
        <v>234.5</v>
      </c>
      <c r="W187" s="12">
        <v>1.909090909090909</v>
      </c>
      <c r="X187" s="12">
        <v>1.909090909090909</v>
      </c>
      <c r="Y187" s="13">
        <f>(1/R187)/((1/R187)+(1/S187))</f>
        <v>0.8524590163934427</v>
      </c>
      <c r="Z187" s="13">
        <f>(1/J187)/((1/J187)+(1/K187))</f>
        <v>0.863013698630137</v>
      </c>
      <c r="AA187" s="14">
        <f>1/R187+1/S187-1</f>
        <v>0.04273504273504258</v>
      </c>
      <c r="AB187" s="15">
        <f>O187-I187</f>
        <v>2.0</v>
      </c>
      <c r="AC187" s="15">
        <f>IF(G187="","",G187-O187)</f>
        <v>1.0</v>
      </c>
      <c r="AD187" s="15">
        <f>H187-V187</f>
        <v>0.0</v>
      </c>
      <c r="AE187" s="16">
        <f>IF(F187&gt;E187,1,0)</f>
        <v>1</v>
      </c>
      <c r="AF187" s="16">
        <f>F187+E187</f>
        <v>236</v>
      </c>
      <c r="AG187" s="16">
        <f>IF(Y187=0.5,"",IF((Y187&gt;0.5)=(AE187=1),1,0))</f>
        <v>1</v>
      </c>
      <c r="AH187" s="16">
        <f>IF(Z187=0.5,"",IF((Z187&gt;0.5)=(AE187=1),1,0))</f>
        <v>1</v>
      </c>
      <c r="AI187" s="17" t="str">
        <f>IF(AF187&gt;V187,"Üst",IF(AF187&lt;V187,"Alt","Push"))</f>
        <v>Üst</v>
      </c>
    </row>
    <row r="188" spans="1:35">
      <c r="A188" s="7">
        <v>46109</v>
      </c>
      <c r="B188" s="8" t="s">
        <v>397</v>
      </c>
      <c r="C188" s="8" t="s">
        <v>86</v>
      </c>
      <c r="D188" s="8" t="s">
        <v>47</v>
      </c>
      <c r="E188" s="9">
        <v>124</v>
      </c>
      <c r="F188" s="9">
        <v>125</v>
      </c>
      <c r="G188" s="10">
        <v>5.5</v>
      </c>
      <c r="H188" s="11">
        <v>247.5</v>
      </c>
      <c r="I188" s="10">
        <v>3.5</v>
      </c>
      <c r="J188" s="12">
        <v>2.36</v>
      </c>
      <c r="K188" s="12">
        <v>1.617283950617284</v>
      </c>
      <c r="L188" s="11">
        <v>243.5</v>
      </c>
      <c r="M188" s="12">
        <v>1.892857142857143</v>
      </c>
      <c r="N188" s="12">
        <v>1.925925925925926</v>
      </c>
      <c r="O188" s="10">
        <v>5.5</v>
      </c>
      <c r="P188" s="12">
        <v>1.869565217391304</v>
      </c>
      <c r="Q188" s="12">
        <v>1.952380952380952</v>
      </c>
      <c r="R188" s="12">
        <v>2.7</v>
      </c>
      <c r="S188" s="12">
        <v>1.48780487804878</v>
      </c>
      <c r="T188" s="8" t="s">
        <v>152</v>
      </c>
      <c r="U188" s="8" t="s">
        <v>153</v>
      </c>
      <c r="V188" s="11">
        <v>247.5</v>
      </c>
      <c r="W188" s="12">
        <v>1.869565217391304</v>
      </c>
      <c r="X188" s="12">
        <v>1.952380952380952</v>
      </c>
      <c r="Y188" s="13">
        <f>(1/R188)/((1/R188)+(1/S188))</f>
        <v>0.35527082119976705</v>
      </c>
      <c r="Z188" s="13">
        <f>(1/J188)/((1/J188)+(1/K188))</f>
        <v>0.4066302458405761</v>
      </c>
      <c r="AA188" s="14">
        <f>1/R188+1/S188-1</f>
        <v>0.042501517911353925</v>
      </c>
      <c r="AB188" s="15">
        <f>O188-I188</f>
        <v>2.0</v>
      </c>
      <c r="AC188" s="15">
        <f>IF(G188="","",G188-O188)</f>
        <v>0.0</v>
      </c>
      <c r="AD188" s="15">
        <f>H188-V188</f>
        <v>0.0</v>
      </c>
      <c r="AE188" s="16">
        <f>IF(F188&gt;E188,1,0)</f>
        <v>1</v>
      </c>
      <c r="AF188" s="16">
        <f>F188+E188</f>
        <v>249</v>
      </c>
      <c r="AG188" s="16">
        <f>IF(Y188=0.5,"",IF((Y188&gt;0.5)=(AE188=1),1,0))</f>
        <v>0</v>
      </c>
      <c r="AH188" s="16">
        <f>IF(Z188=0.5,"",IF((Z188&gt;0.5)=(AE188=1),1,0))</f>
        <v>0</v>
      </c>
      <c r="AI188" s="17" t="str">
        <f>IF(AF188&gt;V188,"Üst",IF(AF188&lt;V188,"Alt","Push"))</f>
        <v>Üst</v>
      </c>
    </row>
    <row r="189" spans="1:35">
      <c r="A189" s="7">
        <v>46109</v>
      </c>
      <c r="B189" s="8" t="s">
        <v>398</v>
      </c>
      <c r="C189" s="8" t="s">
        <v>81</v>
      </c>
      <c r="D189" s="8" t="s">
        <v>77</v>
      </c>
      <c r="E189" s="9">
        <v>109</v>
      </c>
      <c r="F189" s="9">
        <v>87</v>
      </c>
      <c r="G189" s="10">
        <v>2.5</v>
      </c>
      <c r="H189" s="11">
        <v>222.5</v>
      </c>
      <c r="I189" s="10">
        <v>-2.5</v>
      </c>
      <c r="J189" s="12">
        <v>1.769230769230769</v>
      </c>
      <c r="K189" s="12">
        <v>2.1</v>
      </c>
      <c r="L189" s="11">
        <v>224.5</v>
      </c>
      <c r="M189" s="12">
        <v>1.909090909090909</v>
      </c>
      <c r="N189" s="12">
        <v>1.909090909090909</v>
      </c>
      <c r="O189" s="10">
        <v>2.5</v>
      </c>
      <c r="P189" s="12">
        <v>1.847457627118644</v>
      </c>
      <c r="Q189" s="12">
        <v>1.980392156862745</v>
      </c>
      <c r="R189" s="12">
        <v>2.1</v>
      </c>
      <c r="S189" s="12">
        <v>1.769230769230769</v>
      </c>
      <c r="T189" s="8" t="s">
        <v>167</v>
      </c>
      <c r="U189" s="8" t="s">
        <v>168</v>
      </c>
      <c r="V189" s="11">
        <v>221.5</v>
      </c>
      <c r="W189" s="12">
        <v>1.869565217391304</v>
      </c>
      <c r="X189" s="12">
        <v>1.952380952380952</v>
      </c>
      <c r="Y189" s="13">
        <f>(1/R189)/((1/R189)+(1/S189))</f>
        <v>0.4572564612326044</v>
      </c>
      <c r="Z189" s="13">
        <f>(1/J189)/((1/J189)+(1/K189))</f>
        <v>0.5427435387673957</v>
      </c>
      <c r="AA189" s="14">
        <f>1/R189+1/S189-1</f>
        <v>0.04140786749482395</v>
      </c>
      <c r="AB189" s="15">
        <f>O189-I189</f>
        <v>5.0</v>
      </c>
      <c r="AC189" s="15">
        <f>IF(G189="","",G189-O189)</f>
        <v>0.0</v>
      </c>
      <c r="AD189" s="15">
        <f>H189-V189</f>
        <v>1.0</v>
      </c>
      <c r="AE189" s="16">
        <f>IF(F189&gt;E189,1,0)</f>
        <v>0</v>
      </c>
      <c r="AF189" s="16">
        <f>F189+E189</f>
        <v>196</v>
      </c>
      <c r="AG189" s="16">
        <f>IF(Y189=0.5,"",IF((Y189&gt;0.5)=(AE189=1),1,0))</f>
        <v>1</v>
      </c>
      <c r="AH189" s="16">
        <f>IF(Z189=0.5,"",IF((Z189&gt;0.5)=(AE189=1),1,0))</f>
        <v>0</v>
      </c>
      <c r="AI189" s="17" t="str">
        <f>IF(AF189&gt;V189,"Üst",IF(AF189&lt;V189,"Alt","Push"))</f>
        <v>Alt</v>
      </c>
    </row>
    <row r="190" spans="1:35">
      <c r="A190" s="7">
        <v>46109</v>
      </c>
      <c r="B190" s="8" t="s">
        <v>399</v>
      </c>
      <c r="C190" s="8" t="s">
        <v>41</v>
      </c>
      <c r="D190" s="8" t="s">
        <v>87</v>
      </c>
      <c r="E190" s="9">
        <v>109</v>
      </c>
      <c r="F190" s="9">
        <v>134</v>
      </c>
      <c r="G190" s="10">
        <v>-17.5</v>
      </c>
      <c r="H190" s="11">
        <v>232.5</v>
      </c>
      <c r="I190" s="10">
        <v>-16.5</v>
      </c>
      <c r="J190" s="12">
        <v>1.074074074074074</v>
      </c>
      <c r="K190" s="12">
        <v>9</v>
      </c>
      <c r="L190" s="11">
        <v>230.5</v>
      </c>
      <c r="M190" s="12">
        <v>1.909090909090909</v>
      </c>
      <c r="N190" s="12">
        <v>1.909090909090909</v>
      </c>
      <c r="O190" s="10">
        <v>-17.5</v>
      </c>
      <c r="P190" s="12">
        <v>1.925925925925926</v>
      </c>
      <c r="Q190" s="12">
        <v>1.892857142857143</v>
      </c>
      <c r="R190" s="12">
        <v>1.060606060606061</v>
      </c>
      <c r="S190" s="12">
        <v>10.5</v>
      </c>
      <c r="T190" s="8" t="s">
        <v>326</v>
      </c>
      <c r="U190" s="8" t="s">
        <v>327</v>
      </c>
      <c r="V190" s="11">
        <v>232.5</v>
      </c>
      <c r="W190" s="12">
        <v>1.925925925925926</v>
      </c>
      <c r="X190" s="12">
        <v>1.892857142857143</v>
      </c>
      <c r="Y190" s="13">
        <f>(1/R190)/((1/R190)+(1/S190))</f>
        <v>0.908256880733945</v>
      </c>
      <c r="Z190" s="13">
        <f>(1/J190)/((1/J190)+(1/K190))</f>
        <v>0.8933823529411764</v>
      </c>
      <c r="AA190" s="14">
        <f>1/R190+1/S190-1</f>
        <v>0.03809523809523818</v>
      </c>
      <c r="AB190" s="15">
        <f>O190-I190</f>
        <v>-1.0</v>
      </c>
      <c r="AC190" s="15">
        <f>IF(G190="","",G190-O190)</f>
        <v>0.0</v>
      </c>
      <c r="AD190" s="15">
        <f>H190-V190</f>
        <v>0.0</v>
      </c>
      <c r="AE190" s="16">
        <f>IF(F190&gt;E190,1,0)</f>
        <v>1</v>
      </c>
      <c r="AF190" s="16">
        <f>F190+E190</f>
        <v>243</v>
      </c>
      <c r="AG190" s="16">
        <f>IF(Y190=0.5,"",IF((Y190&gt;0.5)=(AE190=1),1,0))</f>
        <v>1</v>
      </c>
      <c r="AH190" s="16">
        <f>IF(Z190=0.5,"",IF((Z190&gt;0.5)=(AE190=1),1,0))</f>
        <v>1</v>
      </c>
      <c r="AI190" s="17" t="str">
        <f>IF(AF190&gt;V190,"Üst",IF(AF190&lt;V190,"Alt","Push"))</f>
        <v>Üst</v>
      </c>
    </row>
    <row r="191" spans="1:35">
      <c r="A191" s="7">
        <v>46110</v>
      </c>
      <c r="B191" s="8" t="s">
        <v>400</v>
      </c>
      <c r="C191" s="8" t="s">
        <v>57</v>
      </c>
      <c r="D191" s="8" t="s">
        <v>52</v>
      </c>
      <c r="E191" s="9">
        <v>127</v>
      </c>
      <c r="F191" s="9">
        <v>113</v>
      </c>
      <c r="G191" s="10">
        <v>17.5</v>
      </c>
      <c r="H191" s="11">
        <v>220.5</v>
      </c>
      <c r="I191" s="10">
        <v>13.5</v>
      </c>
      <c r="J191" s="12">
        <v>6.5</v>
      </c>
      <c r="K191" s="12">
        <v>1.125</v>
      </c>
      <c r="L191" s="11">
        <v>222.5</v>
      </c>
      <c r="M191" s="12">
        <v>1.909090909090909</v>
      </c>
      <c r="N191" s="12">
        <v>1.909090909090909</v>
      </c>
      <c r="O191" s="10">
        <v>17.5</v>
      </c>
      <c r="P191" s="12">
        <v>1.892857142857143</v>
      </c>
      <c r="Q191" s="12">
        <v>1.925925925925926</v>
      </c>
      <c r="R191" s="12">
        <v>9</v>
      </c>
      <c r="S191" s="12">
        <v>1.074074074074074</v>
      </c>
      <c r="T191" s="8" t="s">
        <v>316</v>
      </c>
      <c r="U191" s="8" t="s">
        <v>317</v>
      </c>
      <c r="V191" s="11">
        <v>219.5</v>
      </c>
      <c r="W191" s="12">
        <v>1.869565217391304</v>
      </c>
      <c r="X191" s="12">
        <v>1.952380952380952</v>
      </c>
      <c r="Y191" s="13">
        <f>(1/R191)/((1/R191)+(1/S191))</f>
        <v>0.10661764705882351</v>
      </c>
      <c r="Z191" s="13">
        <f>(1/J191)/((1/J191)+(1/K191))</f>
        <v>0.1475409836065574</v>
      </c>
      <c r="AA191" s="14">
        <f>1/R191+1/S191-1</f>
        <v>0.042145593869731934</v>
      </c>
      <c r="AB191" s="15">
        <f>O191-I191</f>
        <v>4.0</v>
      </c>
      <c r="AC191" s="15">
        <f>IF(G191="","",G191-O191)</f>
        <v>0.0</v>
      </c>
      <c r="AD191" s="15">
        <f>H191-V191</f>
        <v>1.0</v>
      </c>
      <c r="AE191" s="16">
        <f>IF(F191&gt;E191,1,0)</f>
        <v>0</v>
      </c>
      <c r="AF191" s="16">
        <f>F191+E191</f>
        <v>240</v>
      </c>
      <c r="AG191" s="16">
        <f>IF(Y191=0.5,"",IF((Y191&gt;0.5)=(AE191=1),1,0))</f>
        <v>1</v>
      </c>
      <c r="AH191" s="16">
        <f>IF(Z191=0.5,"",IF((Z191&gt;0.5)=(AE191=1),1,0))</f>
        <v>1</v>
      </c>
      <c r="AI191" s="17" t="str">
        <f>IF(AF191&gt;V191,"Üst",IF(AF191&lt;V191,"Alt","Push"))</f>
        <v>Üst</v>
      </c>
    </row>
    <row r="192" spans="1:35">
      <c r="A192" s="7">
        <v>46110</v>
      </c>
      <c r="B192" s="8" t="s">
        <v>401</v>
      </c>
      <c r="C192" s="8" t="s">
        <v>69</v>
      </c>
      <c r="D192" s="8" t="s">
        <v>56</v>
      </c>
      <c r="E192" s="9">
        <v>118</v>
      </c>
      <c r="F192" s="9">
        <v>135</v>
      </c>
      <c r="G192" s="10">
        <v>8.5</v>
      </c>
      <c r="H192" s="11">
        <v>245.5</v>
      </c>
      <c r="I192" s="10">
        <v>9.5</v>
      </c>
      <c r="J192" s="12">
        <v>4.1</v>
      </c>
      <c r="K192" s="12">
        <v>1.253164556962025</v>
      </c>
      <c r="L192" s="11">
        <v>242.5</v>
      </c>
      <c r="M192" s="12">
        <v>1.909090909090909</v>
      </c>
      <c r="N192" s="12">
        <v>1.909090909090909</v>
      </c>
      <c r="O192" s="10">
        <v>8.5</v>
      </c>
      <c r="P192" s="12">
        <v>1.909090909090909</v>
      </c>
      <c r="Q192" s="12">
        <v>1.909090909090909</v>
      </c>
      <c r="R192" s="12">
        <v>3.8</v>
      </c>
      <c r="S192" s="12">
        <v>1.28169014084507</v>
      </c>
      <c r="T192" s="8" t="s">
        <v>366</v>
      </c>
      <c r="U192" s="8" t="s">
        <v>365</v>
      </c>
      <c r="V192" s="11">
        <v>245.5</v>
      </c>
      <c r="W192" s="12">
        <v>1.909090909090909</v>
      </c>
      <c r="X192" s="12">
        <v>1.909090909090909</v>
      </c>
      <c r="Y192" s="13">
        <f>(1/R192)/((1/R192)+(1/S192))</f>
        <v>0.2522172949002217</v>
      </c>
      <c r="Z192" s="13">
        <f>(1/J192)/((1/J192)+(1/K192))</f>
        <v>0.23409789548356588</v>
      </c>
      <c r="AA192" s="14">
        <f>1/R192+1/S192-1</f>
        <v>0.04337767495662237</v>
      </c>
      <c r="AB192" s="15">
        <f>O192-I192</f>
        <v>-1.0</v>
      </c>
      <c r="AC192" s="15">
        <f>IF(G192="","",G192-O192)</f>
        <v>0.0</v>
      </c>
      <c r="AD192" s="15">
        <f>H192-V192</f>
        <v>0.0</v>
      </c>
      <c r="AE192" s="16">
        <f>IF(F192&gt;E192,1,0)</f>
        <v>1</v>
      </c>
      <c r="AF192" s="16">
        <f>F192+E192</f>
        <v>253</v>
      </c>
      <c r="AG192" s="16">
        <f>IF(Y192=0.5,"",IF((Y192&gt;0.5)=(AE192=1),1,0))</f>
        <v>0</v>
      </c>
      <c r="AH192" s="16">
        <f>IF(Z192=0.5,"",IF((Z192&gt;0.5)=(AE192=1),1,0))</f>
        <v>0</v>
      </c>
      <c r="AI192" s="17" t="str">
        <f>IF(AF192&gt;V192,"Üst",IF(AF192&lt;V192,"Alt","Push"))</f>
        <v>Üst</v>
      </c>
    </row>
    <row r="193" spans="1:35">
      <c r="A193" s="7">
        <v>46110</v>
      </c>
      <c r="B193" s="8" t="s">
        <v>402</v>
      </c>
      <c r="C193" s="8" t="s">
        <v>97</v>
      </c>
      <c r="D193" s="8" t="s">
        <v>68</v>
      </c>
      <c r="E193" s="9">
        <v>99</v>
      </c>
      <c r="F193" s="9">
        <v>116</v>
      </c>
      <c r="G193" s="10">
        <v>-1.5</v>
      </c>
      <c r="H193" s="11">
        <v>216.5</v>
      </c>
      <c r="I193" s="10">
        <v>-1.5</v>
      </c>
      <c r="J193" s="12">
        <v>1.833333333333333</v>
      </c>
      <c r="K193" s="12">
        <v>2</v>
      </c>
      <c r="L193" s="11">
        <v>221.5</v>
      </c>
      <c r="M193" s="12">
        <v>1.909090909090909</v>
      </c>
      <c r="N193" s="12">
        <v>1.909090909090909</v>
      </c>
      <c r="O193" s="10">
        <v>-1.5</v>
      </c>
      <c r="P193" s="12">
        <v>1.892857142857143</v>
      </c>
      <c r="Q193" s="12">
        <v>1.925925925925926</v>
      </c>
      <c r="R193" s="12">
        <v>1.833333333333333</v>
      </c>
      <c r="S193" s="12">
        <v>2</v>
      </c>
      <c r="T193" s="8" t="s">
        <v>135</v>
      </c>
      <c r="U193" s="8" t="s">
        <v>136</v>
      </c>
      <c r="V193" s="11">
        <v>216.5</v>
      </c>
      <c r="W193" s="12">
        <v>1.892857142857143</v>
      </c>
      <c r="X193" s="12">
        <v>1.925925925925926</v>
      </c>
      <c r="Y193" s="13">
        <f>(1/R193)/((1/R193)+(1/S193))</f>
        <v>0.5217391304347826</v>
      </c>
      <c r="Z193" s="13">
        <f>(1/J193)/((1/J193)+(1/K193))</f>
        <v>0.5217391304347826</v>
      </c>
      <c r="AA193" s="14">
        <f>1/R193+1/S193-1</f>
        <v>0.045454545454545414</v>
      </c>
      <c r="AB193" s="15">
        <f>O193-I193</f>
        <v>0.0</v>
      </c>
      <c r="AC193" s="15">
        <f>IF(G193="","",G193-O193)</f>
        <v>0.0</v>
      </c>
      <c r="AD193" s="15">
        <f>H193-V193</f>
        <v>0.0</v>
      </c>
      <c r="AE193" s="16">
        <f>IF(F193&gt;E193,1,0)</f>
        <v>1</v>
      </c>
      <c r="AF193" s="16">
        <f>F193+E193</f>
        <v>215</v>
      </c>
      <c r="AG193" s="16">
        <f>IF(Y193=0.5,"",IF((Y193&gt;0.5)=(AE193=1),1,0))</f>
        <v>1</v>
      </c>
      <c r="AH193" s="16">
        <f>IF(Z193=0.5,"",IF((Z193&gt;0.5)=(AE193=1),1,0))</f>
        <v>1</v>
      </c>
      <c r="AI193" s="17" t="str">
        <f>IF(AF193&gt;V193,"Üst",IF(AF193&lt;V193,"Alt","Push"))</f>
        <v>Alt</v>
      </c>
    </row>
    <row r="194" spans="1:35">
      <c r="A194" s="7">
        <v>46110</v>
      </c>
      <c r="B194" s="8" t="s">
        <v>403</v>
      </c>
      <c r="C194" s="8" t="s">
        <v>101</v>
      </c>
      <c r="D194" s="8" t="s">
        <v>105</v>
      </c>
      <c r="E194" s="9">
        <v>114</v>
      </c>
      <c r="F194" s="9">
        <v>99</v>
      </c>
      <c r="G194" s="10">
        <v>-2.5</v>
      </c>
      <c r="H194" s="11">
        <v>216.5</v>
      </c>
      <c r="I194" s="10">
        <v>-2.5</v>
      </c>
      <c r="J194" s="12">
        <v>1.769230769230769</v>
      </c>
      <c r="K194" s="12">
        <v>2.1</v>
      </c>
      <c r="L194" s="11">
        <v>215.5</v>
      </c>
      <c r="M194" s="12">
        <v>1.909090909090909</v>
      </c>
      <c r="N194" s="12">
        <v>1.909090909090909</v>
      </c>
      <c r="O194" s="10">
        <v>-2.5</v>
      </c>
      <c r="P194" s="12">
        <v>1.925925925925926</v>
      </c>
      <c r="Q194" s="12">
        <v>1.892857142857143</v>
      </c>
      <c r="R194" s="12">
        <v>1.740740740740741</v>
      </c>
      <c r="S194" s="12">
        <v>2.14</v>
      </c>
      <c r="T194" s="8" t="s">
        <v>358</v>
      </c>
      <c r="U194" s="8" t="s">
        <v>357</v>
      </c>
      <c r="V194" s="11">
        <v>216.5</v>
      </c>
      <c r="W194" s="12">
        <v>1.909090909090909</v>
      </c>
      <c r="X194" s="12">
        <v>1.909090909090909</v>
      </c>
      <c r="Y194" s="13">
        <f>(1/R194)/((1/R194)+(1/S194))</f>
        <v>0.551441114716549</v>
      </c>
      <c r="Z194" s="13">
        <f>(1/J194)/((1/J194)+(1/K194))</f>
        <v>0.5427435387673957</v>
      </c>
      <c r="AA194" s="14">
        <f>1/R194+1/S194-1</f>
        <v>0.04175780473255131</v>
      </c>
      <c r="AB194" s="15">
        <f>O194-I194</f>
        <v>0.0</v>
      </c>
      <c r="AC194" s="15">
        <f>IF(G194="","",G194-O194)</f>
        <v>0.0</v>
      </c>
      <c r="AD194" s="15">
        <f>H194-V194</f>
        <v>0.0</v>
      </c>
      <c r="AE194" s="16">
        <f>IF(F194&gt;E194,1,0)</f>
        <v>0</v>
      </c>
      <c r="AF194" s="16">
        <f>F194+E194</f>
        <v>213</v>
      </c>
      <c r="AG194" s="16">
        <f>IF(Y194=0.5,"",IF((Y194&gt;0.5)=(AE194=1),1,0))</f>
        <v>0</v>
      </c>
      <c r="AH194" s="16">
        <f>IF(Z194=0.5,"",IF((Z194&gt;0.5)=(AE194=1),1,0))</f>
        <v>0</v>
      </c>
      <c r="AI194" s="17" t="str">
        <f>IF(AF194&gt;V194,"Üst",IF(AF194&lt;V194,"Alt","Push"))</f>
        <v>Alt</v>
      </c>
    </row>
    <row r="195" spans="1:35">
      <c r="A195" s="7">
        <v>46110</v>
      </c>
      <c r="B195" s="8" t="s">
        <v>404</v>
      </c>
      <c r="C195" s="8" t="s">
        <v>62</v>
      </c>
      <c r="D195" s="8" t="s">
        <v>76</v>
      </c>
      <c r="E195" s="9">
        <v>87</v>
      </c>
      <c r="F195" s="9">
        <v>139</v>
      </c>
      <c r="G195" s="10">
        <v>-1.5</v>
      </c>
      <c r="H195" s="11">
        <v>225.5</v>
      </c>
      <c r="I195" s="10">
        <v>-2.5</v>
      </c>
      <c r="J195" s="12">
        <v>1.704225352112676</v>
      </c>
      <c r="K195" s="12">
        <v>2.2</v>
      </c>
      <c r="L195" s="11">
        <v>225.5</v>
      </c>
      <c r="M195" s="12">
        <v>1.909090909090909</v>
      </c>
      <c r="N195" s="12">
        <v>1.909090909090909</v>
      </c>
      <c r="O195" s="10">
        <v>-1.5</v>
      </c>
      <c r="P195" s="12">
        <v>1.909090909090909</v>
      </c>
      <c r="Q195" s="12">
        <v>1.909090909090909</v>
      </c>
      <c r="R195" s="12">
        <v>1.819672131147541</v>
      </c>
      <c r="S195" s="12">
        <v>2.02</v>
      </c>
      <c r="T195" s="8" t="s">
        <v>160</v>
      </c>
      <c r="U195" s="8" t="s">
        <v>161</v>
      </c>
      <c r="V195" s="11">
        <v>226.5</v>
      </c>
      <c r="W195" s="12">
        <v>1.909090909090909</v>
      </c>
      <c r="X195" s="12">
        <v>1.909090909090909</v>
      </c>
      <c r="Y195" s="13">
        <f>(1/R195)/((1/R195)+(1/S195))</f>
        <v>0.5260865852617197</v>
      </c>
      <c r="Z195" s="13">
        <f>(1/J195)/((1/J195)+(1/K195))</f>
        <v>0.5634920634920635</v>
      </c>
      <c r="AA195" s="14">
        <f>1/R195+1/S195-1</f>
        <v>0.04459905450004453</v>
      </c>
      <c r="AB195" s="15">
        <f>O195-I195</f>
        <v>1.0</v>
      </c>
      <c r="AC195" s="15">
        <f>IF(G195="","",G195-O195)</f>
        <v>0.0</v>
      </c>
      <c r="AD195" s="15">
        <f>H195-V195</f>
        <v>-1.0</v>
      </c>
      <c r="AE195" s="16">
        <f>IF(F195&gt;E195,1,0)</f>
        <v>1</v>
      </c>
      <c r="AF195" s="16">
        <f>F195+E195</f>
        <v>226</v>
      </c>
      <c r="AG195" s="16">
        <f>IF(Y195=0.5,"",IF((Y195&gt;0.5)=(AE195=1),1,0))</f>
        <v>1</v>
      </c>
      <c r="AH195" s="16">
        <f>IF(Z195=0.5,"",IF((Z195&gt;0.5)=(AE195=1),1,0))</f>
        <v>1</v>
      </c>
      <c r="AI195" s="17" t="str">
        <f>IF(AF195&gt;V195,"Üst",IF(AF195&lt;V195,"Alt","Push"))</f>
        <v>Alt</v>
      </c>
    </row>
    <row r="196" spans="1:35">
      <c r="A196" s="7">
        <v>46110</v>
      </c>
      <c r="B196" s="8" t="s">
        <v>405</v>
      </c>
      <c r="C196" s="8" t="s">
        <v>64</v>
      </c>
      <c r="D196" s="8" t="s">
        <v>46</v>
      </c>
      <c r="E196" s="9">
        <v>88</v>
      </c>
      <c r="F196" s="9">
        <v>123</v>
      </c>
      <c r="G196" s="10">
        <v>-16.5</v>
      </c>
      <c r="H196" s="11">
        <v>235.5</v>
      </c>
      <c r="I196" s="10">
        <v>-15.5</v>
      </c>
      <c r="J196" s="12">
        <v>1.090909090909091</v>
      </c>
      <c r="K196" s="12">
        <v>8</v>
      </c>
      <c r="L196" s="11">
        <v>235.5</v>
      </c>
      <c r="M196" s="12">
        <v>1.869565217391304</v>
      </c>
      <c r="N196" s="12">
        <v>1.952380952380952</v>
      </c>
      <c r="O196" s="10">
        <v>-16.5</v>
      </c>
      <c r="P196" s="12">
        <v>1.892857142857143</v>
      </c>
      <c r="Q196" s="12">
        <v>1.925925925925926</v>
      </c>
      <c r="R196" s="12">
        <v>1.060606060606061</v>
      </c>
      <c r="S196" s="12">
        <v>10.5</v>
      </c>
      <c r="T196" s="8" t="s">
        <v>326</v>
      </c>
      <c r="U196" s="8" t="s">
        <v>327</v>
      </c>
      <c r="V196" s="11">
        <v>235.5</v>
      </c>
      <c r="W196" s="12">
        <v>1.892857142857143</v>
      </c>
      <c r="X196" s="12">
        <v>1.925925925925926</v>
      </c>
      <c r="Y196" s="13">
        <f>(1/R196)/((1/R196)+(1/S196))</f>
        <v>0.908256880733945</v>
      </c>
      <c r="Z196" s="13">
        <f>(1/J196)/((1/J196)+(1/K196))</f>
        <v>0.88</v>
      </c>
      <c r="AA196" s="14">
        <f>1/R196+1/S196-1</f>
        <v>0.03809523809523818</v>
      </c>
      <c r="AB196" s="15">
        <f>O196-I196</f>
        <v>-1.0</v>
      </c>
      <c r="AC196" s="15">
        <f>IF(G196="","",G196-O196)</f>
        <v>0.0</v>
      </c>
      <c r="AD196" s="15">
        <f>H196-V196</f>
        <v>0.0</v>
      </c>
      <c r="AE196" s="16">
        <f>IF(F196&gt;E196,1,0)</f>
        <v>1</v>
      </c>
      <c r="AF196" s="16">
        <f>F196+E196</f>
        <v>211</v>
      </c>
      <c r="AG196" s="16">
        <f>IF(Y196=0.5,"",IF((Y196&gt;0.5)=(AE196=1),1,0))</f>
        <v>1</v>
      </c>
      <c r="AH196" s="16">
        <f>IF(Z196=0.5,"",IF((Z196&gt;0.5)=(AE196=1),1,0))</f>
        <v>1</v>
      </c>
      <c r="AI196" s="17" t="str">
        <f>IF(AF196&gt;V196,"Üst",IF(AF196&lt;V196,"Alt","Push"))</f>
        <v>Alt</v>
      </c>
    </row>
    <row r="197" spans="1:35">
      <c r="A197" s="7">
        <v>46110</v>
      </c>
      <c r="B197" s="8" t="s">
        <v>406</v>
      </c>
      <c r="C197" s="8" t="s">
        <v>74</v>
      </c>
      <c r="D197" s="8" t="s">
        <v>96</v>
      </c>
      <c r="E197" s="9">
        <v>134</v>
      </c>
      <c r="F197" s="9">
        <v>102</v>
      </c>
      <c r="G197" s="10">
        <v>5.5</v>
      </c>
      <c r="H197" s="11">
        <v>226.5</v>
      </c>
      <c r="I197" s="10">
        <v>6.5</v>
      </c>
      <c r="J197" s="12">
        <v>2.95</v>
      </c>
      <c r="K197" s="12">
        <v>1.420168067226891</v>
      </c>
      <c r="L197" s="11">
        <v>224.5</v>
      </c>
      <c r="M197" s="12">
        <v>1.909090909090909</v>
      </c>
      <c r="N197" s="12">
        <v>1.909090909090909</v>
      </c>
      <c r="O197" s="10">
        <v>5.5</v>
      </c>
      <c r="P197" s="12">
        <v>1.925925925925926</v>
      </c>
      <c r="Q197" s="12">
        <v>1.892857142857143</v>
      </c>
      <c r="R197" s="12">
        <v>3.05</v>
      </c>
      <c r="S197" s="12">
        <v>1.4</v>
      </c>
      <c r="T197" s="8" t="s">
        <v>309</v>
      </c>
      <c r="U197" s="8" t="s">
        <v>310</v>
      </c>
      <c r="V197" s="11">
        <v>226.5</v>
      </c>
      <c r="W197" s="12">
        <v>1.925925925925926</v>
      </c>
      <c r="X197" s="12">
        <v>1.892857142857143</v>
      </c>
      <c r="Y197" s="13">
        <f>(1/R197)/((1/R197)+(1/S197))</f>
        <v>0.3146067415730337</v>
      </c>
      <c r="Z197" s="13">
        <f>(1/J197)/((1/J197)+(1/K197))</f>
        <v>0.32496875300451883</v>
      </c>
      <c r="AA197" s="14">
        <f>1/R197+1/S197-1</f>
        <v>0.042154566744730726</v>
      </c>
      <c r="AB197" s="15">
        <f>O197-I197</f>
        <v>-1.0</v>
      </c>
      <c r="AC197" s="15">
        <f>IF(G197="","",G197-O197)</f>
        <v>0.0</v>
      </c>
      <c r="AD197" s="15">
        <f>H197-V197</f>
        <v>0.0</v>
      </c>
      <c r="AE197" s="16">
        <f>IF(F197&gt;E197,1,0)</f>
        <v>0</v>
      </c>
      <c r="AF197" s="16">
        <f>F197+E197</f>
        <v>236</v>
      </c>
      <c r="AG197" s="16">
        <f>IF(Y197=0.5,"",IF((Y197&gt;0.5)=(AE197=1),1,0))</f>
        <v>1</v>
      </c>
      <c r="AH197" s="16">
        <f>IF(Z197=0.5,"",IF((Z197&gt;0.5)=(AE197=1),1,0))</f>
        <v>1</v>
      </c>
      <c r="AI197" s="17" t="str">
        <f>IF(AF197&gt;V197,"Üst",IF(AF197&lt;V197,"Alt","Push"))</f>
        <v>Üst</v>
      </c>
    </row>
    <row r="198" spans="1:35">
      <c r="A198" s="7">
        <v>46110</v>
      </c>
      <c r="B198" s="8" t="s">
        <v>407</v>
      </c>
      <c r="C198" s="8" t="s">
        <v>110</v>
      </c>
      <c r="D198" s="8" t="s">
        <v>130</v>
      </c>
      <c r="E198" s="9">
        <v>100</v>
      </c>
      <c r="F198" s="9">
        <v>111</v>
      </c>
      <c r="G198" s="10">
        <v>-7.5</v>
      </c>
      <c r="H198" s="11">
        <v>223.5</v>
      </c>
      <c r="I198" s="10">
        <v>-9.5</v>
      </c>
      <c r="J198" s="12">
        <v>1.289855072463768</v>
      </c>
      <c r="K198" s="12">
        <v>3.75</v>
      </c>
      <c r="L198" s="11">
        <v>224.5</v>
      </c>
      <c r="M198" s="12">
        <v>1.909090909090909</v>
      </c>
      <c r="N198" s="12">
        <v>1.909090909090909</v>
      </c>
      <c r="O198" s="10">
        <v>-7.5</v>
      </c>
      <c r="P198" s="12">
        <v>1.869565217391304</v>
      </c>
      <c r="Q198" s="12">
        <v>1.952380952380952</v>
      </c>
      <c r="R198" s="12">
        <v>1.277777777777778</v>
      </c>
      <c r="S198" s="12">
        <v>3.85</v>
      </c>
      <c r="T198" s="8" t="s">
        <v>408</v>
      </c>
      <c r="U198" s="8" t="s">
        <v>409</v>
      </c>
      <c r="V198" s="11">
        <v>223.5</v>
      </c>
      <c r="W198" s="12">
        <v>1.909090909090909</v>
      </c>
      <c r="X198" s="12">
        <v>1.909090909090909</v>
      </c>
      <c r="Y198" s="13">
        <f>(1/R198)/((1/R198)+(1/S198))</f>
        <v>0.7508125677139762</v>
      </c>
      <c r="Z198" s="13">
        <f>(1/J198)/((1/J198)+(1/K198))</f>
        <v>0.7440690150970525</v>
      </c>
      <c r="AA198" s="14">
        <f>1/R198+1/S198-1</f>
        <v>0.04234895539243366</v>
      </c>
      <c r="AB198" s="15">
        <f>O198-I198</f>
        <v>2.0</v>
      </c>
      <c r="AC198" s="15">
        <f>IF(G198="","",G198-O198)</f>
        <v>0.0</v>
      </c>
      <c r="AD198" s="15">
        <f>H198-V198</f>
        <v>0.0</v>
      </c>
      <c r="AE198" s="16">
        <f>IF(F198&gt;E198,1,0)</f>
        <v>1</v>
      </c>
      <c r="AF198" s="16">
        <f>F198+E198</f>
        <v>211</v>
      </c>
      <c r="AG198" s="16">
        <f>IF(Y198=0.5,"",IF((Y198&gt;0.5)=(AE198=1),1,0))</f>
        <v>1</v>
      </c>
      <c r="AH198" s="16">
        <f>IF(Z198=0.5,"",IF((Z198&gt;0.5)=(AE198=1),1,0))</f>
        <v>1</v>
      </c>
      <c r="AI198" s="17" t="str">
        <f>IF(AF198&gt;V198,"Üst",IF(AF198&lt;V198,"Alt","Push"))</f>
        <v>Alt</v>
      </c>
    </row>
    <row r="199" spans="1:35">
      <c r="A199" s="7">
        <v>46110</v>
      </c>
      <c r="B199" s="8" t="s">
        <v>410</v>
      </c>
      <c r="C199" s="8" t="s">
        <v>73</v>
      </c>
      <c r="D199" s="8" t="s">
        <v>92</v>
      </c>
      <c r="E199" s="9">
        <v>93</v>
      </c>
      <c r="F199" s="9">
        <v>116</v>
      </c>
      <c r="G199" s="10">
        <v>-12.5</v>
      </c>
      <c r="H199" s="11">
        <v>238.5</v>
      </c>
      <c r="I199" s="10">
        <v>-11.5</v>
      </c>
      <c r="J199" s="12">
        <v>1.173913043478261</v>
      </c>
      <c r="K199" s="12">
        <v>5.25</v>
      </c>
      <c r="L199" s="11">
        <v>237.5</v>
      </c>
      <c r="M199" s="12">
        <v>1.869565217391304</v>
      </c>
      <c r="N199" s="12">
        <v>1.952380952380952</v>
      </c>
      <c r="O199" s="10">
        <v>-11.5</v>
      </c>
      <c r="P199" s="12">
        <v>1.869565217391304</v>
      </c>
      <c r="Q199" s="12">
        <v>1.952380952380952</v>
      </c>
      <c r="R199" s="12">
        <v>1.16</v>
      </c>
      <c r="S199" s="12">
        <v>5.55</v>
      </c>
      <c r="T199" s="8" t="s">
        <v>131</v>
      </c>
      <c r="U199" s="8" t="s">
        <v>132</v>
      </c>
      <c r="V199" s="11">
        <v>238.5</v>
      </c>
      <c r="W199" s="12">
        <v>1.925925925925926</v>
      </c>
      <c r="X199" s="12">
        <v>1.892857142857143</v>
      </c>
      <c r="Y199" s="13">
        <f>(1/R199)/((1/R199)+(1/S199))</f>
        <v>0.827123695976155</v>
      </c>
      <c r="Z199" s="13">
        <f>(1/J199)/((1/J199)+(1/K199))</f>
        <v>0.8172588832487311</v>
      </c>
      <c r="AA199" s="14">
        <f>1/R199+1/S199-1</f>
        <v>0.042249145697421664</v>
      </c>
      <c r="AB199" s="15">
        <f>O199-I199</f>
        <v>0.0</v>
      </c>
      <c r="AC199" s="15">
        <f>IF(G199="","",G199-O199)</f>
        <v>-1.0</v>
      </c>
      <c r="AD199" s="15">
        <f>H199-V199</f>
        <v>0.0</v>
      </c>
      <c r="AE199" s="16">
        <f>IF(F199&gt;E199,1,0)</f>
        <v>1</v>
      </c>
      <c r="AF199" s="16">
        <f>F199+E199</f>
        <v>209</v>
      </c>
      <c r="AG199" s="16">
        <f>IF(Y199=0.5,"",IF((Y199&gt;0.5)=(AE199=1),1,0))</f>
        <v>1</v>
      </c>
      <c r="AH199" s="16">
        <f>IF(Z199=0.5,"",IF((Z199&gt;0.5)=(AE199=1),1,0))</f>
        <v>1</v>
      </c>
      <c r="AI199" s="17" t="str">
        <f>IF(AF199&gt;V199,"Üst",IF(AF199&lt;V199,"Alt","Push"))</f>
        <v>Alt</v>
      </c>
    </row>
    <row r="200" spans="1:35">
      <c r="A200" s="7">
        <v>46111</v>
      </c>
      <c r="B200" s="8" t="s">
        <v>411</v>
      </c>
      <c r="C200" s="8" t="s">
        <v>42</v>
      </c>
      <c r="D200" s="8" t="s">
        <v>69</v>
      </c>
      <c r="E200" s="9">
        <v>109</v>
      </c>
      <c r="F200" s="9">
        <v>119</v>
      </c>
      <c r="G200" s="10">
        <v>2.5</v>
      </c>
      <c r="H200" s="11">
        <v>242.5</v>
      </c>
      <c r="I200" s="10">
        <v>1.5</v>
      </c>
      <c r="J200" s="12">
        <v>2.02</v>
      </c>
      <c r="K200" s="12">
        <v>1.819672131147541</v>
      </c>
      <c r="L200" s="11">
        <v>245.5</v>
      </c>
      <c r="M200" s="12">
        <v>1.909090909090909</v>
      </c>
      <c r="N200" s="12">
        <v>1.909090909090909</v>
      </c>
      <c r="O200" s="10">
        <v>2.5</v>
      </c>
      <c r="P200" s="12">
        <v>1.909090909090909</v>
      </c>
      <c r="Q200" s="12">
        <v>1.909090909090909</v>
      </c>
      <c r="R200" s="12">
        <v>2.2</v>
      </c>
      <c r="S200" s="12">
        <v>1.704225352112676</v>
      </c>
      <c r="T200" s="8" t="s">
        <v>190</v>
      </c>
      <c r="U200" s="8" t="s">
        <v>191</v>
      </c>
      <c r="V200" s="11">
        <v>242.5</v>
      </c>
      <c r="W200" s="12">
        <v>1.892857142857143</v>
      </c>
      <c r="X200" s="12">
        <v>1.925925925925926</v>
      </c>
      <c r="Y200" s="13">
        <f>(1/R200)/((1/R200)+(1/S200))</f>
        <v>0.43650793650793646</v>
      </c>
      <c r="Z200" s="13">
        <f>(1/J200)/((1/J200)+(1/K200))</f>
        <v>0.47391341473828025</v>
      </c>
      <c r="AA200" s="14">
        <f>1/R200+1/S200-1</f>
        <v>0.04132231404958686</v>
      </c>
      <c r="AB200" s="15">
        <f>O200-I200</f>
        <v>1.0</v>
      </c>
      <c r="AC200" s="15">
        <f>IF(G200="","",G200-O200)</f>
        <v>0.0</v>
      </c>
      <c r="AD200" s="15">
        <f>H200-V200</f>
        <v>0.0</v>
      </c>
      <c r="AE200" s="16">
        <f>IF(F200&gt;E200,1,0)</f>
        <v>1</v>
      </c>
      <c r="AF200" s="16">
        <f>F200+E200</f>
        <v>228</v>
      </c>
      <c r="AG200" s="16">
        <f>IF(Y200=0.5,"",IF((Y200&gt;0.5)=(AE200=1),1,0))</f>
        <v>0</v>
      </c>
      <c r="AH200" s="16">
        <f>IF(Z200=0.5,"",IF((Z200&gt;0.5)=(AE200=1),1,0))</f>
        <v>0</v>
      </c>
      <c r="AI200" s="17" t="str">
        <f>IF(AF200&gt;V200,"Üst",IF(AF200&lt;V200,"Alt","Push"))</f>
        <v>Alt</v>
      </c>
    </row>
    <row r="201" spans="1:35">
      <c r="A201" s="7">
        <v>46111</v>
      </c>
      <c r="B201" s="8" t="s">
        <v>412</v>
      </c>
      <c r="C201" s="8" t="s">
        <v>101</v>
      </c>
      <c r="D201" s="8" t="s">
        <v>51</v>
      </c>
      <c r="E201" s="9">
        <v>102</v>
      </c>
      <c r="F201" s="9">
        <v>112</v>
      </c>
      <c r="G201" s="10">
        <v>-2.5</v>
      </c>
      <c r="H201" s="11">
        <v>225.5</v>
      </c>
      <c r="I201" s="10">
        <v>-1.5</v>
      </c>
      <c r="J201" s="12">
        <v>1.847457627118644</v>
      </c>
      <c r="K201" s="12">
        <v>1.980392156862745</v>
      </c>
      <c r="L201" s="11">
        <v>222.5</v>
      </c>
      <c r="M201" s="12">
        <v>1.909090909090909</v>
      </c>
      <c r="N201" s="12">
        <v>1.909090909090909</v>
      </c>
      <c r="O201" s="10">
        <v>-2.5</v>
      </c>
      <c r="P201" s="12">
        <v>1.909090909090909</v>
      </c>
      <c r="Q201" s="12">
        <v>1.909090909090909</v>
      </c>
      <c r="R201" s="12">
        <v>1.704225352112676</v>
      </c>
      <c r="S201" s="12">
        <v>2.2</v>
      </c>
      <c r="T201" s="8" t="s">
        <v>191</v>
      </c>
      <c r="U201" s="8" t="s">
        <v>190</v>
      </c>
      <c r="V201" s="11">
        <v>225.5</v>
      </c>
      <c r="W201" s="12">
        <v>1.952380952380952</v>
      </c>
      <c r="X201" s="12">
        <v>1.869565217391304</v>
      </c>
      <c r="Y201" s="13">
        <f>(1/R201)/((1/R201)+(1/S201))</f>
        <v>0.5634920634920635</v>
      </c>
      <c r="Z201" s="13">
        <f>(1/J201)/((1/J201)+(1/K201))</f>
        <v>0.5173641257162701</v>
      </c>
      <c r="AA201" s="14">
        <f>1/R201+1/S201-1</f>
        <v>0.04132231404958686</v>
      </c>
      <c r="AB201" s="15">
        <f>O201-I201</f>
        <v>-1.0</v>
      </c>
      <c r="AC201" s="15">
        <f>IF(G201="","",G201-O201)</f>
        <v>0.0</v>
      </c>
      <c r="AD201" s="15">
        <f>H201-V201</f>
        <v>0.0</v>
      </c>
      <c r="AE201" s="16">
        <f>IF(F201&gt;E201,1,0)</f>
        <v>1</v>
      </c>
      <c r="AF201" s="16">
        <f>F201+E201</f>
        <v>214</v>
      </c>
      <c r="AG201" s="16">
        <f>IF(Y201=0.5,"",IF((Y201&gt;0.5)=(AE201=1),1,0))</f>
        <v>1</v>
      </c>
      <c r="AH201" s="16">
        <f>IF(Z201=0.5,"",IF((Z201&gt;0.5)=(AE201=1),1,0))</f>
        <v>1</v>
      </c>
      <c r="AI201" s="17" t="str">
        <f>IF(AF201&gt;V201,"Üst",IF(AF201&lt;V201,"Alt","Push"))</f>
        <v>Alt</v>
      </c>
    </row>
    <row r="202" spans="1:35">
      <c r="A202" s="7">
        <v>46111</v>
      </c>
      <c r="B202" s="8" t="s">
        <v>413</v>
      </c>
      <c r="C202" s="8" t="s">
        <v>87</v>
      </c>
      <c r="D202" s="8" t="s">
        <v>47</v>
      </c>
      <c r="E202" s="9">
        <v>131</v>
      </c>
      <c r="F202" s="9">
        <v>105</v>
      </c>
      <c r="G202" s="10">
        <v>12.5</v>
      </c>
      <c r="H202" s="11">
        <v>228.5</v>
      </c>
      <c r="I202" s="10">
        <v>12.5</v>
      </c>
      <c r="J202" s="12">
        <v>6.75</v>
      </c>
      <c r="K202" s="12">
        <v>1.117647058823529</v>
      </c>
      <c r="L202" s="11">
        <v>230.5</v>
      </c>
      <c r="M202" s="12">
        <v>1.952380952380952</v>
      </c>
      <c r="N202" s="12">
        <v>1.869565217391304</v>
      </c>
      <c r="O202" s="10">
        <v>12.5</v>
      </c>
      <c r="P202" s="12">
        <v>1.869565217391304</v>
      </c>
      <c r="Q202" s="12">
        <v>1.952380952380952</v>
      </c>
      <c r="R202" s="12">
        <v>6</v>
      </c>
      <c r="S202" s="12">
        <v>1.142857142857143</v>
      </c>
      <c r="T202" s="8" t="s">
        <v>226</v>
      </c>
      <c r="U202" s="8" t="s">
        <v>227</v>
      </c>
      <c r="V202" s="11">
        <v>228.5</v>
      </c>
      <c r="W202" s="12">
        <v>1.925925925925926</v>
      </c>
      <c r="X202" s="12">
        <v>1.892857142857143</v>
      </c>
      <c r="Y202" s="13">
        <f>(1/R202)/((1/R202)+(1/S202))</f>
        <v>0.15999999999999998</v>
      </c>
      <c r="Z202" s="13">
        <f>(1/J202)/((1/J202)+(1/K202))</f>
        <v>0.14205607476635515</v>
      </c>
      <c r="AA202" s="14">
        <f>1/R202+1/S202-1</f>
        <v>0.04166666666666674</v>
      </c>
      <c r="AB202" s="15">
        <f>O202-I202</f>
        <v>0.0</v>
      </c>
      <c r="AC202" s="15">
        <f>IF(G202="","",G202-O202)</f>
        <v>0.0</v>
      </c>
      <c r="AD202" s="15">
        <f>H202-V202</f>
        <v>0.0</v>
      </c>
      <c r="AE202" s="16">
        <f>IF(F202&gt;E202,1,0)</f>
        <v>0</v>
      </c>
      <c r="AF202" s="16">
        <f>F202+E202</f>
        <v>236</v>
      </c>
      <c r="AG202" s="16">
        <f>IF(Y202=0.5,"",IF((Y202&gt;0.5)=(AE202=1),1,0))</f>
        <v>1</v>
      </c>
      <c r="AH202" s="16">
        <f>IF(Z202=0.5,"",IF((Z202&gt;0.5)=(AE202=1),1,0))</f>
        <v>1</v>
      </c>
      <c r="AI202" s="17" t="str">
        <f>IF(AF202&gt;V202,"Üst",IF(AF202&lt;V202,"Alt","Push"))</f>
        <v>Üst</v>
      </c>
    </row>
    <row r="203" spans="1:35">
      <c r="A203" s="7">
        <v>46111</v>
      </c>
      <c r="B203" s="8" t="s">
        <v>414</v>
      </c>
      <c r="C203" s="8" t="s">
        <v>86</v>
      </c>
      <c r="D203" s="8" t="s">
        <v>82</v>
      </c>
      <c r="E203" s="9">
        <v>114</v>
      </c>
      <c r="F203" s="9">
        <v>129</v>
      </c>
      <c r="G203" s="10">
        <v>-18.5</v>
      </c>
      <c r="H203" s="11">
        <v>246.5</v>
      </c>
      <c r="I203" s="10">
        <v>-17.5</v>
      </c>
      <c r="J203" s="12">
        <v>1.055555555555556</v>
      </c>
      <c r="K203" s="12">
        <v>11</v>
      </c>
      <c r="L203" s="11">
        <v>243.5</v>
      </c>
      <c r="M203" s="12">
        <v>1.909090909090909</v>
      </c>
      <c r="N203" s="12">
        <v>1.909090909090909</v>
      </c>
      <c r="O203" s="10">
        <v>-17.5</v>
      </c>
      <c r="P203" s="12">
        <v>1.869565217391304</v>
      </c>
      <c r="Q203" s="12">
        <v>1.952380952380952</v>
      </c>
      <c r="R203" s="12">
        <v>1.047619047619048</v>
      </c>
      <c r="S203" s="12">
        <v>12</v>
      </c>
      <c r="T203" s="8" t="s">
        <v>279</v>
      </c>
      <c r="U203" s="8" t="s">
        <v>278</v>
      </c>
      <c r="V203" s="11">
        <v>246.5</v>
      </c>
      <c r="W203" s="12">
        <v>1.869565217391304</v>
      </c>
      <c r="X203" s="12">
        <v>1.952380952380952</v>
      </c>
      <c r="Y203" s="13">
        <f>(1/R203)/((1/R203)+(1/S203))</f>
        <v>0.9197080291970803</v>
      </c>
      <c r="Z203" s="13">
        <f>(1/J203)/((1/J203)+(1/K203))</f>
        <v>0.912442396313364</v>
      </c>
      <c r="AA203" s="14">
        <f>1/R203+1/S203-1</f>
        <v>0.037878787878787845</v>
      </c>
      <c r="AB203" s="15">
        <f>O203-I203</f>
        <v>0.0</v>
      </c>
      <c r="AC203" s="15">
        <f>IF(G203="","",G203-O203)</f>
        <v>-1.0</v>
      </c>
      <c r="AD203" s="15">
        <f>H203-V203</f>
        <v>0.0</v>
      </c>
      <c r="AE203" s="16">
        <f>IF(F203&gt;E203,1,0)</f>
        <v>1</v>
      </c>
      <c r="AF203" s="16">
        <f>F203+E203</f>
        <v>243</v>
      </c>
      <c r="AG203" s="16">
        <f>IF(Y203=0.5,"",IF((Y203&gt;0.5)=(AE203=1),1,0))</f>
        <v>1</v>
      </c>
      <c r="AH203" s="16">
        <f>IF(Z203=0.5,"",IF((Z203&gt;0.5)=(AE203=1),1,0))</f>
        <v>1</v>
      </c>
      <c r="AI203" s="17" t="str">
        <f>IF(AF203&gt;V203,"Üst",IF(AF203&lt;V203,"Alt","Push"))</f>
        <v>Alt</v>
      </c>
    </row>
    <row r="204" spans="1:35">
      <c r="A204" s="7">
        <v>46111</v>
      </c>
      <c r="B204" s="8" t="s">
        <v>415</v>
      </c>
      <c r="C204" s="8" t="s">
        <v>77</v>
      </c>
      <c r="D204" s="8" t="s">
        <v>61</v>
      </c>
      <c r="E204" s="9">
        <v>124</v>
      </c>
      <c r="F204" s="9">
        <v>94</v>
      </c>
      <c r="G204" s="10">
        <v>8.5</v>
      </c>
      <c r="H204" s="11">
        <v>236.5</v>
      </c>
      <c r="I204" s="10">
        <v>6.5</v>
      </c>
      <c r="J204" s="12">
        <v>3.15</v>
      </c>
      <c r="K204" s="12">
        <v>1.377358490566038</v>
      </c>
      <c r="L204" s="11">
        <v>235.5</v>
      </c>
      <c r="M204" s="12">
        <v>1.952380952380952</v>
      </c>
      <c r="N204" s="12">
        <v>1.869565217391304</v>
      </c>
      <c r="O204" s="10">
        <v>8.5</v>
      </c>
      <c r="P204" s="12">
        <v>1.925925925925926</v>
      </c>
      <c r="Q204" s="12">
        <v>1.892857142857143</v>
      </c>
      <c r="R204" s="12">
        <v>3.8</v>
      </c>
      <c r="S204" s="12">
        <v>1.28169014084507</v>
      </c>
      <c r="T204" s="8" t="s">
        <v>366</v>
      </c>
      <c r="U204" s="8" t="s">
        <v>365</v>
      </c>
      <c r="V204" s="11">
        <v>236.5</v>
      </c>
      <c r="W204" s="12">
        <v>1.909090909090909</v>
      </c>
      <c r="X204" s="12">
        <v>1.909090909090909</v>
      </c>
      <c r="Y204" s="13">
        <f>(1/R204)/((1/R204)+(1/S204))</f>
        <v>0.2522172949002217</v>
      </c>
      <c r="Z204" s="13">
        <f>(1/J204)/((1/J204)+(1/K204))</f>
        <v>0.30423004792665137</v>
      </c>
      <c r="AA204" s="14">
        <f>1/R204+1/S204-1</f>
        <v>0.04337767495662237</v>
      </c>
      <c r="AB204" s="15">
        <f>O204-I204</f>
        <v>2.0</v>
      </c>
      <c r="AC204" s="15">
        <f>IF(G204="","",G204-O204)</f>
        <v>0.0</v>
      </c>
      <c r="AD204" s="15">
        <f>H204-V204</f>
        <v>0.0</v>
      </c>
      <c r="AE204" s="16">
        <f>IF(F204&gt;E204,1,0)</f>
        <v>0</v>
      </c>
      <c r="AF204" s="16">
        <f>F204+E204</f>
        <v>218</v>
      </c>
      <c r="AG204" s="16">
        <f>IF(Y204=0.5,"",IF((Y204&gt;0.5)=(AE204=1),1,0))</f>
        <v>1</v>
      </c>
      <c r="AH204" s="16">
        <f>IF(Z204=0.5,"",IF((Z204&gt;0.5)=(AE204=1),1,0))</f>
        <v>1</v>
      </c>
      <c r="AI204" s="17" t="str">
        <f>IF(AF204&gt;V204,"Üst",IF(AF204&lt;V204,"Alt","Push"))</f>
        <v>Alt</v>
      </c>
    </row>
    <row r="205" spans="1:35">
      <c r="A205" s="7">
        <v>46111</v>
      </c>
      <c r="B205" s="8" t="s">
        <v>416</v>
      </c>
      <c r="C205" s="8" t="s">
        <v>134</v>
      </c>
      <c r="D205" s="8" t="s">
        <v>41</v>
      </c>
      <c r="E205" s="9">
        <v>122</v>
      </c>
      <c r="F205" s="9">
        <v>113</v>
      </c>
      <c r="G205" s="10">
        <v>16.5</v>
      </c>
      <c r="H205" s="11">
        <v>241.5</v>
      </c>
      <c r="I205" s="10">
        <v>17.5</v>
      </c>
      <c r="J205" s="12">
        <v>10.5</v>
      </c>
      <c r="K205" s="12">
        <v>1.060606060606061</v>
      </c>
      <c r="L205" s="11">
        <v>243.5</v>
      </c>
      <c r="M205" s="12">
        <v>1.909090909090909</v>
      </c>
      <c r="N205" s="12">
        <v>1.909090909090909</v>
      </c>
      <c r="O205" s="10">
        <v>16.5</v>
      </c>
      <c r="P205" s="12">
        <v>1.909090909090909</v>
      </c>
      <c r="Q205" s="12">
        <v>1.909090909090909</v>
      </c>
      <c r="R205" s="12">
        <v>10</v>
      </c>
      <c r="S205" s="12">
        <v>1.0625</v>
      </c>
      <c r="T205" s="8" t="s">
        <v>219</v>
      </c>
      <c r="U205" s="8" t="s">
        <v>218</v>
      </c>
      <c r="V205" s="11">
        <v>242.5</v>
      </c>
      <c r="W205" s="12">
        <v>1.892857142857143</v>
      </c>
      <c r="X205" s="12">
        <v>1.925925925925926</v>
      </c>
      <c r="Y205" s="13">
        <f>(1/R205)/((1/R205)+(1/S205))</f>
        <v>0.096045197740113</v>
      </c>
      <c r="Z205" s="13">
        <f>(1/J205)/((1/J205)+(1/K205))</f>
        <v>0.09174311926605504</v>
      </c>
      <c r="AA205" s="14">
        <f>1/R205+1/S205-1</f>
        <v>0.04117647058823537</v>
      </c>
      <c r="AB205" s="15">
        <f>O205-I205</f>
        <v>-1.0</v>
      </c>
      <c r="AC205" s="15">
        <f>IF(G205="","",G205-O205)</f>
        <v>0.0</v>
      </c>
      <c r="AD205" s="15">
        <f>H205-V205</f>
        <v>-1.0</v>
      </c>
      <c r="AE205" s="16">
        <f>IF(F205&gt;E205,1,0)</f>
        <v>0</v>
      </c>
      <c r="AF205" s="16">
        <f>F205+E205</f>
        <v>235</v>
      </c>
      <c r="AG205" s="16">
        <f>IF(Y205=0.5,"",IF((Y205&gt;0.5)=(AE205=1),1,0))</f>
        <v>1</v>
      </c>
      <c r="AH205" s="16">
        <f>IF(Z205=0.5,"",IF((Z205&gt;0.5)=(AE205=1),1,0))</f>
        <v>1</v>
      </c>
      <c r="AI205" s="17" t="str">
        <f>IF(AF205&gt;V205,"Üst",IF(AF205&lt;V205,"Alt","Push"))</f>
        <v>Alt</v>
      </c>
    </row>
    <row r="206" spans="1:35">
      <c r="A206" s="7">
        <v>46111</v>
      </c>
      <c r="B206" s="8" t="s">
        <v>417</v>
      </c>
      <c r="C206" s="8" t="s">
        <v>81</v>
      </c>
      <c r="D206" s="8" t="s">
        <v>130</v>
      </c>
      <c r="E206" s="9">
        <v>110</v>
      </c>
      <c r="F206" s="9">
        <v>114</v>
      </c>
      <c r="G206" s="10">
        <v>-12.5</v>
      </c>
      <c r="H206" s="11">
        <v>217.5</v>
      </c>
      <c r="I206" s="10">
        <v>-13.5</v>
      </c>
      <c r="J206" s="12">
        <v>1.133333333333333</v>
      </c>
      <c r="K206" s="12">
        <v>6.25</v>
      </c>
      <c r="L206" s="11">
        <v>219.5</v>
      </c>
      <c r="M206" s="12">
        <v>1.909090909090909</v>
      </c>
      <c r="N206" s="12">
        <v>1.909090909090909</v>
      </c>
      <c r="O206" s="10">
        <v>-11.5</v>
      </c>
      <c r="P206" s="12">
        <v>1.847457627118644</v>
      </c>
      <c r="Q206" s="12">
        <v>1.980392156862745</v>
      </c>
      <c r="R206" s="12">
        <v>1.153846153846154</v>
      </c>
      <c r="S206" s="12">
        <v>5.7</v>
      </c>
      <c r="T206" s="8" t="s">
        <v>58</v>
      </c>
      <c r="U206" s="8" t="s">
        <v>59</v>
      </c>
      <c r="V206" s="11">
        <v>217.5</v>
      </c>
      <c r="W206" s="12">
        <v>1.909090909090909</v>
      </c>
      <c r="X206" s="12">
        <v>1.909090909090909</v>
      </c>
      <c r="Y206" s="13">
        <f>(1/R206)/((1/R206)+(1/S206))</f>
        <v>0.8316498316498315</v>
      </c>
      <c r="Z206" s="13">
        <f>(1/J206)/((1/J206)+(1/K206))</f>
        <v>0.8465011286681716</v>
      </c>
      <c r="AA206" s="14">
        <f>1/R206+1/S206-1</f>
        <v>0.04210526315789487</v>
      </c>
      <c r="AB206" s="15">
        <f>O206-I206</f>
        <v>2.0</v>
      </c>
      <c r="AC206" s="15">
        <f>IF(G206="","",G206-O206)</f>
        <v>-1.0</v>
      </c>
      <c r="AD206" s="15">
        <f>H206-V206</f>
        <v>0.0</v>
      </c>
      <c r="AE206" s="16">
        <f>IF(F206&gt;E206,1,0)</f>
        <v>1</v>
      </c>
      <c r="AF206" s="16">
        <f>F206+E206</f>
        <v>224</v>
      </c>
      <c r="AG206" s="16">
        <f>IF(Y206=0.5,"",IF((Y206&gt;0.5)=(AE206=1),1,0))</f>
        <v>1</v>
      </c>
      <c r="AH206" s="16">
        <f>IF(Z206=0.5,"",IF((Z206&gt;0.5)=(AE206=1),1,0))</f>
        <v>1</v>
      </c>
      <c r="AI206" s="17" t="str">
        <f>IF(AF206&gt;V206,"Üst",IF(AF206&lt;V206,"Alt","Push"))</f>
        <v>Üst</v>
      </c>
    </row>
    <row r="207" spans="1:35">
      <c r="A207" s="7">
        <v>46111</v>
      </c>
      <c r="B207" s="8" t="s">
        <v>418</v>
      </c>
      <c r="C207" s="8" t="s">
        <v>64</v>
      </c>
      <c r="D207" s="8" t="s">
        <v>91</v>
      </c>
      <c r="E207" s="9">
        <v>101</v>
      </c>
      <c r="F207" s="9">
        <v>120</v>
      </c>
      <c r="G207" s="10">
        <v>-15.5</v>
      </c>
      <c r="H207" s="11">
        <v>237.5</v>
      </c>
      <c r="I207" s="10">
        <v>-16.5</v>
      </c>
      <c r="J207" s="12">
        <v>1.068965517241379</v>
      </c>
      <c r="K207" s="12">
        <v>9.5</v>
      </c>
      <c r="L207" s="11">
        <v>236.5</v>
      </c>
      <c r="M207" s="12">
        <v>1.869565217391304</v>
      </c>
      <c r="N207" s="12">
        <v>1.952380952380952</v>
      </c>
      <c r="O207" s="10">
        <v>-15.5</v>
      </c>
      <c r="P207" s="12">
        <v>1.892857142857143</v>
      </c>
      <c r="Q207" s="12">
        <v>1.925925925925926</v>
      </c>
      <c r="R207" s="12">
        <v>1.068965517241379</v>
      </c>
      <c r="S207" s="12">
        <v>9.5</v>
      </c>
      <c r="T207" s="8" t="s">
        <v>419</v>
      </c>
      <c r="U207" s="8" t="s">
        <v>420</v>
      </c>
      <c r="V207" s="11">
        <v>237.5</v>
      </c>
      <c r="W207" s="12">
        <v>1.952380952380952</v>
      </c>
      <c r="X207" s="12">
        <v>1.869565217391304</v>
      </c>
      <c r="Y207" s="13">
        <f>(1/R207)/((1/R207)+(1/S207))</f>
        <v>0.8988580750407832</v>
      </c>
      <c r="Z207" s="13">
        <f>(1/J207)/((1/J207)+(1/K207))</f>
        <v>0.8988580750407832</v>
      </c>
      <c r="AA207" s="14">
        <f>1/R207+1/S207-1</f>
        <v>0.04074702886247872</v>
      </c>
      <c r="AB207" s="15">
        <f>O207-I207</f>
        <v>1.0</v>
      </c>
      <c r="AC207" s="15">
        <f>IF(G207="","",G207-O207)</f>
        <v>0.0</v>
      </c>
      <c r="AD207" s="15">
        <f>H207-V207</f>
        <v>0.0</v>
      </c>
      <c r="AE207" s="16">
        <f>IF(F207&gt;E207,1,0)</f>
        <v>1</v>
      </c>
      <c r="AF207" s="16">
        <f>F207+E207</f>
        <v>221</v>
      </c>
      <c r="AG207" s="16">
        <f>IF(Y207=0.5,"",IF((Y207&gt;0.5)=(AE207=1),1,0))</f>
        <v>1</v>
      </c>
      <c r="AH207" s="16">
        <f>IF(Z207=0.5,"",IF((Z207&gt;0.5)=(AE207=1),1,0))</f>
        <v>1</v>
      </c>
      <c r="AI207" s="17" t="str">
        <f>IF(AF207&gt;V207,"Üst",IF(AF207&lt;V207,"Alt","Push"))</f>
        <v>Alt</v>
      </c>
    </row>
    <row r="208" spans="1:35">
      <c r="A208" s="7">
        <v>46112</v>
      </c>
      <c r="B208" s="8" t="s">
        <v>421</v>
      </c>
      <c r="C208" s="8" t="s">
        <v>61</v>
      </c>
      <c r="D208" s="8" t="s">
        <v>52</v>
      </c>
      <c r="E208" s="9">
        <v>99</v>
      </c>
      <c r="F208" s="9">
        <v>123</v>
      </c>
      <c r="G208" s="10">
        <v>2.5</v>
      </c>
      <c r="H208" s="11">
        <v>231.5</v>
      </c>
      <c r="I208" s="10">
        <v>1.5</v>
      </c>
      <c r="J208" s="12">
        <v>1.980392156862745</v>
      </c>
      <c r="K208" s="12">
        <v>1.847457627118644</v>
      </c>
      <c r="L208" s="11">
        <v>227.5</v>
      </c>
      <c r="M208" s="12">
        <v>1.952380952380952</v>
      </c>
      <c r="N208" s="12">
        <v>1.869565217391304</v>
      </c>
      <c r="O208" s="10">
        <v>2.5</v>
      </c>
      <c r="P208" s="12">
        <v>1.925925925925926</v>
      </c>
      <c r="Q208" s="12">
        <v>1.892857142857143</v>
      </c>
      <c r="R208" s="12">
        <v>2.2</v>
      </c>
      <c r="S208" s="12">
        <v>1.704225352112676</v>
      </c>
      <c r="T208" s="8" t="s">
        <v>190</v>
      </c>
      <c r="U208" s="8" t="s">
        <v>191</v>
      </c>
      <c r="V208" s="11">
        <v>231.5</v>
      </c>
      <c r="W208" s="12">
        <v>1.892857142857143</v>
      </c>
      <c r="X208" s="12">
        <v>1.925925925925926</v>
      </c>
      <c r="Y208" s="13">
        <f>(1/R208)/((1/R208)+(1/S208))</f>
        <v>0.43650793650793646</v>
      </c>
      <c r="Z208" s="13">
        <f>(1/J208)/((1/J208)+(1/K208))</f>
        <v>0.4826358742837298</v>
      </c>
      <c r="AA208" s="14">
        <f>1/R208+1/S208-1</f>
        <v>0.04132231404958686</v>
      </c>
      <c r="AB208" s="15">
        <f>O208-I208</f>
        <v>1.0</v>
      </c>
      <c r="AC208" s="15">
        <f>IF(G208="","",G208-O208)</f>
        <v>0.0</v>
      </c>
      <c r="AD208" s="15">
        <f>H208-V208</f>
        <v>0.0</v>
      </c>
      <c r="AE208" s="16">
        <f>IF(F208&gt;E208,1,0)</f>
        <v>1</v>
      </c>
      <c r="AF208" s="16">
        <f>F208+E208</f>
        <v>222</v>
      </c>
      <c r="AG208" s="16">
        <f>IF(Y208=0.5,"",IF((Y208&gt;0.5)=(AE208=1),1,0))</f>
        <v>0</v>
      </c>
      <c r="AH208" s="16">
        <f>IF(Z208=0.5,"",IF((Z208&gt;0.5)=(AE208=1),1,0))</f>
        <v>0</v>
      </c>
      <c r="AI208" s="17" t="str">
        <f>IF(AF208&gt;V208,"Üst",IF(AF208&lt;V208,"Alt","Push"))</f>
        <v>Alt</v>
      </c>
    </row>
    <row r="209" spans="1:35">
      <c r="A209" s="7">
        <v>46112</v>
      </c>
      <c r="B209" s="8" t="s">
        <v>422</v>
      </c>
      <c r="C209" s="8" t="s">
        <v>87</v>
      </c>
      <c r="D209" s="8" t="s">
        <v>62</v>
      </c>
      <c r="E209" s="9">
        <v>111</v>
      </c>
      <c r="F209" s="9">
        <v>115</v>
      </c>
      <c r="G209" s="10">
        <v>-2.5</v>
      </c>
      <c r="H209" s="11">
        <v>224.5</v>
      </c>
      <c r="I209" s="10">
        <v>-2.5</v>
      </c>
      <c r="J209" s="12">
        <v>1.740740740740741</v>
      </c>
      <c r="K209" s="12">
        <v>2.14</v>
      </c>
      <c r="L209" s="11">
        <v>222.5</v>
      </c>
      <c r="M209" s="12">
        <v>1.909090909090909</v>
      </c>
      <c r="N209" s="12">
        <v>1.909090909090909</v>
      </c>
      <c r="O209" s="10">
        <v>-2.5</v>
      </c>
      <c r="P209" s="12">
        <v>1.952380952380952</v>
      </c>
      <c r="Q209" s="12">
        <v>1.869565217391304</v>
      </c>
      <c r="R209" s="12">
        <v>1.769230769230769</v>
      </c>
      <c r="S209" s="12">
        <v>2.1</v>
      </c>
      <c r="T209" s="8" t="s">
        <v>168</v>
      </c>
      <c r="U209" s="8" t="s">
        <v>167</v>
      </c>
      <c r="V209" s="11">
        <v>225.5</v>
      </c>
      <c r="W209" s="12">
        <v>1.909090909090909</v>
      </c>
      <c r="X209" s="12">
        <v>1.909090909090909</v>
      </c>
      <c r="Y209" s="13">
        <f>(1/R209)/((1/R209)+(1/S209))</f>
        <v>0.5427435387673957</v>
      </c>
      <c r="Z209" s="13">
        <f>(1/J209)/((1/J209)+(1/K209))</f>
        <v>0.551441114716549</v>
      </c>
      <c r="AA209" s="14">
        <f>1/R209+1/S209-1</f>
        <v>0.04140786749482395</v>
      </c>
      <c r="AB209" s="15">
        <f>O209-I209</f>
        <v>0.0</v>
      </c>
      <c r="AC209" s="15">
        <f>IF(G209="","",G209-O209)</f>
        <v>0.0</v>
      </c>
      <c r="AD209" s="15">
        <f>H209-V209</f>
        <v>-1.0</v>
      </c>
      <c r="AE209" s="16">
        <f>IF(F209&gt;E209,1,0)</f>
        <v>1</v>
      </c>
      <c r="AF209" s="16">
        <f>F209+E209</f>
        <v>226</v>
      </c>
      <c r="AG209" s="16">
        <f>IF(Y209=0.5,"",IF((Y209&gt;0.5)=(AE209=1),1,0))</f>
        <v>1</v>
      </c>
      <c r="AH209" s="16">
        <f>IF(Z209=0.5,"",IF((Z209&gt;0.5)=(AE209=1),1,0))</f>
        <v>1</v>
      </c>
      <c r="AI209" s="17" t="str">
        <f>IF(AF209&gt;V209,"Üst",IF(AF209&lt;V209,"Alt","Push"))</f>
        <v>Üst</v>
      </c>
    </row>
    <row r="210" spans="1:35">
      <c r="A210" s="7">
        <v>46112</v>
      </c>
      <c r="B210" s="8" t="s">
        <v>423</v>
      </c>
      <c r="C210" s="8" t="s">
        <v>105</v>
      </c>
      <c r="D210" s="8" t="s">
        <v>68</v>
      </c>
      <c r="E210" s="9">
        <v>117</v>
      </c>
      <c r="F210" s="9">
        <v>86</v>
      </c>
      <c r="G210" s="10">
        <v>18.5</v>
      </c>
      <c r="H210" s="11">
        <v>219.5</v>
      </c>
      <c r="I210" s="10">
        <v>15.5</v>
      </c>
      <c r="J210" s="12">
        <v>9</v>
      </c>
      <c r="K210" s="12">
        <v>1.074074074074074</v>
      </c>
      <c r="L210" s="11">
        <v>217.5</v>
      </c>
      <c r="M210" s="12">
        <v>1.909090909090909</v>
      </c>
      <c r="N210" s="12">
        <v>1.909090909090909</v>
      </c>
      <c r="O210" s="10">
        <v>18.5</v>
      </c>
      <c r="P210" s="12">
        <v>1.869565217391304</v>
      </c>
      <c r="Q210" s="12">
        <v>1.952380952380952</v>
      </c>
      <c r="R210" s="12">
        <v>12</v>
      </c>
      <c r="S210" s="12">
        <v>1.047619047619048</v>
      </c>
      <c r="T210" s="8" t="s">
        <v>278</v>
      </c>
      <c r="U210" s="8" t="s">
        <v>279</v>
      </c>
      <c r="V210" s="11">
        <v>219.5</v>
      </c>
      <c r="W210" s="12">
        <v>1.909090909090909</v>
      </c>
      <c r="X210" s="12">
        <v>1.909090909090909</v>
      </c>
      <c r="Y210" s="13">
        <f>(1/R210)/((1/R210)+(1/S210))</f>
        <v>0.08029197080291971</v>
      </c>
      <c r="Z210" s="13">
        <f>(1/J210)/((1/J210)+(1/K210))</f>
        <v>0.10661764705882351</v>
      </c>
      <c r="AA210" s="14">
        <f>1/R210+1/S210-1</f>
        <v>0.037878787878787845</v>
      </c>
      <c r="AB210" s="15">
        <f>O210-I210</f>
        <v>3.0</v>
      </c>
      <c r="AC210" s="15">
        <f>IF(G210="","",G210-O210)</f>
        <v>0.0</v>
      </c>
      <c r="AD210" s="15">
        <f>H210-V210</f>
        <v>0.0</v>
      </c>
      <c r="AE210" s="16">
        <f>IF(F210&gt;E210,1,0)</f>
        <v>0</v>
      </c>
      <c r="AF210" s="16">
        <f>F210+E210</f>
        <v>203</v>
      </c>
      <c r="AG210" s="16">
        <f>IF(Y210=0.5,"",IF((Y210&gt;0.5)=(AE210=1),1,0))</f>
        <v>1</v>
      </c>
      <c r="AH210" s="16">
        <f>IF(Z210=0.5,"",IF((Z210&gt;0.5)=(AE210=1),1,0))</f>
        <v>1</v>
      </c>
      <c r="AI210" s="17" t="str">
        <f>IF(AF210&gt;V210,"Üst",IF(AF210&lt;V210,"Alt","Push"))</f>
        <v>Alt</v>
      </c>
    </row>
    <row r="211" spans="1:35">
      <c r="A211" s="7">
        <v>46112</v>
      </c>
      <c r="B211" s="8" t="s">
        <v>424</v>
      </c>
      <c r="C211" s="8" t="s">
        <v>76</v>
      </c>
      <c r="D211" s="8" t="s">
        <v>81</v>
      </c>
      <c r="E211" s="9">
        <v>116</v>
      </c>
      <c r="F211" s="9">
        <v>127</v>
      </c>
      <c r="G211" s="10">
        <v>-3.5</v>
      </c>
      <c r="H211" s="11">
        <v>220.5</v>
      </c>
      <c r="I211" s="10">
        <v>-2.5</v>
      </c>
      <c r="J211" s="12">
        <v>1.740740740740741</v>
      </c>
      <c r="K211" s="12">
        <v>2.14</v>
      </c>
      <c r="L211" s="11">
        <v>220.5</v>
      </c>
      <c r="M211" s="12">
        <v>1.909090909090909</v>
      </c>
      <c r="N211" s="12">
        <v>1.909090909090909</v>
      </c>
      <c r="O211" s="10">
        <v>-3.5</v>
      </c>
      <c r="P211" s="12">
        <v>1.909090909090909</v>
      </c>
      <c r="Q211" s="12">
        <v>1.909090909090909</v>
      </c>
      <c r="R211" s="12">
        <v>1.645161290322581</v>
      </c>
      <c r="S211" s="12">
        <v>2.3</v>
      </c>
      <c r="T211" s="8" t="s">
        <v>163</v>
      </c>
      <c r="U211" s="8" t="s">
        <v>164</v>
      </c>
      <c r="V211" s="11">
        <v>219.5</v>
      </c>
      <c r="W211" s="12">
        <v>1.869565217391304</v>
      </c>
      <c r="X211" s="12">
        <v>1.952380952380952</v>
      </c>
      <c r="Y211" s="13">
        <f>(1/R211)/((1/R211)+(1/S211))</f>
        <v>0.5829926410466066</v>
      </c>
      <c r="Z211" s="13">
        <f>(1/J211)/((1/J211)+(1/K211))</f>
        <v>0.551441114716549</v>
      </c>
      <c r="AA211" s="14">
        <f>1/R211+1/S211-1</f>
        <v>0.04262574595055435</v>
      </c>
      <c r="AB211" s="15">
        <f>O211-I211</f>
        <v>-1.0</v>
      </c>
      <c r="AC211" s="15">
        <f>IF(G211="","",G211-O211)</f>
        <v>0.0</v>
      </c>
      <c r="AD211" s="15">
        <f>H211-V211</f>
        <v>1.0</v>
      </c>
      <c r="AE211" s="16">
        <f>IF(F211&gt;E211,1,0)</f>
        <v>1</v>
      </c>
      <c r="AF211" s="16">
        <f>F211+E211</f>
        <v>243</v>
      </c>
      <c r="AG211" s="16">
        <f>IF(Y211=0.5,"",IF((Y211&gt;0.5)=(AE211=1),1,0))</f>
        <v>1</v>
      </c>
      <c r="AH211" s="16">
        <f>IF(Z211=0.5,"",IF((Z211&gt;0.5)=(AE211=1),1,0))</f>
        <v>1</v>
      </c>
      <c r="AI211" s="17" t="str">
        <f>IF(AF211&gt;V211,"Üst",IF(AF211&lt;V211,"Alt","Push"))</f>
        <v>Üst</v>
      </c>
    </row>
    <row r="212" spans="1:35">
      <c r="A212" s="7">
        <v>46112</v>
      </c>
      <c r="B212" s="8" t="s">
        <v>425</v>
      </c>
      <c r="C212" s="8" t="s">
        <v>110</v>
      </c>
      <c r="D212" s="8" t="s">
        <v>74</v>
      </c>
      <c r="E212" s="9">
        <v>94</v>
      </c>
      <c r="F212" s="9">
        <v>111</v>
      </c>
      <c r="G212" s="10">
        <v>1.5</v>
      </c>
      <c r="H212" s="11">
        <v>218.5</v>
      </c>
      <c r="I212" s="10">
        <v>1.5</v>
      </c>
      <c r="J212" s="12">
        <v>1.925925925925926</v>
      </c>
      <c r="K212" s="12">
        <v>1.892857142857143</v>
      </c>
      <c r="L212" s="11">
        <v>219.5</v>
      </c>
      <c r="M212" s="12">
        <v>1.909090909090909</v>
      </c>
      <c r="N212" s="12">
        <v>1.909090909090909</v>
      </c>
      <c r="O212" s="10">
        <v>1.5</v>
      </c>
      <c r="P212" s="12">
        <v>1.869565217391304</v>
      </c>
      <c r="Q212" s="12">
        <v>1.952380952380952</v>
      </c>
      <c r="R212" s="12">
        <v>1.952380952380952</v>
      </c>
      <c r="S212" s="12">
        <v>1.869565217391304</v>
      </c>
      <c r="T212" s="8" t="s">
        <v>54</v>
      </c>
      <c r="U212" s="8" t="s">
        <v>53</v>
      </c>
      <c r="V212" s="11">
        <v>218.5</v>
      </c>
      <c r="W212" s="12">
        <v>1.909090909090909</v>
      </c>
      <c r="X212" s="12">
        <v>1.909090909090909</v>
      </c>
      <c r="Y212" s="13">
        <f>(1/R212)/((1/R212)+(1/S212))</f>
        <v>0.4891657638136511</v>
      </c>
      <c r="Z212" s="13">
        <f>(1/J212)/((1/J212)+(1/K212))</f>
        <v>0.4956702459300312</v>
      </c>
      <c r="AA212" s="14">
        <f>1/R212+1/S212-1</f>
        <v>0.04707884288145214</v>
      </c>
      <c r="AB212" s="15">
        <f>O212-I212</f>
        <v>0.0</v>
      </c>
      <c r="AC212" s="15">
        <f>IF(G212="","",G212-O212)</f>
        <v>0.0</v>
      </c>
      <c r="AD212" s="15">
        <f>H212-V212</f>
        <v>0.0</v>
      </c>
      <c r="AE212" s="16">
        <f>IF(F212&gt;E212,1,0)</f>
        <v>1</v>
      </c>
      <c r="AF212" s="16">
        <f>F212+E212</f>
        <v>205</v>
      </c>
      <c r="AG212" s="16">
        <f>IF(Y212=0.5,"",IF((Y212&gt;0.5)=(AE212=1),1,0))</f>
        <v>0</v>
      </c>
      <c r="AH212" s="16">
        <f>IF(Z212=0.5,"",IF((Z212&gt;0.5)=(AE212=1),1,0))</f>
        <v>0</v>
      </c>
      <c r="AI212" s="17" t="str">
        <f>IF(AF212&gt;V212,"Üst",IF(AF212&lt;V212,"Alt","Push"))</f>
        <v>Alt</v>
      </c>
    </row>
    <row r="213" spans="1:35">
      <c r="A213" s="7">
        <v>46112</v>
      </c>
      <c r="B213" s="8" t="s">
        <v>426</v>
      </c>
      <c r="C213" s="8" t="s">
        <v>134</v>
      </c>
      <c r="D213" s="8" t="s">
        <v>91</v>
      </c>
      <c r="E213" s="9">
        <v>113</v>
      </c>
      <c r="F213" s="9">
        <v>127</v>
      </c>
      <c r="G213" s="10">
        <v>-2.5</v>
      </c>
      <c r="H213" s="11">
        <v>236.5</v>
      </c>
      <c r="I213" s="10">
        <v>-1.5</v>
      </c>
      <c r="J213" s="12">
        <v>1.8</v>
      </c>
      <c r="K213" s="12">
        <v>2.05</v>
      </c>
      <c r="L213" s="11">
        <v>236.5</v>
      </c>
      <c r="M213" s="12">
        <v>1.909090909090909</v>
      </c>
      <c r="N213" s="12">
        <v>1.909090909090909</v>
      </c>
      <c r="O213" s="10">
        <v>-2.5</v>
      </c>
      <c r="P213" s="12">
        <v>1.952380952380952</v>
      </c>
      <c r="Q213" s="12">
        <v>1.869565217391304</v>
      </c>
      <c r="R213" s="12">
        <v>1.769230769230769</v>
      </c>
      <c r="S213" s="12">
        <v>2.1</v>
      </c>
      <c r="T213" s="8" t="s">
        <v>168</v>
      </c>
      <c r="U213" s="8" t="s">
        <v>167</v>
      </c>
      <c r="V213" s="11">
        <v>236.5</v>
      </c>
      <c r="W213" s="12">
        <v>1.952380952380952</v>
      </c>
      <c r="X213" s="12">
        <v>1.869565217391304</v>
      </c>
      <c r="Y213" s="13">
        <f>(1/R213)/((1/R213)+(1/S213))</f>
        <v>0.5427435387673957</v>
      </c>
      <c r="Z213" s="13">
        <f>(1/J213)/((1/J213)+(1/K213))</f>
        <v>0.5324675324675325</v>
      </c>
      <c r="AA213" s="14">
        <f>1/R213+1/S213-1</f>
        <v>0.04140786749482395</v>
      </c>
      <c r="AB213" s="15">
        <f>O213-I213</f>
        <v>-1.0</v>
      </c>
      <c r="AC213" s="15">
        <f>IF(G213="","",G213-O213)</f>
        <v>0.0</v>
      </c>
      <c r="AD213" s="15">
        <f>H213-V213</f>
        <v>0.0</v>
      </c>
      <c r="AE213" s="16">
        <f>IF(F213&gt;E213,1,0)</f>
        <v>1</v>
      </c>
      <c r="AF213" s="16">
        <f>F213+E213</f>
        <v>240</v>
      </c>
      <c r="AG213" s="16">
        <f>IF(Y213=0.5,"",IF((Y213&gt;0.5)=(AE213=1),1,0))</f>
        <v>1</v>
      </c>
      <c r="AH213" s="16">
        <f>IF(Z213=0.5,"",IF((Z213&gt;0.5)=(AE213=1),1,0))</f>
        <v>1</v>
      </c>
      <c r="AI213" s="17" t="str">
        <f>IF(AF213&gt;V213,"Üst",IF(AF213&lt;V213,"Alt","Push"))</f>
        <v>Üst</v>
      </c>
    </row>
    <row r="214" spans="1:35">
      <c r="A214" s="7">
        <v>46112</v>
      </c>
      <c r="B214" s="8" t="s">
        <v>427</v>
      </c>
      <c r="C214" s="8" t="s">
        <v>46</v>
      </c>
      <c r="D214" s="8" t="s">
        <v>57</v>
      </c>
      <c r="E214" s="9">
        <v>114</v>
      </c>
      <c r="F214" s="9">
        <v>104</v>
      </c>
      <c r="G214" s="10">
        <v>-4.5</v>
      </c>
      <c r="H214" s="11">
        <v>225.5</v>
      </c>
      <c r="I214" s="10">
        <v>-5.5</v>
      </c>
      <c r="J214" s="12">
        <v>1.505050505050505</v>
      </c>
      <c r="K214" s="12">
        <v>2.64</v>
      </c>
      <c r="L214" s="11">
        <v>227.5</v>
      </c>
      <c r="M214" s="12">
        <v>1.909090909090909</v>
      </c>
      <c r="N214" s="12">
        <v>1.909090909090909</v>
      </c>
      <c r="O214" s="10">
        <v>-4.5</v>
      </c>
      <c r="P214" s="12">
        <v>1.869565217391304</v>
      </c>
      <c r="Q214" s="12">
        <v>1.952380952380952</v>
      </c>
      <c r="R214" s="12">
        <v>1.505050505050505</v>
      </c>
      <c r="S214" s="12">
        <v>2.64</v>
      </c>
      <c r="T214" s="8" t="s">
        <v>139</v>
      </c>
      <c r="U214" s="8" t="s">
        <v>138</v>
      </c>
      <c r="V214" s="11">
        <v>225.5</v>
      </c>
      <c r="W214" s="12">
        <v>1.925925925925926</v>
      </c>
      <c r="X214" s="12">
        <v>1.892857142857143</v>
      </c>
      <c r="Y214" s="13">
        <f>(1/R214)/((1/R214)+(1/S214))</f>
        <v>0.6369041816941222</v>
      </c>
      <c r="Z214" s="13">
        <f>(1/J214)/((1/J214)+(1/K214))</f>
        <v>0.6369041816941222</v>
      </c>
      <c r="AA214" s="14">
        <f>1/R214+1/S214-1</f>
        <v>0.043217408989220996</v>
      </c>
      <c r="AB214" s="15">
        <f>O214-I214</f>
        <v>1.0</v>
      </c>
      <c r="AC214" s="15">
        <f>IF(G214="","",G214-O214)</f>
        <v>0.0</v>
      </c>
      <c r="AD214" s="15">
        <f>H214-V214</f>
        <v>0.0</v>
      </c>
      <c r="AE214" s="16">
        <f>IF(F214&gt;E214,1,0)</f>
        <v>0</v>
      </c>
      <c r="AF214" s="16">
        <f>F214+E214</f>
        <v>218</v>
      </c>
      <c r="AG214" s="16">
        <f>IF(Y214=0.5,"",IF((Y214&gt;0.5)=(AE214=1),1,0))</f>
        <v>0</v>
      </c>
      <c r="AH214" s="16">
        <f>IF(Z214=0.5,"",IF((Z214&gt;0.5)=(AE214=1),1,0))</f>
        <v>0</v>
      </c>
      <c r="AI214" s="17" t="str">
        <f>IF(AF214&gt;V214,"Üst",IF(AF214&lt;V214,"Alt","Push"))</f>
        <v>Alt</v>
      </c>
    </row>
    <row r="215" spans="1:35">
      <c r="A215" s="7">
        <v>46113</v>
      </c>
      <c r="B215" s="8" t="s">
        <v>428</v>
      </c>
      <c r="C215" s="8" t="s">
        <v>110</v>
      </c>
      <c r="D215" s="8" t="s">
        <v>47</v>
      </c>
      <c r="E215" s="9">
        <v>130</v>
      </c>
      <c r="F215" s="9">
        <v>119</v>
      </c>
      <c r="G215" s="10">
        <v>13.5</v>
      </c>
      <c r="H215" s="11">
        <v>225.5</v>
      </c>
      <c r="I215" s="10">
        <v>14.5</v>
      </c>
      <c r="J215" s="12">
        <v>7.5</v>
      </c>
      <c r="K215" s="12">
        <v>1.1</v>
      </c>
      <c r="L215" s="11">
        <v>228.5</v>
      </c>
      <c r="M215" s="12">
        <v>1.952380952380952</v>
      </c>
      <c r="N215" s="12">
        <v>1.869565217391304</v>
      </c>
      <c r="O215" s="10">
        <v>13.5</v>
      </c>
      <c r="P215" s="12">
        <v>1.925925925925926</v>
      </c>
      <c r="Q215" s="12">
        <v>1.892857142857143</v>
      </c>
      <c r="R215" s="12">
        <v>7</v>
      </c>
      <c r="S215" s="12">
        <v>1.111111111111111</v>
      </c>
      <c r="T215" s="8" t="s">
        <v>347</v>
      </c>
      <c r="U215" s="8" t="s">
        <v>346</v>
      </c>
      <c r="V215" s="11">
        <v>224.5</v>
      </c>
      <c r="W215" s="12">
        <v>1.869565217391304</v>
      </c>
      <c r="X215" s="12">
        <v>1.952380952380952</v>
      </c>
      <c r="Y215" s="13">
        <f>(1/R215)/((1/R215)+(1/S215))</f>
        <v>0.13698630136986303</v>
      </c>
      <c r="Z215" s="13">
        <f>(1/J215)/((1/J215)+(1/K215))</f>
        <v>0.12790697674418605</v>
      </c>
      <c r="AA215" s="14">
        <f>1/R215+1/S215-1</f>
        <v>0.042857142857142705</v>
      </c>
      <c r="AB215" s="15">
        <f>O215-I215</f>
        <v>-1.0</v>
      </c>
      <c r="AC215" s="15">
        <f>IF(G215="","",G215-O215)</f>
        <v>0.0</v>
      </c>
      <c r="AD215" s="15">
        <f>H215-V215</f>
        <v>1.0</v>
      </c>
      <c r="AE215" s="16">
        <f>IF(F215&gt;E215,1,0)</f>
        <v>0</v>
      </c>
      <c r="AF215" s="16">
        <f>F215+E215</f>
        <v>249</v>
      </c>
      <c r="AG215" s="16">
        <f>IF(Y215=0.5,"",IF((Y215&gt;0.5)=(AE215=1),1,0))</f>
        <v>1</v>
      </c>
      <c r="AH215" s="16">
        <f>IF(Z215=0.5,"",IF((Z215&gt;0.5)=(AE215=1),1,0))</f>
        <v>1</v>
      </c>
      <c r="AI215" s="17" t="str">
        <f>IF(AF215&gt;V215,"Üst",IF(AF215&lt;V215,"Alt","Push"))</f>
        <v>Üst</v>
      </c>
    </row>
    <row r="216" spans="1:35">
      <c r="A216" s="7">
        <v>46113</v>
      </c>
      <c r="B216" s="8" t="s">
        <v>429</v>
      </c>
      <c r="C216" s="8" t="s">
        <v>42</v>
      </c>
      <c r="D216" s="8" t="s">
        <v>64</v>
      </c>
      <c r="E216" s="9">
        <v>153</v>
      </c>
      <c r="F216" s="9">
        <v>131</v>
      </c>
      <c r="G216" s="10">
        <v>14.5</v>
      </c>
      <c r="H216" s="11">
        <v>238.5</v>
      </c>
      <c r="I216" s="10">
        <v>15.5</v>
      </c>
      <c r="J216" s="12">
        <v>8.5</v>
      </c>
      <c r="K216" s="12">
        <v>1.083333333333333</v>
      </c>
      <c r="L216" s="11">
        <v>237.5</v>
      </c>
      <c r="M216" s="12">
        <v>1.952380952380952</v>
      </c>
      <c r="N216" s="12">
        <v>1.869565217391304</v>
      </c>
      <c r="O216" s="10">
        <v>14.5</v>
      </c>
      <c r="P216" s="12">
        <v>1.869565217391304</v>
      </c>
      <c r="Q216" s="12">
        <v>1.952380952380952</v>
      </c>
      <c r="R216" s="12">
        <v>8.5</v>
      </c>
      <c r="S216" s="12">
        <v>1.083333333333333</v>
      </c>
      <c r="T216" s="8" t="s">
        <v>103</v>
      </c>
      <c r="U216" s="8" t="s">
        <v>102</v>
      </c>
      <c r="V216" s="11">
        <v>239.5</v>
      </c>
      <c r="W216" s="12">
        <v>1.952380952380952</v>
      </c>
      <c r="X216" s="12">
        <v>1.869565217391304</v>
      </c>
      <c r="Y216" s="13">
        <f>(1/R216)/((1/R216)+(1/S216))</f>
        <v>0.11304347826086955</v>
      </c>
      <c r="Z216" s="13">
        <f>(1/J216)/((1/J216)+(1/K216))</f>
        <v>0.11304347826086955</v>
      </c>
      <c r="AA216" s="14">
        <f>1/R216+1/S216-1</f>
        <v>0.040723981900452566</v>
      </c>
      <c r="AB216" s="15">
        <f>O216-I216</f>
        <v>-1.0</v>
      </c>
      <c r="AC216" s="15">
        <f>IF(G216="","",G216-O216)</f>
        <v>0.0</v>
      </c>
      <c r="AD216" s="15">
        <f>H216-V216</f>
        <v>-1.0</v>
      </c>
      <c r="AE216" s="16">
        <f>IF(F216&gt;E216,1,0)</f>
        <v>0</v>
      </c>
      <c r="AF216" s="16">
        <f>F216+E216</f>
        <v>284</v>
      </c>
      <c r="AG216" s="16">
        <f>IF(Y216=0.5,"",IF((Y216&gt;0.5)=(AE216=1),1,0))</f>
        <v>1</v>
      </c>
      <c r="AH216" s="16">
        <f>IF(Z216=0.5,"",IF((Z216&gt;0.5)=(AE216=1),1,0))</f>
        <v>1</v>
      </c>
      <c r="AI216" s="17" t="str">
        <f>IF(AF216&gt;V216,"Üst",IF(AF216&lt;V216,"Alt","Push"))</f>
        <v>Üst</v>
      </c>
    </row>
    <row r="217" spans="1:35">
      <c r="A217" s="7">
        <v>46113</v>
      </c>
      <c r="B217" s="8" t="s">
        <v>430</v>
      </c>
      <c r="C217" s="8" t="s">
        <v>101</v>
      </c>
      <c r="D217" s="8" t="s">
        <v>69</v>
      </c>
      <c r="E217" s="9">
        <v>147</v>
      </c>
      <c r="F217" s="9">
        <v>129</v>
      </c>
      <c r="G217" s="10">
        <v>4.5</v>
      </c>
      <c r="H217" s="11">
        <v>229.5</v>
      </c>
      <c r="I217" s="10">
        <v>4.5</v>
      </c>
      <c r="J217" s="12">
        <v>2.64</v>
      </c>
      <c r="K217" s="12">
        <v>1.505050505050505</v>
      </c>
      <c r="L217" s="11">
        <v>228.5</v>
      </c>
      <c r="M217" s="12">
        <v>1.909090909090909</v>
      </c>
      <c r="N217" s="12">
        <v>1.909090909090909</v>
      </c>
      <c r="O217" s="10">
        <v>4.5</v>
      </c>
      <c r="P217" s="12">
        <v>1.925925925925926</v>
      </c>
      <c r="Q217" s="12">
        <v>1.892857142857143</v>
      </c>
      <c r="R217" s="12">
        <v>2.64</v>
      </c>
      <c r="S217" s="12">
        <v>1.505050505050505</v>
      </c>
      <c r="T217" s="8" t="s">
        <v>138</v>
      </c>
      <c r="U217" s="8" t="s">
        <v>139</v>
      </c>
      <c r="V217" s="11">
        <v>229.5</v>
      </c>
      <c r="W217" s="12">
        <v>1.909090909090909</v>
      </c>
      <c r="X217" s="12">
        <v>1.909090909090909</v>
      </c>
      <c r="Y217" s="13">
        <f>(1/R217)/((1/R217)+(1/S217))</f>
        <v>0.36309581830587784</v>
      </c>
      <c r="Z217" s="13">
        <f>(1/J217)/((1/J217)+(1/K217))</f>
        <v>0.36309581830587784</v>
      </c>
      <c r="AA217" s="14">
        <f>1/R217+1/S217-1</f>
        <v>0.043217408989220996</v>
      </c>
      <c r="AB217" s="15">
        <f>O217-I217</f>
        <v>0.0</v>
      </c>
      <c r="AC217" s="15">
        <f>IF(G217="","",G217-O217)</f>
        <v>0.0</v>
      </c>
      <c r="AD217" s="15">
        <f>H217-V217</f>
        <v>0.0</v>
      </c>
      <c r="AE217" s="16">
        <f>IF(F217&gt;E217,1,0)</f>
        <v>0</v>
      </c>
      <c r="AF217" s="16">
        <f>F217+E217</f>
        <v>276</v>
      </c>
      <c r="AG217" s="16">
        <f>IF(Y217=0.5,"",IF((Y217&gt;0.5)=(AE217=1),1,0))</f>
        <v>1</v>
      </c>
      <c r="AH217" s="16">
        <f>IF(Z217=0.5,"",IF((Z217&gt;0.5)=(AE217=1),1,0))</f>
        <v>1</v>
      </c>
      <c r="AI217" s="17" t="str">
        <f>IF(AF217&gt;V217,"Üst",IF(AF217&lt;V217,"Alt","Push"))</f>
        <v>Üst</v>
      </c>
    </row>
    <row r="218" spans="1:35">
      <c r="A218" s="7">
        <v>46113</v>
      </c>
      <c r="B218" s="8" t="s">
        <v>431</v>
      </c>
      <c r="C218" s="8" t="s">
        <v>51</v>
      </c>
      <c r="D218" s="8" t="s">
        <v>62</v>
      </c>
      <c r="E218" s="9">
        <v>130</v>
      </c>
      <c r="F218" s="9">
        <v>101</v>
      </c>
      <c r="G218" s="10">
        <v>2.5</v>
      </c>
      <c r="H218" s="11">
        <v>235.5</v>
      </c>
      <c r="I218" s="10">
        <v>4.5</v>
      </c>
      <c r="J218" s="12">
        <v>2.45</v>
      </c>
      <c r="K218" s="12">
        <v>1.571428571428571</v>
      </c>
      <c r="L218" s="11">
        <v>233.5</v>
      </c>
      <c r="M218" s="12">
        <v>1.869565217391304</v>
      </c>
      <c r="N218" s="12">
        <v>1.952380952380952</v>
      </c>
      <c r="O218" s="10">
        <v>2.5</v>
      </c>
      <c r="P218" s="12">
        <v>1.909090909090909</v>
      </c>
      <c r="Q218" s="12">
        <v>1.909090909090909</v>
      </c>
      <c r="R218" s="12">
        <v>2.2</v>
      </c>
      <c r="S218" s="12">
        <v>1.704225352112676</v>
      </c>
      <c r="T218" s="8" t="s">
        <v>190</v>
      </c>
      <c r="U218" s="8" t="s">
        <v>191</v>
      </c>
      <c r="V218" s="11">
        <v>235.5</v>
      </c>
      <c r="W218" s="12">
        <v>1.925925925925926</v>
      </c>
      <c r="X218" s="12">
        <v>1.892857142857143</v>
      </c>
      <c r="Y218" s="13">
        <f>(1/R218)/((1/R218)+(1/S218))</f>
        <v>0.43650793650793646</v>
      </c>
      <c r="Z218" s="13">
        <f>(1/J218)/((1/J218)+(1/K218))</f>
        <v>0.3907637655417407</v>
      </c>
      <c r="AA218" s="14">
        <f>1/R218+1/S218-1</f>
        <v>0.04132231404958686</v>
      </c>
      <c r="AB218" s="15">
        <f>O218-I218</f>
        <v>-2.0</v>
      </c>
      <c r="AC218" s="15">
        <f>IF(G218="","",G218-O218)</f>
        <v>0.0</v>
      </c>
      <c r="AD218" s="15">
        <f>H218-V218</f>
        <v>0.0</v>
      </c>
      <c r="AE218" s="16">
        <f>IF(F218&gt;E218,1,0)</f>
        <v>0</v>
      </c>
      <c r="AF218" s="16">
        <f>F218+E218</f>
        <v>231</v>
      </c>
      <c r="AG218" s="16">
        <f>IF(Y218=0.5,"",IF((Y218&gt;0.5)=(AE218=1),1,0))</f>
        <v>1</v>
      </c>
      <c r="AH218" s="16">
        <f>IF(Z218=0.5,"",IF((Z218&gt;0.5)=(AE218=1),1,0))</f>
        <v>1</v>
      </c>
      <c r="AI218" s="17" t="str">
        <f>IF(AF218&gt;V218,"Üst",IF(AF218&lt;V218,"Alt","Push"))</f>
        <v>Alt</v>
      </c>
    </row>
    <row r="219" spans="1:35">
      <c r="A219" s="7">
        <v>46113</v>
      </c>
      <c r="B219" s="8" t="s">
        <v>432</v>
      </c>
      <c r="C219" s="8" t="s">
        <v>97</v>
      </c>
      <c r="D219" s="8" t="s">
        <v>76</v>
      </c>
      <c r="E219" s="9">
        <v>123</v>
      </c>
      <c r="F219" s="9">
        <v>115</v>
      </c>
      <c r="G219" s="10">
        <v>-12.5</v>
      </c>
      <c r="H219" s="11">
        <v>228.5</v>
      </c>
      <c r="I219" s="10">
        <v>-13.5</v>
      </c>
      <c r="J219" s="12">
        <v>1.1</v>
      </c>
      <c r="K219" s="12">
        <v>7.5</v>
      </c>
      <c r="L219" s="11">
        <v>225.5</v>
      </c>
      <c r="M219" s="12">
        <v>1.909090909090909</v>
      </c>
      <c r="N219" s="12">
        <v>1.909090909090909</v>
      </c>
      <c r="O219" s="10">
        <v>-12.5</v>
      </c>
      <c r="P219" s="12">
        <v>1.869565217391304</v>
      </c>
      <c r="Q219" s="12">
        <v>1.952380952380952</v>
      </c>
      <c r="R219" s="12">
        <v>1.133333333333333</v>
      </c>
      <c r="S219" s="12">
        <v>6.25</v>
      </c>
      <c r="T219" s="8" t="s">
        <v>287</v>
      </c>
      <c r="U219" s="8" t="s">
        <v>286</v>
      </c>
      <c r="V219" s="11">
        <v>227.5</v>
      </c>
      <c r="W219" s="12">
        <v>1.869565217391304</v>
      </c>
      <c r="X219" s="12">
        <v>1.952380952380952</v>
      </c>
      <c r="Y219" s="13">
        <f>(1/R219)/((1/R219)+(1/S219))</f>
        <v>0.8465011286681716</v>
      </c>
      <c r="Z219" s="13">
        <f>(1/J219)/((1/J219)+(1/K219))</f>
        <v>0.8720930232558138</v>
      </c>
      <c r="AA219" s="14">
        <f>1/R219+1/S219-1</f>
        <v>0.04235294117647048</v>
      </c>
      <c r="AB219" s="15">
        <f>O219-I219</f>
        <v>1.0</v>
      </c>
      <c r="AC219" s="15">
        <f>IF(G219="","",G219-O219)</f>
        <v>0.0</v>
      </c>
      <c r="AD219" s="15">
        <f>H219-V219</f>
        <v>1.0</v>
      </c>
      <c r="AE219" s="16">
        <f>IF(F219&gt;E219,1,0)</f>
        <v>0</v>
      </c>
      <c r="AF219" s="16">
        <f>F219+E219</f>
        <v>238</v>
      </c>
      <c r="AG219" s="16">
        <f>IF(Y219=0.5,"",IF((Y219&gt;0.5)=(AE219=1),1,0))</f>
        <v>0</v>
      </c>
      <c r="AH219" s="16">
        <f>IF(Z219=0.5,"",IF((Z219&gt;0.5)=(AE219=1),1,0))</f>
        <v>0</v>
      </c>
      <c r="AI219" s="17" t="str">
        <f>IF(AF219&gt;V219,"Üst",IF(AF219&lt;V219,"Alt","Push"))</f>
        <v>Üst</v>
      </c>
    </row>
    <row r="220" spans="1:35">
      <c r="A220" s="7">
        <v>46113</v>
      </c>
      <c r="B220" s="8" t="s">
        <v>433</v>
      </c>
      <c r="C220" s="8" t="s">
        <v>56</v>
      </c>
      <c r="D220" s="8" t="s">
        <v>86</v>
      </c>
      <c r="E220" s="9">
        <v>145</v>
      </c>
      <c r="F220" s="9">
        <v>126</v>
      </c>
      <c r="G220" s="10">
        <v>-4.5</v>
      </c>
      <c r="H220" s="11">
        <v>247.5</v>
      </c>
      <c r="I220" s="10">
        <v>-4.5</v>
      </c>
      <c r="J220" s="12">
        <v>1.520833333333333</v>
      </c>
      <c r="K220" s="12">
        <v>2.6</v>
      </c>
      <c r="L220" s="11">
        <v>242.5</v>
      </c>
      <c r="M220" s="12">
        <v>1.869565217391304</v>
      </c>
      <c r="N220" s="12">
        <v>1.952380952380952</v>
      </c>
      <c r="O220" s="10">
        <v>-3.5</v>
      </c>
      <c r="P220" s="12">
        <v>1.869565217391304</v>
      </c>
      <c r="Q220" s="12">
        <v>1.952380952380952</v>
      </c>
      <c r="R220" s="12">
        <v>1.588235294117647</v>
      </c>
      <c r="S220" s="12">
        <v>2.42</v>
      </c>
      <c r="T220" s="8" t="s">
        <v>93</v>
      </c>
      <c r="U220" s="8" t="s">
        <v>94</v>
      </c>
      <c r="V220" s="11">
        <v>246.5</v>
      </c>
      <c r="W220" s="12">
        <v>1.869565217391304</v>
      </c>
      <c r="X220" s="12">
        <v>1.952380952380952</v>
      </c>
      <c r="Y220" s="13">
        <f>(1/R220)/((1/R220)+(1/S220))</f>
        <v>0.6037569709421778</v>
      </c>
      <c r="Z220" s="13">
        <f>(1/J220)/((1/J220)+(1/K220))</f>
        <v>0.6309403437815976</v>
      </c>
      <c r="AA220" s="14">
        <f>1/R220+1/S220-1</f>
        <v>0.042852770125497264</v>
      </c>
      <c r="AB220" s="15">
        <f>O220-I220</f>
        <v>1.0</v>
      </c>
      <c r="AC220" s="15">
        <f>IF(G220="","",G220-O220)</f>
        <v>-1.0</v>
      </c>
      <c r="AD220" s="15">
        <f>H220-V220</f>
        <v>1.0</v>
      </c>
      <c r="AE220" s="16">
        <f>IF(F220&gt;E220,1,0)</f>
        <v>0</v>
      </c>
      <c r="AF220" s="16">
        <f>F220+E220</f>
        <v>271</v>
      </c>
      <c r="AG220" s="16">
        <f>IF(Y220=0.5,"",IF((Y220&gt;0.5)=(AE220=1),1,0))</f>
        <v>0</v>
      </c>
      <c r="AH220" s="16">
        <f>IF(Z220=0.5,"",IF((Z220&gt;0.5)=(AE220=1),1,0))</f>
        <v>0</v>
      </c>
      <c r="AI220" s="17" t="str">
        <f>IF(AF220&gt;V220,"Üst",IF(AF220&lt;V220,"Alt","Push"))</f>
        <v>Üst</v>
      </c>
    </row>
    <row r="221" spans="1:35">
      <c r="A221" s="7">
        <v>46113</v>
      </c>
      <c r="B221" s="8" t="s">
        <v>434</v>
      </c>
      <c r="C221" s="8" t="s">
        <v>52</v>
      </c>
      <c r="D221" s="8" t="s">
        <v>74</v>
      </c>
      <c r="E221" s="9">
        <v>113</v>
      </c>
      <c r="F221" s="9">
        <v>119</v>
      </c>
      <c r="G221" s="10">
        <v>-19.5</v>
      </c>
      <c r="H221" s="11">
        <v>216.5</v>
      </c>
      <c r="I221" s="10">
        <v>-17.5</v>
      </c>
      <c r="J221" s="12">
        <v>1.0625</v>
      </c>
      <c r="K221" s="12">
        <v>10</v>
      </c>
      <c r="L221" s="11">
        <v>216.5</v>
      </c>
      <c r="M221" s="12">
        <v>1.869565217391304</v>
      </c>
      <c r="N221" s="12">
        <v>1.952380952380952</v>
      </c>
      <c r="O221" s="10">
        <v>-19.5</v>
      </c>
      <c r="P221" s="12">
        <v>1.952380952380952</v>
      </c>
      <c r="Q221" s="12">
        <v>1.869565217391304</v>
      </c>
      <c r="R221" s="12">
        <v>1.041666666666667</v>
      </c>
      <c r="S221" s="12">
        <v>13</v>
      </c>
      <c r="T221" s="8" t="s">
        <v>238</v>
      </c>
      <c r="U221" s="8" t="s">
        <v>239</v>
      </c>
      <c r="V221" s="11">
        <v>216.5</v>
      </c>
      <c r="W221" s="12">
        <v>1.892857142857143</v>
      </c>
      <c r="X221" s="12">
        <v>1.925925925925926</v>
      </c>
      <c r="Y221" s="13">
        <f>(1/R221)/((1/R221)+(1/S221))</f>
        <v>0.9258160237388724</v>
      </c>
      <c r="Z221" s="13">
        <f>(1/J221)/((1/J221)+(1/K221))</f>
        <v>0.9039548022598869</v>
      </c>
      <c r="AA221" s="14">
        <f>1/R221+1/S221-1</f>
        <v>0.036923076923076836</v>
      </c>
      <c r="AB221" s="15">
        <f>O221-I221</f>
        <v>-2.0</v>
      </c>
      <c r="AC221" s="15">
        <f>IF(G221="","",G221-O221)</f>
        <v>0.0</v>
      </c>
      <c r="AD221" s="15">
        <f>H221-V221</f>
        <v>0.0</v>
      </c>
      <c r="AE221" s="16">
        <f>IF(F221&gt;E221,1,0)</f>
        <v>1</v>
      </c>
      <c r="AF221" s="16">
        <f>F221+E221</f>
        <v>232</v>
      </c>
      <c r="AG221" s="16">
        <f>IF(Y221=0.5,"",IF((Y221&gt;0.5)=(AE221=1),1,0))</f>
        <v>1</v>
      </c>
      <c r="AH221" s="16">
        <f>IF(Z221=0.5,"",IF((Z221&gt;0.5)=(AE221=1),1,0))</f>
        <v>1</v>
      </c>
      <c r="AI221" s="17" t="str">
        <f>IF(AF221&gt;V221,"Üst",IF(AF221&lt;V221,"Alt","Push"))</f>
        <v>Üst</v>
      </c>
    </row>
    <row r="222" spans="1:35">
      <c r="A222" s="7">
        <v>46113</v>
      </c>
      <c r="B222" s="8" t="s">
        <v>435</v>
      </c>
      <c r="C222" s="8" t="s">
        <v>92</v>
      </c>
      <c r="D222" s="8" t="s">
        <v>41</v>
      </c>
      <c r="E222" s="9">
        <v>130</v>
      </c>
      <c r="F222" s="9">
        <v>117</v>
      </c>
      <c r="G222" s="10">
        <v>16.5</v>
      </c>
      <c r="H222" s="11">
        <v>249.5</v>
      </c>
      <c r="I222" s="10">
        <v>17.5</v>
      </c>
      <c r="J222" s="12">
        <v>11</v>
      </c>
      <c r="K222" s="12">
        <v>1.055555555555556</v>
      </c>
      <c r="L222" s="11">
        <v>248.5</v>
      </c>
      <c r="M222" s="12">
        <v>1.869565217391304</v>
      </c>
      <c r="N222" s="12">
        <v>1.952380952380952</v>
      </c>
      <c r="O222" s="10">
        <v>17.5</v>
      </c>
      <c r="P222" s="12">
        <v>1.869565217391304</v>
      </c>
      <c r="Q222" s="12">
        <v>1.952380952380952</v>
      </c>
      <c r="R222" s="12">
        <v>11</v>
      </c>
      <c r="S222" s="12">
        <v>1.055555555555556</v>
      </c>
      <c r="T222" s="8" t="s">
        <v>363</v>
      </c>
      <c r="U222" s="8" t="s">
        <v>362</v>
      </c>
      <c r="V222" s="11">
        <v>249.5</v>
      </c>
      <c r="W222" s="12">
        <v>1.909090909090909</v>
      </c>
      <c r="X222" s="12">
        <v>1.909090909090909</v>
      </c>
      <c r="Y222" s="13">
        <f>(1/R222)/((1/R222)+(1/S222))</f>
        <v>0.08755760368663595</v>
      </c>
      <c r="Z222" s="13">
        <f>(1/J222)/((1/J222)+(1/K222))</f>
        <v>0.08755760368663595</v>
      </c>
      <c r="AA222" s="14">
        <f>1/R222+1/S222-1</f>
        <v>0.038277511961722466</v>
      </c>
      <c r="AB222" s="15">
        <f>O222-I222</f>
        <v>0.0</v>
      </c>
      <c r="AC222" s="15">
        <f>IF(G222="","",G222-O222)</f>
        <v>-1.0</v>
      </c>
      <c r="AD222" s="15">
        <f>H222-V222</f>
        <v>0.0</v>
      </c>
      <c r="AE222" s="16">
        <f>IF(F222&gt;E222,1,0)</f>
        <v>0</v>
      </c>
      <c r="AF222" s="16">
        <f>F222+E222</f>
        <v>247</v>
      </c>
      <c r="AG222" s="16">
        <f>IF(Y222=0.5,"",IF((Y222&gt;0.5)=(AE222=1),1,0))</f>
        <v>1</v>
      </c>
      <c r="AH222" s="16">
        <f>IF(Z222=0.5,"",IF((Z222&gt;0.5)=(AE222=1),1,0))</f>
        <v>1</v>
      </c>
      <c r="AI222" s="17" t="str">
        <f>IF(AF222&gt;V222,"Üst",IF(AF222&lt;V222,"Alt","Push"))</f>
        <v>Alt</v>
      </c>
    </row>
    <row r="223" spans="1:35">
      <c r="A223" s="7">
        <v>46113</v>
      </c>
      <c r="B223" s="8" t="s">
        <v>436</v>
      </c>
      <c r="C223" s="8" t="s">
        <v>82</v>
      </c>
      <c r="D223" s="8" t="s">
        <v>73</v>
      </c>
      <c r="E223" s="9">
        <v>127</v>
      </c>
      <c r="F223" s="9">
        <v>113</v>
      </c>
      <c r="G223" s="10">
        <v>14.5</v>
      </c>
      <c r="H223" s="11">
        <v>228.5</v>
      </c>
      <c r="I223" s="10">
        <v>11.5</v>
      </c>
      <c r="J223" s="12">
        <v>5.4</v>
      </c>
      <c r="K223" s="12">
        <v>1.166666666666667</v>
      </c>
      <c r="L223" s="11">
        <v>227.5</v>
      </c>
      <c r="M223" s="12">
        <v>1.909090909090909</v>
      </c>
      <c r="N223" s="12">
        <v>1.909090909090909</v>
      </c>
      <c r="O223" s="10">
        <v>14.5</v>
      </c>
      <c r="P223" s="12">
        <v>1.925925925925926</v>
      </c>
      <c r="Q223" s="12">
        <v>1.892857142857143</v>
      </c>
      <c r="R223" s="12">
        <v>8</v>
      </c>
      <c r="S223" s="12">
        <v>1.090909090909091</v>
      </c>
      <c r="T223" s="8" t="s">
        <v>173</v>
      </c>
      <c r="U223" s="8" t="s">
        <v>174</v>
      </c>
      <c r="V223" s="11">
        <v>228.5</v>
      </c>
      <c r="W223" s="12">
        <v>1.952380952380952</v>
      </c>
      <c r="X223" s="12">
        <v>1.869565217391304</v>
      </c>
      <c r="Y223" s="13">
        <f>(1/R223)/((1/R223)+(1/S223))</f>
        <v>0.12</v>
      </c>
      <c r="Z223" s="13">
        <f>(1/J223)/((1/J223)+(1/K223))</f>
        <v>0.17766497461928932</v>
      </c>
      <c r="AA223" s="14">
        <f>1/R223+1/S223-1</f>
        <v>0.04166666666666674</v>
      </c>
      <c r="AB223" s="15">
        <f>O223-I223</f>
        <v>3.0</v>
      </c>
      <c r="AC223" s="15">
        <f>IF(G223="","",G223-O223)</f>
        <v>0.0</v>
      </c>
      <c r="AD223" s="15">
        <f>H223-V223</f>
        <v>0.0</v>
      </c>
      <c r="AE223" s="16">
        <f>IF(F223&gt;E223,1,0)</f>
        <v>0</v>
      </c>
      <c r="AF223" s="16">
        <f>F223+E223</f>
        <v>240</v>
      </c>
      <c r="AG223" s="16">
        <f>IF(Y223=0.5,"",IF((Y223&gt;0.5)=(AE223=1),1,0))</f>
        <v>1</v>
      </c>
      <c r="AH223" s="16">
        <f>IF(Z223=0.5,"",IF((Z223&gt;0.5)=(AE223=1),1,0))</f>
        <v>1</v>
      </c>
      <c r="AI223" s="17" t="str">
        <f>IF(AF223&gt;V223,"Üst",IF(AF223&lt;V223,"Alt","Push"))</f>
        <v>Üst</v>
      </c>
    </row>
    <row r="224" spans="1:35">
      <c r="A224" s="7">
        <v>46114</v>
      </c>
      <c r="B224" s="8" t="s">
        <v>437</v>
      </c>
      <c r="C224" s="8" t="s">
        <v>87</v>
      </c>
      <c r="D224" s="8" t="s">
        <v>105</v>
      </c>
      <c r="E224" s="9">
        <v>107</v>
      </c>
      <c r="F224" s="9">
        <v>127</v>
      </c>
      <c r="G224" s="10">
        <v>-6.5</v>
      </c>
      <c r="H224" s="11">
        <v>227.5</v>
      </c>
      <c r="I224" s="10">
        <v>-5.5</v>
      </c>
      <c r="J224" s="12">
        <v>1.48780487804878</v>
      </c>
      <c r="K224" s="12">
        <v>2.7</v>
      </c>
      <c r="L224" s="11">
        <v>220.5</v>
      </c>
      <c r="M224" s="12">
        <v>1.909090909090909</v>
      </c>
      <c r="N224" s="12">
        <v>1.909090909090909</v>
      </c>
      <c r="O224" s="10">
        <v>-5.5</v>
      </c>
      <c r="P224" s="12">
        <v>1.892857142857143</v>
      </c>
      <c r="Q224" s="12">
        <v>1.925925925925926</v>
      </c>
      <c r="R224" s="12">
        <v>1.434782608695652</v>
      </c>
      <c r="S224" s="12">
        <v>2.9</v>
      </c>
      <c r="T224" s="8" t="s">
        <v>149</v>
      </c>
      <c r="U224" s="8" t="s">
        <v>150</v>
      </c>
      <c r="V224" s="11">
        <v>227.5</v>
      </c>
      <c r="W224" s="12">
        <v>1.909090909090909</v>
      </c>
      <c r="X224" s="12">
        <v>1.909090909090909</v>
      </c>
      <c r="Y224" s="13">
        <f>(1/R224)/((1/R224)+(1/S224))</f>
        <v>0.6690070210631895</v>
      </c>
      <c r="Z224" s="13">
        <f>(1/J224)/((1/J224)+(1/K224))</f>
        <v>0.644729178800233</v>
      </c>
      <c r="AA224" s="14">
        <f>1/R224+1/S224-1</f>
        <v>0.04179728317659359</v>
      </c>
      <c r="AB224" s="15">
        <f>O224-I224</f>
        <v>0.0</v>
      </c>
      <c r="AC224" s="15">
        <f>IF(G224="","",G224-O224)</f>
        <v>-1.0</v>
      </c>
      <c r="AD224" s="15">
        <f>H224-V224</f>
        <v>0.0</v>
      </c>
      <c r="AE224" s="16">
        <f>IF(F224&gt;E224,1,0)</f>
        <v>1</v>
      </c>
      <c r="AF224" s="16">
        <f>F224+E224</f>
        <v>234</v>
      </c>
      <c r="AG224" s="16">
        <f>IF(Y224=0.5,"",IF((Y224&gt;0.5)=(AE224=1),1,0))</f>
        <v>1</v>
      </c>
      <c r="AH224" s="16">
        <f>IF(Z224=0.5,"",IF((Z224&gt;0.5)=(AE224=1),1,0))</f>
        <v>1</v>
      </c>
      <c r="AI224" s="17" t="str">
        <f>IF(AF224&gt;V224,"Üst",IF(AF224&lt;V224,"Alt","Push"))</f>
        <v>Üst</v>
      </c>
    </row>
    <row r="225" spans="1:35">
      <c r="A225" s="7">
        <v>46114</v>
      </c>
      <c r="B225" s="8" t="s">
        <v>438</v>
      </c>
      <c r="C225" s="8" t="s">
        <v>77</v>
      </c>
      <c r="D225" s="8" t="s">
        <v>81</v>
      </c>
      <c r="E225" s="9">
        <v>108</v>
      </c>
      <c r="F225" s="9">
        <v>113</v>
      </c>
      <c r="G225" s="10">
        <v>-5.5</v>
      </c>
      <c r="H225" s="11">
        <v>220.5</v>
      </c>
      <c r="I225" s="10">
        <v>-2.5</v>
      </c>
      <c r="J225" s="12">
        <v>1.769230769230769</v>
      </c>
      <c r="K225" s="12">
        <v>2.1</v>
      </c>
      <c r="L225" s="11">
        <v>223.5</v>
      </c>
      <c r="M225" s="12">
        <v>1.909090909090909</v>
      </c>
      <c r="N225" s="12">
        <v>1.909090909090909</v>
      </c>
      <c r="O225" s="10">
        <v>-5.5</v>
      </c>
      <c r="P225" s="12">
        <v>1.909090909090909</v>
      </c>
      <c r="Q225" s="12">
        <v>1.909090909090909</v>
      </c>
      <c r="R225" s="12">
        <v>1.48780487804878</v>
      </c>
      <c r="S225" s="12">
        <v>2.7</v>
      </c>
      <c r="T225" s="8" t="s">
        <v>153</v>
      </c>
      <c r="U225" s="8" t="s">
        <v>152</v>
      </c>
      <c r="V225" s="11">
        <v>220.5</v>
      </c>
      <c r="W225" s="12">
        <v>1.892857142857143</v>
      </c>
      <c r="X225" s="12">
        <v>1.925925925925926</v>
      </c>
      <c r="Y225" s="13">
        <f>(1/R225)/((1/R225)+(1/S225))</f>
        <v>0.644729178800233</v>
      </c>
      <c r="Z225" s="13">
        <f>(1/J225)/((1/J225)+(1/K225))</f>
        <v>0.5427435387673957</v>
      </c>
      <c r="AA225" s="14">
        <f>1/R225+1/S225-1</f>
        <v>0.042501517911353925</v>
      </c>
      <c r="AB225" s="15">
        <f>O225-I225</f>
        <v>-3.0</v>
      </c>
      <c r="AC225" s="15">
        <f>IF(G225="","",G225-O225)</f>
        <v>0.0</v>
      </c>
      <c r="AD225" s="15">
        <f>H225-V225</f>
        <v>0.0</v>
      </c>
      <c r="AE225" s="16">
        <f>IF(F225&gt;E225,1,0)</f>
        <v>1</v>
      </c>
      <c r="AF225" s="16">
        <f>F225+E225</f>
        <v>221</v>
      </c>
      <c r="AG225" s="16">
        <f>IF(Y225=0.5,"",IF((Y225&gt;0.5)=(AE225=1),1,0))</f>
        <v>1</v>
      </c>
      <c r="AH225" s="16">
        <f>IF(Z225=0.5,"",IF((Z225&gt;0.5)=(AE225=1),1,0))</f>
        <v>1</v>
      </c>
      <c r="AI225" s="17" t="str">
        <f>IF(AF225&gt;V225,"Üst",IF(AF225&lt;V225,"Alt","Push"))</f>
        <v>Üst</v>
      </c>
    </row>
    <row r="226" spans="1:35">
      <c r="A226" s="7">
        <v>46114</v>
      </c>
      <c r="B226" s="8" t="s">
        <v>439</v>
      </c>
      <c r="C226" s="8" t="s">
        <v>91</v>
      </c>
      <c r="D226" s="8" t="s">
        <v>130</v>
      </c>
      <c r="E226" s="9">
        <v>96</v>
      </c>
      <c r="F226" s="9">
        <v>139</v>
      </c>
      <c r="G226" s="10">
        <v>-9.5</v>
      </c>
      <c r="H226" s="11">
        <v>232.5</v>
      </c>
      <c r="I226" s="10">
        <v>-7.5</v>
      </c>
      <c r="J226" s="12">
        <v>1.335570469798658</v>
      </c>
      <c r="K226" s="12">
        <v>3.4</v>
      </c>
      <c r="L226" s="11">
        <v>228.5</v>
      </c>
      <c r="M226" s="12">
        <v>1.909090909090909</v>
      </c>
      <c r="N226" s="12">
        <v>1.909090909090909</v>
      </c>
      <c r="O226" s="10">
        <v>-9.5</v>
      </c>
      <c r="P226" s="12">
        <v>1.925925925925926</v>
      </c>
      <c r="Q226" s="12">
        <v>1.892857142857143</v>
      </c>
      <c r="R226" s="12">
        <v>1.263157894736842</v>
      </c>
      <c r="S226" s="12">
        <v>4</v>
      </c>
      <c r="T226" s="8" t="s">
        <v>232</v>
      </c>
      <c r="U226" s="8" t="s">
        <v>233</v>
      </c>
      <c r="V226" s="11">
        <v>233.5</v>
      </c>
      <c r="W226" s="12">
        <v>1.892857142857143</v>
      </c>
      <c r="X226" s="12">
        <v>1.925925925925926</v>
      </c>
      <c r="Y226" s="13">
        <f>(1/R226)/((1/R226)+(1/S226))</f>
        <v>0.76</v>
      </c>
      <c r="Z226" s="13">
        <f>(1/J226)/((1/J226)+(1/K226))</f>
        <v>0.7179705215419501</v>
      </c>
      <c r="AA226" s="14">
        <f>1/R226+1/S226-1</f>
        <v>0.04166666666666674</v>
      </c>
      <c r="AB226" s="15">
        <f>O226-I226</f>
        <v>-2.0</v>
      </c>
      <c r="AC226" s="15">
        <f>IF(G226="","",G226-O226)</f>
        <v>0.0</v>
      </c>
      <c r="AD226" s="15">
        <f>H226-V226</f>
        <v>-1.0</v>
      </c>
      <c r="AE226" s="16">
        <f>IF(F226&gt;E226,1,0)</f>
        <v>1</v>
      </c>
      <c r="AF226" s="16">
        <f>F226+E226</f>
        <v>235</v>
      </c>
      <c r="AG226" s="16">
        <f>IF(Y226=0.5,"",IF((Y226&gt;0.5)=(AE226=1),1,0))</f>
        <v>1</v>
      </c>
      <c r="AH226" s="16">
        <f>IF(Z226=0.5,"",IF((Z226&gt;0.5)=(AE226=1),1,0))</f>
        <v>1</v>
      </c>
      <c r="AI226" s="17" t="str">
        <f>IF(AF226&gt;V226,"Üst",IF(AF226&lt;V226,"Alt","Push"))</f>
        <v>Üst</v>
      </c>
    </row>
    <row r="227" spans="1:35">
      <c r="A227" s="7">
        <v>46114</v>
      </c>
      <c r="B227" s="8" t="s">
        <v>440</v>
      </c>
      <c r="C227" s="8" t="s">
        <v>134</v>
      </c>
      <c r="D227" s="8" t="s">
        <v>73</v>
      </c>
      <c r="E227" s="9">
        <v>118</v>
      </c>
      <c r="F227" s="9">
        <v>111</v>
      </c>
      <c r="G227" s="10">
        <v>10.5</v>
      </c>
      <c r="H227" s="11">
        <v>231.5</v>
      </c>
      <c r="I227" s="10">
        <v>10.5</v>
      </c>
      <c r="J227" s="12">
        <v>4.4</v>
      </c>
      <c r="K227" s="12">
        <v>1.227272727272727</v>
      </c>
      <c r="L227" s="11">
        <v>226.5</v>
      </c>
      <c r="M227" s="12">
        <v>1.909090909090909</v>
      </c>
      <c r="N227" s="12">
        <v>1.909090909090909</v>
      </c>
      <c r="O227" s="10">
        <v>10.5</v>
      </c>
      <c r="P227" s="12">
        <v>1.892857142857143</v>
      </c>
      <c r="Q227" s="12">
        <v>1.925925925925926</v>
      </c>
      <c r="R227" s="12">
        <v>4.7</v>
      </c>
      <c r="S227" s="12">
        <v>1.206185567010309</v>
      </c>
      <c r="T227" s="8" t="s">
        <v>302</v>
      </c>
      <c r="U227" s="8" t="s">
        <v>303</v>
      </c>
      <c r="V227" s="11">
        <v>230.5</v>
      </c>
      <c r="W227" s="12">
        <v>1.952380952380952</v>
      </c>
      <c r="X227" s="12">
        <v>1.869565217391304</v>
      </c>
      <c r="Y227" s="13">
        <f>(1/R227)/((1/R227)+(1/S227))</f>
        <v>0.2042241228835748</v>
      </c>
      <c r="Z227" s="13">
        <f>(1/J227)/((1/J227)+(1/K227))</f>
        <v>0.21809369951534735</v>
      </c>
      <c r="AA227" s="14">
        <f>1/R227+1/S227-1</f>
        <v>0.0418257865066376</v>
      </c>
      <c r="AB227" s="15">
        <f>O227-I227</f>
        <v>0.0</v>
      </c>
      <c r="AC227" s="15">
        <f>IF(G227="","",G227-O227)</f>
        <v>0.0</v>
      </c>
      <c r="AD227" s="15">
        <f>H227-V227</f>
        <v>1.0</v>
      </c>
      <c r="AE227" s="16">
        <f>IF(F227&gt;E227,1,0)</f>
        <v>0</v>
      </c>
      <c r="AF227" s="16">
        <f>F227+E227</f>
        <v>229</v>
      </c>
      <c r="AG227" s="16">
        <f>IF(Y227=0.5,"",IF((Y227&gt;0.5)=(AE227=1),1,0))</f>
        <v>1</v>
      </c>
      <c r="AH227" s="16">
        <f>IF(Z227=0.5,"",IF((Z227&gt;0.5)=(AE227=1),1,0))</f>
        <v>1</v>
      </c>
      <c r="AI227" s="17" t="str">
        <f>IF(AF227&gt;V227,"Üst",IF(AF227&lt;V227,"Alt","Push"))</f>
        <v>Alt</v>
      </c>
    </row>
    <row r="228" spans="1:35">
      <c r="A228" s="7">
        <v>46114</v>
      </c>
      <c r="B228" s="8" t="s">
        <v>441</v>
      </c>
      <c r="C228" s="8" t="s">
        <v>96</v>
      </c>
      <c r="D228" s="8" t="s">
        <v>46</v>
      </c>
      <c r="E228" s="9">
        <v>106</v>
      </c>
      <c r="F228" s="9">
        <v>118</v>
      </c>
      <c r="G228" s="10">
        <v>-5.5</v>
      </c>
      <c r="H228" s="11">
        <v>234.5</v>
      </c>
      <c r="I228" s="10">
        <v>-6.5</v>
      </c>
      <c r="J228" s="12">
        <v>1.420168067226891</v>
      </c>
      <c r="K228" s="12">
        <v>2.95</v>
      </c>
      <c r="L228" s="11">
        <v>231.5</v>
      </c>
      <c r="M228" s="12">
        <v>1.909090909090909</v>
      </c>
      <c r="N228" s="12">
        <v>1.909090909090909</v>
      </c>
      <c r="O228" s="10">
        <v>-5.5</v>
      </c>
      <c r="P228" s="12">
        <v>1.847457627118644</v>
      </c>
      <c r="Q228" s="12">
        <v>1.980392156862745</v>
      </c>
      <c r="R228" s="12">
        <v>1.408163265306122</v>
      </c>
      <c r="S228" s="12">
        <v>3</v>
      </c>
      <c r="T228" s="8" t="s">
        <v>244</v>
      </c>
      <c r="U228" s="8" t="s">
        <v>245</v>
      </c>
      <c r="V228" s="11">
        <v>235.5</v>
      </c>
      <c r="W228" s="12">
        <v>1.952380952380952</v>
      </c>
      <c r="X228" s="12">
        <v>1.869565217391304</v>
      </c>
      <c r="Y228" s="13">
        <f>(1/R228)/((1/R228)+(1/S228))</f>
        <v>0.6805555555555556</v>
      </c>
      <c r="Z228" s="13">
        <f>(1/J228)/((1/J228)+(1/K228))</f>
        <v>0.6750312469954812</v>
      </c>
      <c r="AA228" s="14">
        <f>1/R228+1/S228-1</f>
        <v>0.04347826086956519</v>
      </c>
      <c r="AB228" s="15">
        <f>O228-I228</f>
        <v>1.0</v>
      </c>
      <c r="AC228" s="15">
        <f>IF(G228="","",G228-O228)</f>
        <v>0.0</v>
      </c>
      <c r="AD228" s="15">
        <f>H228-V228</f>
        <v>-1.0</v>
      </c>
      <c r="AE228" s="16">
        <f>IF(F228&gt;E228,1,0)</f>
        <v>1</v>
      </c>
      <c r="AF228" s="16">
        <f>F228+E228</f>
        <v>224</v>
      </c>
      <c r="AG228" s="16">
        <f>IF(Y228=0.5,"",IF((Y228&gt;0.5)=(AE228=1),1,0))</f>
        <v>1</v>
      </c>
      <c r="AH228" s="16">
        <f>IF(Z228=0.5,"",IF((Z228&gt;0.5)=(AE228=1),1,0))</f>
        <v>1</v>
      </c>
      <c r="AI228" s="17" t="str">
        <f>IF(AF228&gt;V228,"Üst",IF(AF228&lt;V228,"Alt","Push"))</f>
        <v>Alt</v>
      </c>
    </row>
    <row r="229" spans="1:35">
      <c r="A229" s="7">
        <v>46114</v>
      </c>
      <c r="B229" s="8" t="s">
        <v>442</v>
      </c>
      <c r="C229" s="8" t="s">
        <v>82</v>
      </c>
      <c r="D229" s="8" t="s">
        <v>57</v>
      </c>
      <c r="E229" s="9">
        <v>118</v>
      </c>
      <c r="F229" s="9">
        <v>99</v>
      </c>
      <c r="G229" s="10">
        <v>-2.5</v>
      </c>
      <c r="H229" s="11">
        <v>232.5</v>
      </c>
      <c r="I229" s="10">
        <v>4.5</v>
      </c>
      <c r="J229" s="12">
        <v>2.42</v>
      </c>
      <c r="K229" s="12">
        <v>1.588235294117647</v>
      </c>
      <c r="L229" s="11">
        <v>231.5</v>
      </c>
      <c r="M229" s="12">
        <v>1.909090909090909</v>
      </c>
      <c r="N229" s="12">
        <v>1.909090909090909</v>
      </c>
      <c r="O229" s="10">
        <v>-2.5</v>
      </c>
      <c r="P229" s="12">
        <v>1.909090909090909</v>
      </c>
      <c r="Q229" s="12">
        <v>1.909090909090909</v>
      </c>
      <c r="R229" s="12">
        <v>1.704225352112676</v>
      </c>
      <c r="S229" s="12">
        <v>2.2</v>
      </c>
      <c r="T229" s="8" t="s">
        <v>191</v>
      </c>
      <c r="U229" s="8" t="s">
        <v>190</v>
      </c>
      <c r="V229" s="11">
        <v>231.5</v>
      </c>
      <c r="W229" s="12">
        <v>1.869565217391304</v>
      </c>
      <c r="X229" s="12">
        <v>1.952380952380952</v>
      </c>
      <c r="Y229" s="13">
        <f>(1/R229)/((1/R229)+(1/S229))</f>
        <v>0.5634920634920635</v>
      </c>
      <c r="Z229" s="13">
        <f>(1/J229)/((1/J229)+(1/K229))</f>
        <v>0.3962430290578222</v>
      </c>
      <c r="AA229" s="14">
        <f>1/R229+1/S229-1</f>
        <v>0.04132231404958686</v>
      </c>
      <c r="AB229" s="15">
        <f>O229-I229</f>
        <v>-7.0</v>
      </c>
      <c r="AC229" s="15">
        <f>IF(G229="","",G229-O229)</f>
        <v>0.0</v>
      </c>
      <c r="AD229" s="15">
        <f>H229-V229</f>
        <v>1.0</v>
      </c>
      <c r="AE229" s="16">
        <f>IF(F229&gt;E229,1,0)</f>
        <v>0</v>
      </c>
      <c r="AF229" s="16">
        <f>F229+E229</f>
        <v>217</v>
      </c>
      <c r="AG229" s="16">
        <f>IF(Y229=0.5,"",IF((Y229&gt;0.5)=(AE229=1),1,0))</f>
        <v>0</v>
      </c>
      <c r="AH229" s="16">
        <f>IF(Z229=0.5,"",IF((Z229&gt;0.5)=(AE229=1),1,0))</f>
        <v>1</v>
      </c>
      <c r="AI229" s="17" t="str">
        <f>IF(AF229&gt;V229,"Üst",IF(AF229&lt;V229,"Alt","Push"))</f>
        <v>Alt</v>
      </c>
    </row>
    <row r="230" spans="1:35">
      <c r="A230" s="7">
        <v>46115</v>
      </c>
      <c r="B230" s="8" t="s">
        <v>443</v>
      </c>
      <c r="C230" s="8" t="s">
        <v>56</v>
      </c>
      <c r="D230" s="8" t="s">
        <v>105</v>
      </c>
      <c r="E230" s="9">
        <v>108</v>
      </c>
      <c r="F230" s="9">
        <v>129</v>
      </c>
      <c r="G230" s="10">
        <v>-15.5</v>
      </c>
      <c r="H230" s="11">
        <v>234.5</v>
      </c>
      <c r="I230" s="10">
        <v>-15.5</v>
      </c>
      <c r="J230" s="12">
        <v>1.074074074074074</v>
      </c>
      <c r="K230" s="12">
        <v>9</v>
      </c>
      <c r="L230" s="11">
        <v>233.5</v>
      </c>
      <c r="M230" s="12">
        <v>1.909090909090909</v>
      </c>
      <c r="N230" s="12">
        <v>1.909090909090909</v>
      </c>
      <c r="O230" s="10">
        <v>-15.5</v>
      </c>
      <c r="P230" s="12">
        <v>1.909090909090909</v>
      </c>
      <c r="Q230" s="12">
        <v>1.909090909090909</v>
      </c>
      <c r="R230" s="12">
        <v>1.0625</v>
      </c>
      <c r="S230" s="12">
        <v>10</v>
      </c>
      <c r="T230" s="8" t="s">
        <v>218</v>
      </c>
      <c r="U230" s="8" t="s">
        <v>219</v>
      </c>
      <c r="V230" s="11">
        <v>234.5</v>
      </c>
      <c r="W230" s="12">
        <v>1.925925925925926</v>
      </c>
      <c r="X230" s="12">
        <v>1.892857142857143</v>
      </c>
      <c r="Y230" s="13">
        <f>(1/R230)/((1/R230)+(1/S230))</f>
        <v>0.9039548022598869</v>
      </c>
      <c r="Z230" s="13">
        <f>(1/J230)/((1/J230)+(1/K230))</f>
        <v>0.8933823529411764</v>
      </c>
      <c r="AA230" s="14">
        <f>1/R230+1/S230-1</f>
        <v>0.04117647058823537</v>
      </c>
      <c r="AB230" s="15">
        <f>O230-I230</f>
        <v>0.0</v>
      </c>
      <c r="AC230" s="15">
        <f>IF(G230="","",G230-O230)</f>
        <v>0.0</v>
      </c>
      <c r="AD230" s="15">
        <f>H230-V230</f>
        <v>0.0</v>
      </c>
      <c r="AE230" s="16">
        <f>IF(F230&gt;E230,1,0)</f>
        <v>1</v>
      </c>
      <c r="AF230" s="16">
        <f>F230+E230</f>
        <v>237</v>
      </c>
      <c r="AG230" s="16">
        <f>IF(Y230=0.5,"",IF((Y230&gt;0.5)=(AE230=1),1,0))</f>
        <v>1</v>
      </c>
      <c r="AH230" s="16">
        <f>IF(Z230=0.5,"",IF((Z230&gt;0.5)=(AE230=1),1,0))</f>
        <v>1</v>
      </c>
      <c r="AI230" s="17" t="str">
        <f>IF(AF230&gt;V230,"Üst",IF(AF230&lt;V230,"Alt","Push"))</f>
        <v>Üst</v>
      </c>
    </row>
    <row r="231" spans="1:35">
      <c r="A231" s="7">
        <v>46115</v>
      </c>
      <c r="B231" s="8" t="s">
        <v>444</v>
      </c>
      <c r="C231" s="8" t="s">
        <v>77</v>
      </c>
      <c r="D231" s="8" t="s">
        <v>42</v>
      </c>
      <c r="E231" s="9">
        <v>103</v>
      </c>
      <c r="F231" s="9">
        <v>115</v>
      </c>
      <c r="G231" s="10">
        <v>-3.5</v>
      </c>
      <c r="H231" s="11">
        <v>233.5</v>
      </c>
      <c r="I231" s="10">
        <v>-2.5</v>
      </c>
      <c r="J231" s="12">
        <v>1.740740740740741</v>
      </c>
      <c r="K231" s="12">
        <v>2.14</v>
      </c>
      <c r="L231" s="11">
        <v>233.5</v>
      </c>
      <c r="M231" s="12">
        <v>1.909090909090909</v>
      </c>
      <c r="N231" s="12">
        <v>1.909090909090909</v>
      </c>
      <c r="O231" s="10">
        <v>-3.5</v>
      </c>
      <c r="P231" s="12">
        <v>1.869565217391304</v>
      </c>
      <c r="Q231" s="12">
        <v>1.952380952380952</v>
      </c>
      <c r="R231" s="12">
        <v>1.588235294117647</v>
      </c>
      <c r="S231" s="12">
        <v>2.42</v>
      </c>
      <c r="T231" s="8" t="s">
        <v>93</v>
      </c>
      <c r="U231" s="8" t="s">
        <v>94</v>
      </c>
      <c r="V231" s="11">
        <v>233.5</v>
      </c>
      <c r="W231" s="12">
        <v>1.869565217391304</v>
      </c>
      <c r="X231" s="12">
        <v>1.952380952380952</v>
      </c>
      <c r="Y231" s="13">
        <f>(1/R231)/((1/R231)+(1/S231))</f>
        <v>0.6037569709421778</v>
      </c>
      <c r="Z231" s="13">
        <f>(1/J231)/((1/J231)+(1/K231))</f>
        <v>0.551441114716549</v>
      </c>
      <c r="AA231" s="14">
        <f>1/R231+1/S231-1</f>
        <v>0.042852770125497264</v>
      </c>
      <c r="AB231" s="15">
        <f>O231-I231</f>
        <v>-1.0</v>
      </c>
      <c r="AC231" s="15">
        <f>IF(G231="","",G231-O231)</f>
        <v>0.0</v>
      </c>
      <c r="AD231" s="15">
        <f>H231-V231</f>
        <v>0.0</v>
      </c>
      <c r="AE231" s="16">
        <f>IF(F231&gt;E231,1,0)</f>
        <v>1</v>
      </c>
      <c r="AF231" s="16">
        <f>F231+E231</f>
        <v>218</v>
      </c>
      <c r="AG231" s="16">
        <f>IF(Y231=0.5,"",IF((Y231&gt;0.5)=(AE231=1),1,0))</f>
        <v>1</v>
      </c>
      <c r="AH231" s="16">
        <f>IF(Z231=0.5,"",IF((Z231&gt;0.5)=(AE231=1),1,0))</f>
        <v>1</v>
      </c>
      <c r="AI231" s="17" t="str">
        <f>IF(AF231&gt;V231,"Üst",IF(AF231&lt;V231,"Alt","Push"))</f>
        <v>Alt</v>
      </c>
    </row>
    <row r="232" spans="1:35">
      <c r="A232" s="7">
        <v>46115</v>
      </c>
      <c r="B232" s="8" t="s">
        <v>445</v>
      </c>
      <c r="C232" s="8" t="s">
        <v>51</v>
      </c>
      <c r="D232" s="8" t="s">
        <v>68</v>
      </c>
      <c r="E232" s="9">
        <v>141</v>
      </c>
      <c r="F232" s="9">
        <v>107</v>
      </c>
      <c r="G232" s="10">
        <v>16.5</v>
      </c>
      <c r="H232" s="11">
        <v>226.5</v>
      </c>
      <c r="I232" s="10">
        <v>15.5</v>
      </c>
      <c r="J232" s="12">
        <v>9</v>
      </c>
      <c r="K232" s="12">
        <v>1.074074074074074</v>
      </c>
      <c r="L232" s="11">
        <v>225.5</v>
      </c>
      <c r="M232" s="12">
        <v>1.909090909090909</v>
      </c>
      <c r="N232" s="12">
        <v>1.909090909090909</v>
      </c>
      <c r="O232" s="10">
        <v>16.5</v>
      </c>
      <c r="P232" s="12">
        <v>1.952380952380952</v>
      </c>
      <c r="Q232" s="12">
        <v>1.869565217391304</v>
      </c>
      <c r="R232" s="12">
        <v>11</v>
      </c>
      <c r="S232" s="12">
        <v>1.055555555555556</v>
      </c>
      <c r="T232" s="8" t="s">
        <v>363</v>
      </c>
      <c r="U232" s="8" t="s">
        <v>362</v>
      </c>
      <c r="V232" s="11">
        <v>225.5</v>
      </c>
      <c r="W232" s="12">
        <v>1.952380952380952</v>
      </c>
      <c r="X232" s="12">
        <v>1.869565217391304</v>
      </c>
      <c r="Y232" s="13">
        <f>(1/R232)/((1/R232)+(1/S232))</f>
        <v>0.08755760368663595</v>
      </c>
      <c r="Z232" s="13">
        <f>(1/J232)/((1/J232)+(1/K232))</f>
        <v>0.10661764705882351</v>
      </c>
      <c r="AA232" s="14">
        <f>1/R232+1/S232-1</f>
        <v>0.038277511961722466</v>
      </c>
      <c r="AB232" s="15">
        <f>O232-I232</f>
        <v>1.0</v>
      </c>
      <c r="AC232" s="15">
        <f>IF(G232="","",G232-O232)</f>
        <v>0.0</v>
      </c>
      <c r="AD232" s="15">
        <f>H232-V232</f>
        <v>1.0</v>
      </c>
      <c r="AE232" s="16">
        <f>IF(F232&gt;E232,1,0)</f>
        <v>0</v>
      </c>
      <c r="AF232" s="16">
        <f>F232+E232</f>
        <v>248</v>
      </c>
      <c r="AG232" s="16">
        <f>IF(Y232=0.5,"",IF((Y232&gt;0.5)=(AE232=1),1,0))</f>
        <v>1</v>
      </c>
      <c r="AH232" s="16">
        <f>IF(Z232=0.5,"",IF((Z232&gt;0.5)=(AE232=1),1,0))</f>
        <v>1</v>
      </c>
      <c r="AI232" s="17" t="str">
        <f>IF(AF232&gt;V232,"Üst",IF(AF232&lt;V232,"Alt","Push"))</f>
        <v>Üst</v>
      </c>
    </row>
    <row r="233" spans="1:35">
      <c r="A233" s="7">
        <v>46115</v>
      </c>
      <c r="B233" s="8" t="s">
        <v>446</v>
      </c>
      <c r="C233" s="8" t="s">
        <v>86</v>
      </c>
      <c r="D233" s="8" t="s">
        <v>110</v>
      </c>
      <c r="E233" s="9">
        <v>96</v>
      </c>
      <c r="F233" s="9">
        <v>136</v>
      </c>
      <c r="G233" s="10">
        <v>-13.5</v>
      </c>
      <c r="H233" s="11">
        <v>236.5</v>
      </c>
      <c r="I233" s="10">
        <v>-15.5</v>
      </c>
      <c r="J233" s="12">
        <v>1.074074074074074</v>
      </c>
      <c r="K233" s="12">
        <v>9</v>
      </c>
      <c r="L233" s="11">
        <v>237.5</v>
      </c>
      <c r="M233" s="12">
        <v>1.909090909090909</v>
      </c>
      <c r="N233" s="12">
        <v>1.909090909090909</v>
      </c>
      <c r="O233" s="10">
        <v>-13.5</v>
      </c>
      <c r="P233" s="12">
        <v>1.925925925925926</v>
      </c>
      <c r="Q233" s="12">
        <v>1.892857142857143</v>
      </c>
      <c r="R233" s="12">
        <v>1.083333333333333</v>
      </c>
      <c r="S233" s="12">
        <v>8.5</v>
      </c>
      <c r="T233" s="8" t="s">
        <v>102</v>
      </c>
      <c r="U233" s="8" t="s">
        <v>103</v>
      </c>
      <c r="V233" s="11">
        <v>236.5</v>
      </c>
      <c r="W233" s="12">
        <v>1.909090909090909</v>
      </c>
      <c r="X233" s="12">
        <v>1.909090909090909</v>
      </c>
      <c r="Y233" s="13">
        <f>(1/R233)/((1/R233)+(1/S233))</f>
        <v>0.8869565217391304</v>
      </c>
      <c r="Z233" s="13">
        <f>(1/J233)/((1/J233)+(1/K233))</f>
        <v>0.8933823529411764</v>
      </c>
      <c r="AA233" s="14">
        <f>1/R233+1/S233-1</f>
        <v>0.040723981900452566</v>
      </c>
      <c r="AB233" s="15">
        <f>O233-I233</f>
        <v>2.0</v>
      </c>
      <c r="AC233" s="15">
        <f>IF(G233="","",G233-O233)</f>
        <v>0.0</v>
      </c>
      <c r="AD233" s="15">
        <f>H233-V233</f>
        <v>0.0</v>
      </c>
      <c r="AE233" s="16">
        <f>IF(F233&gt;E233,1,0)</f>
        <v>1</v>
      </c>
      <c r="AF233" s="16">
        <f>F233+E233</f>
        <v>232</v>
      </c>
      <c r="AG233" s="16">
        <f>IF(Y233=0.5,"",IF((Y233&gt;0.5)=(AE233=1),1,0))</f>
        <v>1</v>
      </c>
      <c r="AH233" s="16">
        <f>IF(Z233=0.5,"",IF((Z233&gt;0.5)=(AE233=1),1,0))</f>
        <v>1</v>
      </c>
      <c r="AI233" s="17" t="str">
        <f>IF(AF233&gt;V233,"Üst",IF(AF233&lt;V233,"Alt","Push"))</f>
        <v>Alt</v>
      </c>
    </row>
    <row r="234" spans="1:35">
      <c r="A234" s="7">
        <v>46115</v>
      </c>
      <c r="B234" s="8" t="s">
        <v>447</v>
      </c>
      <c r="C234" s="8" t="s">
        <v>41</v>
      </c>
      <c r="D234" s="8" t="s">
        <v>74</v>
      </c>
      <c r="E234" s="9">
        <v>106</v>
      </c>
      <c r="F234" s="9">
        <v>140</v>
      </c>
      <c r="G234" s="10">
        <v>-18.5</v>
      </c>
      <c r="H234" s="11">
        <v>231.5</v>
      </c>
      <c r="I234" s="10">
        <v>-17.5</v>
      </c>
      <c r="J234" s="12">
        <v>1.0625</v>
      </c>
      <c r="K234" s="12">
        <v>10</v>
      </c>
      <c r="L234" s="11">
        <v>231.5</v>
      </c>
      <c r="M234" s="12">
        <v>1.925925925925926</v>
      </c>
      <c r="N234" s="12">
        <v>1.892857142857143</v>
      </c>
      <c r="O234" s="10">
        <v>-18.5</v>
      </c>
      <c r="P234" s="12">
        <v>1.892857142857143</v>
      </c>
      <c r="Q234" s="12">
        <v>1.925925925925926</v>
      </c>
      <c r="R234" s="12">
        <v>1.047619047619048</v>
      </c>
      <c r="S234" s="12">
        <v>12</v>
      </c>
      <c r="T234" s="8" t="s">
        <v>279</v>
      </c>
      <c r="U234" s="8" t="s">
        <v>278</v>
      </c>
      <c r="V234" s="11">
        <v>231.5</v>
      </c>
      <c r="W234" s="12">
        <v>1.869565217391304</v>
      </c>
      <c r="X234" s="12">
        <v>1.952380952380952</v>
      </c>
      <c r="Y234" s="13">
        <f>(1/R234)/((1/R234)+(1/S234))</f>
        <v>0.9197080291970803</v>
      </c>
      <c r="Z234" s="13">
        <f>(1/J234)/((1/J234)+(1/K234))</f>
        <v>0.9039548022598869</v>
      </c>
      <c r="AA234" s="14">
        <f>1/R234+1/S234-1</f>
        <v>0.037878787878787845</v>
      </c>
      <c r="AB234" s="15">
        <f>O234-I234</f>
        <v>-1.0</v>
      </c>
      <c r="AC234" s="15">
        <f>IF(G234="","",G234-O234)</f>
        <v>0.0</v>
      </c>
      <c r="AD234" s="15">
        <f>H234-V234</f>
        <v>0.0</v>
      </c>
      <c r="AE234" s="16">
        <f>IF(F234&gt;E234,1,0)</f>
        <v>1</v>
      </c>
      <c r="AF234" s="16">
        <f>F234+E234</f>
        <v>246</v>
      </c>
      <c r="AG234" s="16">
        <f>IF(Y234=0.5,"",IF((Y234&gt;0.5)=(AE234=1),1,0))</f>
        <v>1</v>
      </c>
      <c r="AH234" s="16">
        <f>IF(Z234=0.5,"",IF((Z234&gt;0.5)=(AE234=1),1,0))</f>
        <v>1</v>
      </c>
      <c r="AI234" s="17" t="str">
        <f>IF(AF234&gt;V234,"Üst",IF(AF234&lt;V234,"Alt","Push"))</f>
        <v>Üst</v>
      </c>
    </row>
    <row r="235" spans="1:35">
      <c r="A235" s="7">
        <v>46115</v>
      </c>
      <c r="B235" s="8" t="s">
        <v>448</v>
      </c>
      <c r="C235" s="8" t="s">
        <v>76</v>
      </c>
      <c r="D235" s="8" t="s">
        <v>47</v>
      </c>
      <c r="E235" s="9">
        <v>128</v>
      </c>
      <c r="F235" s="9">
        <v>96</v>
      </c>
      <c r="G235" s="10">
        <v>15.5</v>
      </c>
      <c r="H235" s="11">
        <v>234.5</v>
      </c>
      <c r="I235" s="10">
        <v>13.5</v>
      </c>
      <c r="J235" s="12">
        <v>6.5</v>
      </c>
      <c r="K235" s="12">
        <v>1.125</v>
      </c>
      <c r="L235" s="11">
        <v>231.5</v>
      </c>
      <c r="M235" s="12">
        <v>1.909090909090909</v>
      </c>
      <c r="N235" s="12">
        <v>1.909090909090909</v>
      </c>
      <c r="O235" s="10">
        <v>14.5</v>
      </c>
      <c r="P235" s="12">
        <v>1.952380952380952</v>
      </c>
      <c r="Q235" s="12">
        <v>1.869565217391304</v>
      </c>
      <c r="R235" s="12">
        <v>8</v>
      </c>
      <c r="S235" s="12">
        <v>1.090909090909091</v>
      </c>
      <c r="T235" s="8" t="s">
        <v>173</v>
      </c>
      <c r="U235" s="8" t="s">
        <v>174</v>
      </c>
      <c r="V235" s="11">
        <v>233.5</v>
      </c>
      <c r="W235" s="12">
        <v>1.909090909090909</v>
      </c>
      <c r="X235" s="12">
        <v>1.909090909090909</v>
      </c>
      <c r="Y235" s="13">
        <f>(1/R235)/((1/R235)+(1/S235))</f>
        <v>0.12</v>
      </c>
      <c r="Z235" s="13">
        <f>(1/J235)/((1/J235)+(1/K235))</f>
        <v>0.1475409836065574</v>
      </c>
      <c r="AA235" s="14">
        <f>1/R235+1/S235-1</f>
        <v>0.04166666666666674</v>
      </c>
      <c r="AB235" s="15">
        <f>O235-I235</f>
        <v>1.0</v>
      </c>
      <c r="AC235" s="15">
        <f>IF(G235="","",G235-O235)</f>
        <v>1.0</v>
      </c>
      <c r="AD235" s="15">
        <f>H235-V235</f>
        <v>1.0</v>
      </c>
      <c r="AE235" s="16">
        <f>IF(F235&gt;E235,1,0)</f>
        <v>0</v>
      </c>
      <c r="AF235" s="16">
        <f>F235+E235</f>
        <v>224</v>
      </c>
      <c r="AG235" s="16">
        <f>IF(Y235=0.5,"",IF((Y235&gt;0.5)=(AE235=1),1,0))</f>
        <v>1</v>
      </c>
      <c r="AH235" s="16">
        <f>IF(Z235=0.5,"",IF((Z235&gt;0.5)=(AE235=1),1,0))</f>
        <v>1</v>
      </c>
      <c r="AI235" s="17" t="str">
        <f>IF(AF235&gt;V235,"Üst",IF(AF235&lt;V235,"Alt","Push"))</f>
        <v>Alt</v>
      </c>
    </row>
    <row r="236" spans="1:35">
      <c r="A236" s="7">
        <v>46115</v>
      </c>
      <c r="B236" s="8" t="s">
        <v>449</v>
      </c>
      <c r="C236" s="8" t="s">
        <v>101</v>
      </c>
      <c r="D236" s="8" t="s">
        <v>52</v>
      </c>
      <c r="E236" s="9">
        <v>133</v>
      </c>
      <c r="F236" s="9">
        <v>101</v>
      </c>
      <c r="G236" s="10">
        <v>17.5</v>
      </c>
      <c r="H236" s="11">
        <v>218.5</v>
      </c>
      <c r="I236" s="10">
        <v>17.5</v>
      </c>
      <c r="J236" s="12">
        <v>11</v>
      </c>
      <c r="K236" s="12">
        <v>1.055555555555556</v>
      </c>
      <c r="L236" s="11">
        <v>218.5</v>
      </c>
      <c r="M236" s="12">
        <v>1.909090909090909</v>
      </c>
      <c r="N236" s="12">
        <v>1.909090909090909</v>
      </c>
      <c r="O236" s="10">
        <v>17.5</v>
      </c>
      <c r="P236" s="12">
        <v>1.952380952380952</v>
      </c>
      <c r="Q236" s="12">
        <v>1.869565217391304</v>
      </c>
      <c r="R236" s="12">
        <v>13</v>
      </c>
      <c r="S236" s="12">
        <v>1.041666666666667</v>
      </c>
      <c r="T236" s="8" t="s">
        <v>239</v>
      </c>
      <c r="U236" s="8" t="s">
        <v>238</v>
      </c>
      <c r="V236" s="11">
        <v>217.5</v>
      </c>
      <c r="W236" s="12">
        <v>1.909090909090909</v>
      </c>
      <c r="X236" s="12">
        <v>1.909090909090909</v>
      </c>
      <c r="Y236" s="13">
        <f>(1/R236)/((1/R236)+(1/S236))</f>
        <v>0.0741839762611276</v>
      </c>
      <c r="Z236" s="13">
        <f>(1/J236)/((1/J236)+(1/K236))</f>
        <v>0.08755760368663595</v>
      </c>
      <c r="AA236" s="14">
        <f>1/R236+1/S236-1</f>
        <v>0.036923076923076836</v>
      </c>
      <c r="AB236" s="15">
        <f>O236-I236</f>
        <v>0.0</v>
      </c>
      <c r="AC236" s="15">
        <f>IF(G236="","",G236-O236)</f>
        <v>0.0</v>
      </c>
      <c r="AD236" s="15">
        <f>H236-V236</f>
        <v>1.0</v>
      </c>
      <c r="AE236" s="16">
        <f>IF(F236&gt;E236,1,0)</f>
        <v>0</v>
      </c>
      <c r="AF236" s="16">
        <f>F236+E236</f>
        <v>234</v>
      </c>
      <c r="AG236" s="16">
        <f>IF(Y236=0.5,"",IF((Y236&gt;0.5)=(AE236=1),1,0))</f>
        <v>1</v>
      </c>
      <c r="AH236" s="16">
        <f>IF(Z236=0.5,"",IF((Z236&gt;0.5)=(AE236=1),1,0))</f>
        <v>1</v>
      </c>
      <c r="AI236" s="17" t="str">
        <f>IF(AF236&gt;V236,"Üst",IF(AF236&lt;V236,"Alt","Push"))</f>
        <v>Üst</v>
      </c>
    </row>
    <row r="237" spans="1:35">
      <c r="A237" s="7">
        <v>46115</v>
      </c>
      <c r="B237" s="8" t="s">
        <v>450</v>
      </c>
      <c r="C237" s="8" t="s">
        <v>62</v>
      </c>
      <c r="D237" s="8" t="s">
        <v>61</v>
      </c>
      <c r="E237" s="9">
        <v>138</v>
      </c>
      <c r="F237" s="9">
        <v>127</v>
      </c>
      <c r="G237" s="10">
        <v>6.5</v>
      </c>
      <c r="H237" s="11">
        <v>238.5</v>
      </c>
      <c r="I237" s="10">
        <v>7.5</v>
      </c>
      <c r="J237" s="12">
        <v>3.4</v>
      </c>
      <c r="K237" s="12">
        <v>1.335570469798658</v>
      </c>
      <c r="L237" s="11">
        <v>234.5</v>
      </c>
      <c r="M237" s="12">
        <v>1.909090909090909</v>
      </c>
      <c r="N237" s="12">
        <v>1.909090909090909</v>
      </c>
      <c r="O237" s="10">
        <v>6.5</v>
      </c>
      <c r="P237" s="12">
        <v>1.925925925925926</v>
      </c>
      <c r="Q237" s="12">
        <v>1.892857142857143</v>
      </c>
      <c r="R237" s="12">
        <v>3.2</v>
      </c>
      <c r="S237" s="12">
        <v>1.37037037037037</v>
      </c>
      <c r="T237" s="8" t="s">
        <v>321</v>
      </c>
      <c r="U237" s="8" t="s">
        <v>320</v>
      </c>
      <c r="V237" s="11">
        <v>239.5</v>
      </c>
      <c r="W237" s="12">
        <v>1.909090909090909</v>
      </c>
      <c r="X237" s="12">
        <v>1.909090909090909</v>
      </c>
      <c r="Y237" s="13">
        <f>(1/R237)/((1/R237)+(1/S237))</f>
        <v>0.299837925445705</v>
      </c>
      <c r="Z237" s="13">
        <f>(1/J237)/((1/J237)+(1/K237))</f>
        <v>0.2820294784580499</v>
      </c>
      <c r="AA237" s="14">
        <f>1/R237+1/S237-1</f>
        <v>0.042229729729729826</v>
      </c>
      <c r="AB237" s="15">
        <f>O237-I237</f>
        <v>-1.0</v>
      </c>
      <c r="AC237" s="15">
        <f>IF(G237="","",G237-O237)</f>
        <v>0.0</v>
      </c>
      <c r="AD237" s="15">
        <f>H237-V237</f>
        <v>-1.0</v>
      </c>
      <c r="AE237" s="16">
        <f>IF(F237&gt;E237,1,0)</f>
        <v>0</v>
      </c>
      <c r="AF237" s="16">
        <f>F237+E237</f>
        <v>265</v>
      </c>
      <c r="AG237" s="16">
        <f>IF(Y237=0.5,"",IF((Y237&gt;0.5)=(AE237=1),1,0))</f>
        <v>1</v>
      </c>
      <c r="AH237" s="16">
        <f>IF(Z237=0.5,"",IF((Z237&gt;0.5)=(AE237=1),1,0))</f>
        <v>1</v>
      </c>
      <c r="AI237" s="17" t="str">
        <f>IF(AF237&gt;V237,"Üst",IF(AF237&lt;V237,"Alt","Push"))</f>
        <v>Üst</v>
      </c>
    </row>
    <row r="238" spans="1:35">
      <c r="A238" s="7">
        <v>46115</v>
      </c>
      <c r="B238" s="8" t="s">
        <v>451</v>
      </c>
      <c r="C238" s="8" t="s">
        <v>96</v>
      </c>
      <c r="D238" s="8" t="s">
        <v>97</v>
      </c>
      <c r="E238" s="9">
        <v>113</v>
      </c>
      <c r="F238" s="9">
        <v>117</v>
      </c>
      <c r="G238" s="10">
        <v>6.5</v>
      </c>
      <c r="H238" s="11">
        <v>232.5</v>
      </c>
      <c r="I238" s="10">
        <v>5.5</v>
      </c>
      <c r="J238" s="12">
        <v>2.8</v>
      </c>
      <c r="K238" s="12">
        <v>1.458715596330275</v>
      </c>
      <c r="L238" s="11">
        <v>234.5</v>
      </c>
      <c r="M238" s="12">
        <v>1.909090909090909</v>
      </c>
      <c r="N238" s="12">
        <v>1.909090909090909</v>
      </c>
      <c r="O238" s="10">
        <v>6.5</v>
      </c>
      <c r="P238" s="12">
        <v>1.952380952380952</v>
      </c>
      <c r="Q238" s="12">
        <v>1.869565217391304</v>
      </c>
      <c r="R238" s="12">
        <v>3</v>
      </c>
      <c r="S238" s="12">
        <v>1.408163265306122</v>
      </c>
      <c r="T238" s="8" t="s">
        <v>245</v>
      </c>
      <c r="U238" s="8" t="s">
        <v>244</v>
      </c>
      <c r="V238" s="11">
        <v>232.5</v>
      </c>
      <c r="W238" s="12">
        <v>1.909090909090909</v>
      </c>
      <c r="X238" s="12">
        <v>1.909090909090909</v>
      </c>
      <c r="Y238" s="13">
        <f>(1/R238)/((1/R238)+(1/S238))</f>
        <v>0.3194444444444444</v>
      </c>
      <c r="Z238" s="13">
        <f>(1/J238)/((1/J238)+(1/K238))</f>
        <v>0.3425247738043946</v>
      </c>
      <c r="AA238" s="14">
        <f>1/R238+1/S238-1</f>
        <v>0.04347826086956519</v>
      </c>
      <c r="AB238" s="15">
        <f>O238-I238</f>
        <v>1.0</v>
      </c>
      <c r="AC238" s="15">
        <f>IF(G238="","",G238-O238)</f>
        <v>0.0</v>
      </c>
      <c r="AD238" s="15">
        <f>H238-V238</f>
        <v>0.0</v>
      </c>
      <c r="AE238" s="16">
        <f>IF(F238&gt;E238,1,0)</f>
        <v>1</v>
      </c>
      <c r="AF238" s="16">
        <f>F238+E238</f>
        <v>230</v>
      </c>
      <c r="AG238" s="16">
        <f>IF(Y238=0.5,"",IF((Y238&gt;0.5)=(AE238=1),1,0))</f>
        <v>0</v>
      </c>
      <c r="AH238" s="16">
        <f>IF(Z238=0.5,"",IF((Z238&gt;0.5)=(AE238=1),1,0))</f>
        <v>0</v>
      </c>
      <c r="AI238" s="17" t="str">
        <f>IF(AF238&gt;V238,"Üst",IF(AF238&lt;V238,"Alt","Push"))</f>
        <v>Alt</v>
      </c>
    </row>
    <row r="239" spans="1:35">
      <c r="A239" s="7">
        <v>46116</v>
      </c>
      <c r="B239" s="8" t="s">
        <v>452</v>
      </c>
      <c r="C239" s="8" t="s">
        <v>64</v>
      </c>
      <c r="D239" s="8" t="s">
        <v>69</v>
      </c>
      <c r="E239" s="9">
        <v>136</v>
      </c>
      <c r="F239" s="9">
        <v>152</v>
      </c>
      <c r="G239" s="10">
        <v>-18.5</v>
      </c>
      <c r="H239" s="11">
        <v>246.5</v>
      </c>
      <c r="I239" s="10">
        <v>-17.5</v>
      </c>
      <c r="J239" s="12">
        <v>1.055555555555556</v>
      </c>
      <c r="K239" s="12">
        <v>11</v>
      </c>
      <c r="L239" s="11">
        <v>247.5</v>
      </c>
      <c r="M239" s="12">
        <v>1.869565217391304</v>
      </c>
      <c r="N239" s="12">
        <v>1.952380952380952</v>
      </c>
      <c r="O239" s="10">
        <v>-18.5</v>
      </c>
      <c r="P239" s="12">
        <v>1.925925925925926</v>
      </c>
      <c r="Q239" s="12">
        <v>1.892857142857143</v>
      </c>
      <c r="R239" s="12">
        <v>1.041666666666667</v>
      </c>
      <c r="S239" s="12">
        <v>13</v>
      </c>
      <c r="T239" s="8" t="s">
        <v>238</v>
      </c>
      <c r="U239" s="8" t="s">
        <v>239</v>
      </c>
      <c r="V239" s="11">
        <v>245.5</v>
      </c>
      <c r="W239" s="12">
        <v>1.869565217391304</v>
      </c>
      <c r="X239" s="12">
        <v>1.952380952380952</v>
      </c>
      <c r="Y239" s="13">
        <f>(1/R239)/((1/R239)+(1/S239))</f>
        <v>0.9258160237388724</v>
      </c>
      <c r="Z239" s="13">
        <f>(1/J239)/((1/J239)+(1/K239))</f>
        <v>0.912442396313364</v>
      </c>
      <c r="AA239" s="14">
        <f>1/R239+1/S239-1</f>
        <v>0.036923076923076836</v>
      </c>
      <c r="AB239" s="15">
        <f>O239-I239</f>
        <v>-1.0</v>
      </c>
      <c r="AC239" s="15">
        <f>IF(G239="","",G239-O239)</f>
        <v>0.0</v>
      </c>
      <c r="AD239" s="15">
        <f>H239-V239</f>
        <v>1.0</v>
      </c>
      <c r="AE239" s="16">
        <f>IF(F239&gt;E239,1,0)</f>
        <v>1</v>
      </c>
      <c r="AF239" s="16">
        <f>F239+E239</f>
        <v>288</v>
      </c>
      <c r="AG239" s="16">
        <f>IF(Y239=0.5,"",IF((Y239&gt;0.5)=(AE239=1),1,0))</f>
        <v>1</v>
      </c>
      <c r="AH239" s="16">
        <f>IF(Z239=0.5,"",IF((Z239&gt;0.5)=(AE239=1),1,0))</f>
        <v>1</v>
      </c>
      <c r="AI239" s="17" t="str">
        <f>IF(AF239&gt;V239,"Üst",IF(AF239&lt;V239,"Alt","Push"))</f>
        <v>Üst</v>
      </c>
    </row>
    <row r="240" spans="1:35">
      <c r="A240" s="7">
        <v>46116</v>
      </c>
      <c r="B240" s="8" t="s">
        <v>453</v>
      </c>
      <c r="C240" s="8" t="s">
        <v>82</v>
      </c>
      <c r="D240" s="8" t="s">
        <v>92</v>
      </c>
      <c r="E240" s="9">
        <v>134</v>
      </c>
      <c r="F240" s="9">
        <v>136</v>
      </c>
      <c r="G240" s="10">
        <v>1.5</v>
      </c>
      <c r="H240" s="11">
        <v>243.5</v>
      </c>
      <c r="I240" s="10">
        <v>2.5</v>
      </c>
      <c r="J240" s="12">
        <v>2.1</v>
      </c>
      <c r="K240" s="12">
        <v>1.769230769230769</v>
      </c>
      <c r="L240" s="11">
        <v>243.5</v>
      </c>
      <c r="M240" s="12">
        <v>1.909090909090909</v>
      </c>
      <c r="N240" s="12">
        <v>1.909090909090909</v>
      </c>
      <c r="O240" s="10">
        <v>1.5</v>
      </c>
      <c r="P240" s="12">
        <v>1.925925925925926</v>
      </c>
      <c r="Q240" s="12">
        <v>1.892857142857143</v>
      </c>
      <c r="R240" s="12">
        <v>2.05</v>
      </c>
      <c r="S240" s="12">
        <v>1.8</v>
      </c>
      <c r="T240" s="8" t="s">
        <v>349</v>
      </c>
      <c r="U240" s="8" t="s">
        <v>350</v>
      </c>
      <c r="V240" s="11">
        <v>244.5</v>
      </c>
      <c r="W240" s="12">
        <v>1.952380952380952</v>
      </c>
      <c r="X240" s="12">
        <v>1.869565217391304</v>
      </c>
      <c r="Y240" s="13">
        <f>(1/R240)/((1/R240)+(1/S240))</f>
        <v>0.4675324675324676</v>
      </c>
      <c r="Z240" s="13">
        <f>(1/J240)/((1/J240)+(1/K240))</f>
        <v>0.4572564612326044</v>
      </c>
      <c r="AA240" s="14">
        <f>1/R240+1/S240-1</f>
        <v>0.04336043360433606</v>
      </c>
      <c r="AB240" s="15">
        <f>O240-I240</f>
        <v>-1.0</v>
      </c>
      <c r="AC240" s="15">
        <f>IF(G240="","",G240-O240)</f>
        <v>0.0</v>
      </c>
      <c r="AD240" s="15">
        <f>H240-V240</f>
        <v>-1.0</v>
      </c>
      <c r="AE240" s="16">
        <f>IF(F240&gt;E240,1,0)</f>
        <v>1</v>
      </c>
      <c r="AF240" s="16">
        <f>F240+E240</f>
        <v>270</v>
      </c>
      <c r="AG240" s="16">
        <f>IF(Y240=0.5,"",IF((Y240&gt;0.5)=(AE240=1),1,0))</f>
        <v>0</v>
      </c>
      <c r="AH240" s="16">
        <f>IF(Z240=0.5,"",IF((Z240&gt;0.5)=(AE240=1),1,0))</f>
        <v>0</v>
      </c>
      <c r="AI240" s="17" t="str">
        <f>IF(AF240&gt;V240,"Üst",IF(AF240&lt;V240,"Alt","Push"))</f>
        <v>Üst</v>
      </c>
    </row>
    <row r="241" spans="1:35">
      <c r="A241" s="7">
        <v>46116</v>
      </c>
      <c r="B241" s="8" t="s">
        <v>454</v>
      </c>
      <c r="C241" s="8" t="s">
        <v>81</v>
      </c>
      <c r="D241" s="8" t="s">
        <v>42</v>
      </c>
      <c r="E241" s="9">
        <v>116</v>
      </c>
      <c r="F241" s="9">
        <v>93</v>
      </c>
      <c r="G241" s="10">
        <v>3.5</v>
      </c>
      <c r="H241" s="11">
        <v>226.5</v>
      </c>
      <c r="I241" s="10">
        <v>-1.5</v>
      </c>
      <c r="J241" s="12">
        <v>1.847457627118644</v>
      </c>
      <c r="K241" s="12">
        <v>1.980392156862745</v>
      </c>
      <c r="L241" s="11">
        <v>226.5</v>
      </c>
      <c r="M241" s="12">
        <v>1.909090909090909</v>
      </c>
      <c r="N241" s="12">
        <v>1.909090909090909</v>
      </c>
      <c r="O241" s="10">
        <v>3.5</v>
      </c>
      <c r="P241" s="12">
        <v>1.925925925925926</v>
      </c>
      <c r="Q241" s="12">
        <v>1.892857142857143</v>
      </c>
      <c r="R241" s="12">
        <v>2.42</v>
      </c>
      <c r="S241" s="12">
        <v>1.588235294117647</v>
      </c>
      <c r="T241" s="8" t="s">
        <v>94</v>
      </c>
      <c r="U241" s="8" t="s">
        <v>93</v>
      </c>
      <c r="V241" s="11">
        <v>225.5</v>
      </c>
      <c r="W241" s="12">
        <v>1.869565217391304</v>
      </c>
      <c r="X241" s="12">
        <v>1.952380952380952</v>
      </c>
      <c r="Y241" s="13">
        <f>(1/R241)/((1/R241)+(1/S241))</f>
        <v>0.3962430290578222</v>
      </c>
      <c r="Z241" s="13">
        <f>(1/J241)/((1/J241)+(1/K241))</f>
        <v>0.5173641257162701</v>
      </c>
      <c r="AA241" s="14">
        <f>1/R241+1/S241-1</f>
        <v>0.042852770125497264</v>
      </c>
      <c r="AB241" s="15">
        <f>O241-I241</f>
        <v>5.0</v>
      </c>
      <c r="AC241" s="15">
        <f>IF(G241="","",G241-O241)</f>
        <v>0.0</v>
      </c>
      <c r="AD241" s="15">
        <f>H241-V241</f>
        <v>1.0</v>
      </c>
      <c r="AE241" s="16">
        <f>IF(F241&gt;E241,1,0)</f>
        <v>0</v>
      </c>
      <c r="AF241" s="16">
        <f>F241+E241</f>
        <v>209</v>
      </c>
      <c r="AG241" s="16">
        <f>IF(Y241=0.5,"",IF((Y241&gt;0.5)=(AE241=1),1,0))</f>
        <v>1</v>
      </c>
      <c r="AH241" s="16">
        <f>IF(Z241=0.5,"",IF((Z241&gt;0.5)=(AE241=1),1,0))</f>
        <v>0</v>
      </c>
      <c r="AI241" s="17" t="str">
        <f>IF(AF241&gt;V241,"Üst",IF(AF241&lt;V241,"Alt","Push"))</f>
        <v>Alt</v>
      </c>
    </row>
    <row r="242" spans="1:35">
      <c r="A242" s="7">
        <v>46117</v>
      </c>
      <c r="B242" s="8" t="s">
        <v>455</v>
      </c>
      <c r="C242" s="8" t="s">
        <v>76</v>
      </c>
      <c r="D242" s="8" t="s">
        <v>101</v>
      </c>
      <c r="E242" s="9">
        <v>101</v>
      </c>
      <c r="F242" s="9">
        <v>115</v>
      </c>
      <c r="G242" s="10">
        <v>-9.5</v>
      </c>
      <c r="H242" s="11">
        <v>220.5</v>
      </c>
      <c r="I242" s="10">
        <v>-9.5</v>
      </c>
      <c r="J242" s="12">
        <v>1.253164556962025</v>
      </c>
      <c r="K242" s="12">
        <v>4.1</v>
      </c>
      <c r="L242" s="11">
        <v>220.5</v>
      </c>
      <c r="M242" s="12">
        <v>1.909090909090909</v>
      </c>
      <c r="N242" s="12">
        <v>1.909090909090909</v>
      </c>
      <c r="O242" s="10">
        <v>-9.5</v>
      </c>
      <c r="P242" s="12">
        <v>1.980392156862745</v>
      </c>
      <c r="Q242" s="12">
        <v>1.847457627118644</v>
      </c>
      <c r="R242" s="12">
        <v>1.235294117647059</v>
      </c>
      <c r="S242" s="12">
        <v>4.3</v>
      </c>
      <c r="T242" s="8" t="s">
        <v>177</v>
      </c>
      <c r="U242" s="8" t="s">
        <v>178</v>
      </c>
      <c r="V242" s="11">
        <v>221.5</v>
      </c>
      <c r="W242" s="12">
        <v>1.909090909090909</v>
      </c>
      <c r="X242" s="12">
        <v>1.909090909090909</v>
      </c>
      <c r="Y242" s="13">
        <f>(1/R242)/((1/R242)+(1/S242))</f>
        <v>0.7768331562167907</v>
      </c>
      <c r="Z242" s="13">
        <f>(1/J242)/((1/J242)+(1/K242))</f>
        <v>0.7659021045164341</v>
      </c>
      <c r="AA242" s="14">
        <f>1/R242+1/S242-1</f>
        <v>0.042081949058693224</v>
      </c>
      <c r="AB242" s="15">
        <f>O242-I242</f>
        <v>0.0</v>
      </c>
      <c r="AC242" s="15">
        <f>IF(G242="","",G242-O242)</f>
        <v>0.0</v>
      </c>
      <c r="AD242" s="15">
        <f>H242-V242</f>
        <v>-1.0</v>
      </c>
      <c r="AE242" s="16">
        <f>IF(F242&gt;E242,1,0)</f>
        <v>1</v>
      </c>
      <c r="AF242" s="16">
        <f>F242+E242</f>
        <v>216</v>
      </c>
      <c r="AG242" s="16">
        <f>IF(Y242=0.5,"",IF((Y242&gt;0.5)=(AE242=1),1,0))</f>
        <v>1</v>
      </c>
      <c r="AH242" s="16">
        <f>IF(Z242=0.5,"",IF((Z242&gt;0.5)=(AE242=1),1,0))</f>
        <v>1</v>
      </c>
      <c r="AI242" s="17" t="str">
        <f>IF(AF242&gt;V242,"Üst",IF(AF242&lt;V242,"Alt","Push"))</f>
        <v>Alt</v>
      </c>
    </row>
    <row r="243" spans="1:35">
      <c r="A243" s="7">
        <v>46117</v>
      </c>
      <c r="B243" s="8" t="s">
        <v>456</v>
      </c>
      <c r="C243" s="8" t="s">
        <v>64</v>
      </c>
      <c r="D243" s="8" t="s">
        <v>68</v>
      </c>
      <c r="E243" s="9">
        <v>115</v>
      </c>
      <c r="F243" s="9">
        <v>121</v>
      </c>
      <c r="G243" s="10">
        <v>-3.5</v>
      </c>
      <c r="H243" s="11">
        <v>230.5</v>
      </c>
      <c r="I243" s="10">
        <v>-4.5</v>
      </c>
      <c r="J243" s="12">
        <v>1.540540540540541</v>
      </c>
      <c r="K243" s="12">
        <v>2.54</v>
      </c>
      <c r="L243" s="11">
        <v>230.5</v>
      </c>
      <c r="M243" s="12">
        <v>1.909090909090909</v>
      </c>
      <c r="N243" s="12">
        <v>1.909090909090909</v>
      </c>
      <c r="O243" s="10">
        <v>-3.5</v>
      </c>
      <c r="P243" s="12">
        <v>1.925925925925926</v>
      </c>
      <c r="Q243" s="12">
        <v>1.892857142857143</v>
      </c>
      <c r="R243" s="12">
        <v>1.617283950617284</v>
      </c>
      <c r="S243" s="12">
        <v>2.36</v>
      </c>
      <c r="T243" s="8" t="s">
        <v>182</v>
      </c>
      <c r="U243" s="8" t="s">
        <v>183</v>
      </c>
      <c r="V243" s="11">
        <v>230.5</v>
      </c>
      <c r="W243" s="12">
        <v>1.892857142857143</v>
      </c>
      <c r="X243" s="12">
        <v>1.925925925925926</v>
      </c>
      <c r="Y243" s="13">
        <f>(1/R243)/((1/R243)+(1/S243))</f>
        <v>0.593369754159424</v>
      </c>
      <c r="Z243" s="13">
        <f>(1/J243)/((1/J243)+(1/K243))</f>
        <v>0.6224665518611737</v>
      </c>
      <c r="AA243" s="14">
        <f>1/R243+1/S243-1</f>
        <v>0.042049424246344724</v>
      </c>
      <c r="AB243" s="15">
        <f>O243-I243</f>
        <v>1.0</v>
      </c>
      <c r="AC243" s="15">
        <f>IF(G243="","",G243-O243)</f>
        <v>0.0</v>
      </c>
      <c r="AD243" s="15">
        <f>H243-V243</f>
        <v>0.0</v>
      </c>
      <c r="AE243" s="16">
        <f>IF(F243&gt;E243,1,0)</f>
        <v>1</v>
      </c>
      <c r="AF243" s="16">
        <f>F243+E243</f>
        <v>236</v>
      </c>
      <c r="AG243" s="16">
        <f>IF(Y243=0.5,"",IF((Y243&gt;0.5)=(AE243=1),1,0))</f>
        <v>1</v>
      </c>
      <c r="AH243" s="16">
        <f>IF(Z243=0.5,"",IF((Z243&gt;0.5)=(AE243=1),1,0))</f>
        <v>1</v>
      </c>
      <c r="AI243" s="17" t="str">
        <f>IF(AF243&gt;V243,"Üst",IF(AF243&lt;V243,"Alt","Push"))</f>
        <v>Üst</v>
      </c>
    </row>
    <row r="244" spans="1:35">
      <c r="A244" s="7">
        <v>46117</v>
      </c>
      <c r="B244" s="8" t="s">
        <v>457</v>
      </c>
      <c r="C244" s="8" t="s">
        <v>87</v>
      </c>
      <c r="D244" s="8" t="s">
        <v>86</v>
      </c>
      <c r="E244" s="9">
        <v>120</v>
      </c>
      <c r="F244" s="9">
        <v>110</v>
      </c>
      <c r="G244" s="10">
        <v>11.5</v>
      </c>
      <c r="H244" s="11">
        <v>243.5</v>
      </c>
      <c r="I244" s="10">
        <v>10.5</v>
      </c>
      <c r="J244" s="12">
        <v>4.6</v>
      </c>
      <c r="K244" s="12">
        <v>1.212765957446809</v>
      </c>
      <c r="L244" s="11">
        <v>234.5</v>
      </c>
      <c r="M244" s="12">
        <v>1.909090909090909</v>
      </c>
      <c r="N244" s="12">
        <v>1.909090909090909</v>
      </c>
      <c r="O244" s="10">
        <v>11.5</v>
      </c>
      <c r="P244" s="12">
        <v>1.892857142857143</v>
      </c>
      <c r="Q244" s="12">
        <v>1.925925925925926</v>
      </c>
      <c r="R244" s="12">
        <v>5.55</v>
      </c>
      <c r="S244" s="12">
        <v>1.16</v>
      </c>
      <c r="T244" s="8" t="s">
        <v>132</v>
      </c>
      <c r="U244" s="8" t="s">
        <v>131</v>
      </c>
      <c r="V244" s="11">
        <v>243.5</v>
      </c>
      <c r="W244" s="12">
        <v>1.925925925925926</v>
      </c>
      <c r="X244" s="12">
        <v>1.892857142857143</v>
      </c>
      <c r="Y244" s="13">
        <f>(1/R244)/((1/R244)+(1/S244))</f>
        <v>0.17287630402384502</v>
      </c>
      <c r="Z244" s="13">
        <f>(1/J244)/((1/J244)+(1/K244))</f>
        <v>0.20863836017569548</v>
      </c>
      <c r="AA244" s="14">
        <f>1/R244+1/S244-1</f>
        <v>0.042249145697421664</v>
      </c>
      <c r="AB244" s="15">
        <f>O244-I244</f>
        <v>1.0</v>
      </c>
      <c r="AC244" s="15">
        <f>IF(G244="","",G244-O244)</f>
        <v>0.0</v>
      </c>
      <c r="AD244" s="15">
        <f>H244-V244</f>
        <v>0.0</v>
      </c>
      <c r="AE244" s="16">
        <f>IF(F244&gt;E244,1,0)</f>
        <v>0</v>
      </c>
      <c r="AF244" s="16">
        <f>F244+E244</f>
        <v>230</v>
      </c>
      <c r="AG244" s="16">
        <f>IF(Y244=0.5,"",IF((Y244&gt;0.5)=(AE244=1),1,0))</f>
        <v>1</v>
      </c>
      <c r="AH244" s="16">
        <f>IF(Z244=0.5,"",IF((Z244&gt;0.5)=(AE244=1),1,0))</f>
        <v>1</v>
      </c>
      <c r="AI244" s="17" t="str">
        <f>IF(AF244&gt;V244,"Üst",IF(AF244&lt;V244,"Alt","Push"))</f>
        <v>Alt</v>
      </c>
    </row>
    <row r="245" spans="1:35">
      <c r="A245" s="7">
        <v>46117</v>
      </c>
      <c r="B245" s="8" t="s">
        <v>458</v>
      </c>
      <c r="C245" s="8" t="s">
        <v>47</v>
      </c>
      <c r="D245" s="8" t="s">
        <v>52</v>
      </c>
      <c r="E245" s="9">
        <v>115</v>
      </c>
      <c r="F245" s="9">
        <v>131</v>
      </c>
      <c r="G245" s="10">
        <v>-7.5</v>
      </c>
      <c r="H245" s="11">
        <v>229.5</v>
      </c>
      <c r="I245" s="10">
        <v>-5.5</v>
      </c>
      <c r="J245" s="12">
        <v>1.444444444444444</v>
      </c>
      <c r="K245" s="12">
        <v>2.85</v>
      </c>
      <c r="L245" s="11">
        <v>226.5</v>
      </c>
      <c r="M245" s="12">
        <v>1.909090909090909</v>
      </c>
      <c r="N245" s="12">
        <v>1.909090909090909</v>
      </c>
      <c r="O245" s="10">
        <v>-7.5</v>
      </c>
      <c r="P245" s="12">
        <v>1.925925925925926</v>
      </c>
      <c r="Q245" s="12">
        <v>1.892857142857143</v>
      </c>
      <c r="R245" s="12">
        <v>1.359712230215827</v>
      </c>
      <c r="S245" s="12">
        <v>3.25</v>
      </c>
      <c r="T245" s="8" t="s">
        <v>115</v>
      </c>
      <c r="U245" s="8" t="s">
        <v>116</v>
      </c>
      <c r="V245" s="11">
        <v>230.5</v>
      </c>
      <c r="W245" s="12">
        <v>1.925925925925926</v>
      </c>
      <c r="X245" s="12">
        <v>1.892857142857143</v>
      </c>
      <c r="Y245" s="13">
        <f>(1/R245)/((1/R245)+(1/S245))</f>
        <v>0.705033164260632</v>
      </c>
      <c r="Z245" s="13">
        <f>(1/J245)/((1/J245)+(1/K245))</f>
        <v>0.6636481241914618</v>
      </c>
      <c r="AA245" s="14">
        <f>1/R245+1/S245-1</f>
        <v>0.043142043142043285</v>
      </c>
      <c r="AB245" s="15">
        <f>O245-I245</f>
        <v>-2.0</v>
      </c>
      <c r="AC245" s="15">
        <f>IF(G245="","",G245-O245)</f>
        <v>0.0</v>
      </c>
      <c r="AD245" s="15">
        <f>H245-V245</f>
        <v>-1.0</v>
      </c>
      <c r="AE245" s="16">
        <f>IF(F245&gt;E245,1,0)</f>
        <v>1</v>
      </c>
      <c r="AF245" s="16">
        <f>F245+E245</f>
        <v>246</v>
      </c>
      <c r="AG245" s="16">
        <f>IF(Y245=0.5,"",IF((Y245&gt;0.5)=(AE245=1),1,0))</f>
        <v>1</v>
      </c>
      <c r="AH245" s="16">
        <f>IF(Z245=0.5,"",IF((Z245&gt;0.5)=(AE245=1),1,0))</f>
        <v>1</v>
      </c>
      <c r="AI245" s="17" t="str">
        <f>IF(AF245&gt;V245,"Üst",IF(AF245&lt;V245,"Alt","Push"))</f>
        <v>Üst</v>
      </c>
    </row>
    <row r="246" spans="1:35">
      <c r="A246" s="7">
        <v>46117</v>
      </c>
      <c r="B246" s="8" t="s">
        <v>459</v>
      </c>
      <c r="C246" s="8" t="s">
        <v>56</v>
      </c>
      <c r="D246" s="8" t="s">
        <v>134</v>
      </c>
      <c r="E246" s="9">
        <v>108</v>
      </c>
      <c r="F246" s="9">
        <v>117</v>
      </c>
      <c r="G246" s="10">
        <v>-16.5</v>
      </c>
      <c r="H246" s="11">
        <v>240.5</v>
      </c>
      <c r="I246" s="10">
        <v>-17.5</v>
      </c>
      <c r="J246" s="12">
        <v>1.0625</v>
      </c>
      <c r="K246" s="12">
        <v>10</v>
      </c>
      <c r="L246" s="11">
        <v>237.5</v>
      </c>
      <c r="M246" s="12">
        <v>1.909090909090909</v>
      </c>
      <c r="N246" s="12">
        <v>1.909090909090909</v>
      </c>
      <c r="O246" s="10">
        <v>-16.5</v>
      </c>
      <c r="P246" s="12">
        <v>1.892857142857143</v>
      </c>
      <c r="Q246" s="12">
        <v>1.925925925925926</v>
      </c>
      <c r="R246" s="12">
        <v>1.055555555555556</v>
      </c>
      <c r="S246" s="12">
        <v>11</v>
      </c>
      <c r="T246" s="8" t="s">
        <v>362</v>
      </c>
      <c r="U246" s="8" t="s">
        <v>363</v>
      </c>
      <c r="V246" s="11">
        <v>240.5</v>
      </c>
      <c r="W246" s="12">
        <v>1.952380952380952</v>
      </c>
      <c r="X246" s="12">
        <v>1.869565217391304</v>
      </c>
      <c r="Y246" s="13">
        <f>(1/R246)/((1/R246)+(1/S246))</f>
        <v>0.912442396313364</v>
      </c>
      <c r="Z246" s="13">
        <f>(1/J246)/((1/J246)+(1/K246))</f>
        <v>0.9039548022598869</v>
      </c>
      <c r="AA246" s="14">
        <f>1/R246+1/S246-1</f>
        <v>0.038277511961722466</v>
      </c>
      <c r="AB246" s="15">
        <f>O246-I246</f>
        <v>1.0</v>
      </c>
      <c r="AC246" s="15">
        <f>IF(G246="","",G246-O246)</f>
        <v>0.0</v>
      </c>
      <c r="AD246" s="15">
        <f>H246-V246</f>
        <v>0.0</v>
      </c>
      <c r="AE246" s="16">
        <f>IF(F246&gt;E246,1,0)</f>
        <v>1</v>
      </c>
      <c r="AF246" s="16">
        <f>F246+E246</f>
        <v>225</v>
      </c>
      <c r="AG246" s="16">
        <f>IF(Y246=0.5,"",IF((Y246&gt;0.5)=(AE246=1),1,0))</f>
        <v>1</v>
      </c>
      <c r="AH246" s="16">
        <f>IF(Z246=0.5,"",IF((Z246&gt;0.5)=(AE246=1),1,0))</f>
        <v>1</v>
      </c>
      <c r="AI246" s="17" t="str">
        <f>IF(AF246&gt;V246,"Üst",IF(AF246&lt;V246,"Alt","Push"))</f>
        <v>Alt</v>
      </c>
    </row>
    <row r="247" spans="1:35">
      <c r="A247" s="7">
        <v>46117</v>
      </c>
      <c r="B247" s="8" t="s">
        <v>460</v>
      </c>
      <c r="C247" s="8" t="s">
        <v>105</v>
      </c>
      <c r="D247" s="8" t="s">
        <v>77</v>
      </c>
      <c r="E247" s="9">
        <v>122</v>
      </c>
      <c r="F247" s="9">
        <v>108</v>
      </c>
      <c r="G247" s="10">
        <v>4.5</v>
      </c>
      <c r="H247" s="11">
        <v>226.5</v>
      </c>
      <c r="I247" s="10">
        <v>-1.5</v>
      </c>
      <c r="J247" s="12">
        <v>1.869565217391304</v>
      </c>
      <c r="K247" s="12">
        <v>1.952380952380952</v>
      </c>
      <c r="L247" s="11">
        <v>229.5</v>
      </c>
      <c r="M247" s="12">
        <v>1.909090909090909</v>
      </c>
      <c r="N247" s="12">
        <v>1.909090909090909</v>
      </c>
      <c r="O247" s="10">
        <v>4.5</v>
      </c>
      <c r="P247" s="12">
        <v>1.952380952380952</v>
      </c>
      <c r="Q247" s="12">
        <v>1.869565217391304</v>
      </c>
      <c r="R247" s="12">
        <v>2.54</v>
      </c>
      <c r="S247" s="12">
        <v>1.540540540540541</v>
      </c>
      <c r="T247" s="8" t="s">
        <v>242</v>
      </c>
      <c r="U247" s="8" t="s">
        <v>241</v>
      </c>
      <c r="V247" s="11">
        <v>226.5</v>
      </c>
      <c r="W247" s="12">
        <v>1.952380952380952</v>
      </c>
      <c r="X247" s="12">
        <v>1.869565217391304</v>
      </c>
      <c r="Y247" s="13">
        <f>(1/R247)/((1/R247)+(1/S247))</f>
        <v>0.37753344813882633</v>
      </c>
      <c r="Z247" s="13">
        <f>(1/J247)/((1/J247)+(1/K247))</f>
        <v>0.5108342361863489</v>
      </c>
      <c r="AA247" s="14">
        <f>1/R247+1/S247-1</f>
        <v>0.04282359441911865</v>
      </c>
      <c r="AB247" s="15">
        <f>O247-I247</f>
        <v>6.0</v>
      </c>
      <c r="AC247" s="15">
        <f>IF(G247="","",G247-O247)</f>
        <v>0.0</v>
      </c>
      <c r="AD247" s="15">
        <f>H247-V247</f>
        <v>0.0</v>
      </c>
      <c r="AE247" s="16">
        <f>IF(F247&gt;E247,1,0)</f>
        <v>0</v>
      </c>
      <c r="AF247" s="16">
        <f>F247+E247</f>
        <v>230</v>
      </c>
      <c r="AG247" s="16">
        <f>IF(Y247=0.5,"",IF((Y247&gt;0.5)=(AE247=1),1,0))</f>
        <v>1</v>
      </c>
      <c r="AH247" s="16">
        <f>IF(Z247=0.5,"",IF((Z247&gt;0.5)=(AE247=1),1,0))</f>
        <v>0</v>
      </c>
      <c r="AI247" s="17" t="str">
        <f>IF(AF247&gt;V247,"Üst",IF(AF247&lt;V247,"Alt","Push"))</f>
        <v>Üst</v>
      </c>
    </row>
    <row r="248" spans="1:35">
      <c r="A248" s="7">
        <v>46117</v>
      </c>
      <c r="B248" s="8" t="s">
        <v>461</v>
      </c>
      <c r="C248" s="8" t="s">
        <v>62</v>
      </c>
      <c r="D248" s="8" t="s">
        <v>96</v>
      </c>
      <c r="E248" s="9">
        <v>112</v>
      </c>
      <c r="F248" s="9">
        <v>108</v>
      </c>
      <c r="G248" s="10">
        <v>6.5</v>
      </c>
      <c r="H248" s="11">
        <v>236.5</v>
      </c>
      <c r="I248" s="10">
        <v>3.5</v>
      </c>
      <c r="J248" s="12">
        <v>2.36</v>
      </c>
      <c r="K248" s="12">
        <v>1.617283950617284</v>
      </c>
      <c r="L248" s="11">
        <v>234.5</v>
      </c>
      <c r="M248" s="12">
        <v>1.909090909090909</v>
      </c>
      <c r="N248" s="12">
        <v>1.909090909090909</v>
      </c>
      <c r="O248" s="10">
        <v>6.5</v>
      </c>
      <c r="P248" s="12">
        <v>1.909090909090909</v>
      </c>
      <c r="Q248" s="12">
        <v>1.909090909090909</v>
      </c>
      <c r="R248" s="12">
        <v>3.05</v>
      </c>
      <c r="S248" s="12">
        <v>1.4</v>
      </c>
      <c r="T248" s="8" t="s">
        <v>309</v>
      </c>
      <c r="U248" s="8" t="s">
        <v>310</v>
      </c>
      <c r="V248" s="11">
        <v>236.5</v>
      </c>
      <c r="W248" s="12">
        <v>1.952380952380952</v>
      </c>
      <c r="X248" s="12">
        <v>1.869565217391304</v>
      </c>
      <c r="Y248" s="13">
        <f>(1/R248)/((1/R248)+(1/S248))</f>
        <v>0.3146067415730337</v>
      </c>
      <c r="Z248" s="13">
        <f>(1/J248)/((1/J248)+(1/K248))</f>
        <v>0.4066302458405761</v>
      </c>
      <c r="AA248" s="14">
        <f>1/R248+1/S248-1</f>
        <v>0.042154566744730726</v>
      </c>
      <c r="AB248" s="15">
        <f>O248-I248</f>
        <v>3.0</v>
      </c>
      <c r="AC248" s="15">
        <f>IF(G248="","",G248-O248)</f>
        <v>0.0</v>
      </c>
      <c r="AD248" s="15">
        <f>H248-V248</f>
        <v>0.0</v>
      </c>
      <c r="AE248" s="16">
        <f>IF(F248&gt;E248,1,0)</f>
        <v>0</v>
      </c>
      <c r="AF248" s="16">
        <f>F248+E248</f>
        <v>220</v>
      </c>
      <c r="AG248" s="16">
        <f>IF(Y248=0.5,"",IF((Y248&gt;0.5)=(AE248=1),1,0))</f>
        <v>1</v>
      </c>
      <c r="AH248" s="16">
        <f>IF(Z248=0.5,"",IF((Z248&gt;0.5)=(AE248=1),1,0))</f>
        <v>1</v>
      </c>
      <c r="AI248" s="17" t="str">
        <f>IF(AF248&gt;V248,"Üst",IF(AF248&lt;V248,"Alt","Push"))</f>
        <v>Alt</v>
      </c>
    </row>
    <row r="249" spans="1:35">
      <c r="A249" s="7">
        <v>46117</v>
      </c>
      <c r="B249" s="8" t="s">
        <v>462</v>
      </c>
      <c r="C249" s="8" t="s">
        <v>41</v>
      </c>
      <c r="D249" s="8" t="s">
        <v>130</v>
      </c>
      <c r="E249" s="9">
        <v>111</v>
      </c>
      <c r="F249" s="9">
        <v>146</v>
      </c>
      <c r="G249" s="10">
        <v>-25.5</v>
      </c>
      <c r="H249" s="11">
        <v>240.5</v>
      </c>
      <c r="I249" s="10">
        <v>-21.5</v>
      </c>
      <c r="J249" s="12">
        <v>1.022222222222222</v>
      </c>
      <c r="K249" s="12">
        <v>18</v>
      </c>
      <c r="L249" s="11">
        <v>239.5</v>
      </c>
      <c r="M249" s="12">
        <v>1.909090909090909</v>
      </c>
      <c r="N249" s="12">
        <v>1.909090909090909</v>
      </c>
      <c r="O249" s="10">
        <v>-24.5</v>
      </c>
      <c r="P249" s="12">
        <v>1.869565217391304</v>
      </c>
      <c r="Q249" s="12">
        <v>1.952380952380952</v>
      </c>
      <c r="R249" s="12">
        <v>1.011111111111111</v>
      </c>
      <c r="S249" s="12">
        <v>26</v>
      </c>
      <c r="T249" s="8" t="s">
        <v>463</v>
      </c>
      <c r="U249" s="8" t="s">
        <v>464</v>
      </c>
      <c r="V249" s="11">
        <v>239.5</v>
      </c>
      <c r="W249" s="12">
        <v>1.909090909090909</v>
      </c>
      <c r="X249" s="12">
        <v>1.909090909090909</v>
      </c>
      <c r="Y249" s="13">
        <f>(1/R249)/((1/R249)+(1/S249))</f>
        <v>0.9625668449197861</v>
      </c>
      <c r="Z249" s="13">
        <f>(1/J249)/((1/J249)+(1/K249))</f>
        <v>0.9462616822429907</v>
      </c>
      <c r="AA249" s="14">
        <f>1/R249+1/S249-1</f>
        <v>0.027472527472527597</v>
      </c>
      <c r="AB249" s="15">
        <f>O249-I249</f>
        <v>-3.0</v>
      </c>
      <c r="AC249" s="15">
        <f>IF(G249="","",G249-O249)</f>
        <v>-1.0</v>
      </c>
      <c r="AD249" s="15">
        <f>H249-V249</f>
        <v>1.0</v>
      </c>
      <c r="AE249" s="16">
        <f>IF(F249&gt;E249,1,0)</f>
        <v>1</v>
      </c>
      <c r="AF249" s="16">
        <f>F249+E249</f>
        <v>257</v>
      </c>
      <c r="AG249" s="16">
        <f>IF(Y249=0.5,"",IF((Y249&gt;0.5)=(AE249=1),1,0))</f>
        <v>1</v>
      </c>
      <c r="AH249" s="16">
        <f>IF(Z249=0.5,"",IF((Z249&gt;0.5)=(AE249=1),1,0))</f>
        <v>1</v>
      </c>
      <c r="AI249" s="17" t="str">
        <f>IF(AF249&gt;V249,"Üst",IF(AF249&lt;V249,"Alt","Push"))</f>
        <v>Üst</v>
      </c>
    </row>
    <row r="250" spans="1:35">
      <c r="A250" s="7">
        <v>46117</v>
      </c>
      <c r="B250" s="8" t="s">
        <v>465</v>
      </c>
      <c r="C250" s="8" t="s">
        <v>91</v>
      </c>
      <c r="D250" s="8" t="s">
        <v>61</v>
      </c>
      <c r="E250" s="9">
        <v>128</v>
      </c>
      <c r="F250" s="9">
        <v>134</v>
      </c>
      <c r="G250" s="10">
        <v>1.5</v>
      </c>
      <c r="H250" s="11">
        <v>234.5</v>
      </c>
      <c r="I250" s="10">
        <v>6.5</v>
      </c>
      <c r="J250" s="12">
        <v>3.05</v>
      </c>
      <c r="K250" s="12">
        <v>1.4</v>
      </c>
      <c r="L250" s="11">
        <v>235.5</v>
      </c>
      <c r="M250" s="12">
        <v>1.909090909090909</v>
      </c>
      <c r="N250" s="12">
        <v>1.909090909090909</v>
      </c>
      <c r="O250" s="10">
        <v>1.5</v>
      </c>
      <c r="P250" s="12">
        <v>1.980392156862745</v>
      </c>
      <c r="Q250" s="12">
        <v>1.847457627118644</v>
      </c>
      <c r="R250" s="12">
        <v>2.05</v>
      </c>
      <c r="S250" s="12">
        <v>1.8</v>
      </c>
      <c r="T250" s="8" t="s">
        <v>349</v>
      </c>
      <c r="U250" s="8" t="s">
        <v>350</v>
      </c>
      <c r="V250" s="11">
        <v>234.5</v>
      </c>
      <c r="W250" s="12">
        <v>1.909090909090909</v>
      </c>
      <c r="X250" s="12">
        <v>1.909090909090909</v>
      </c>
      <c r="Y250" s="13">
        <f>(1/R250)/((1/R250)+(1/S250))</f>
        <v>0.4675324675324676</v>
      </c>
      <c r="Z250" s="13">
        <f>(1/J250)/((1/J250)+(1/K250))</f>
        <v>0.3146067415730337</v>
      </c>
      <c r="AA250" s="14">
        <f>1/R250+1/S250-1</f>
        <v>0.04336043360433606</v>
      </c>
      <c r="AB250" s="15">
        <f>O250-I250</f>
        <v>-5.0</v>
      </c>
      <c r="AC250" s="15">
        <f>IF(G250="","",G250-O250)</f>
        <v>0.0</v>
      </c>
      <c r="AD250" s="15">
        <f>H250-V250</f>
        <v>0.0</v>
      </c>
      <c r="AE250" s="16">
        <f>IF(F250&gt;E250,1,0)</f>
        <v>1</v>
      </c>
      <c r="AF250" s="16">
        <f>F250+E250</f>
        <v>262</v>
      </c>
      <c r="AG250" s="16">
        <f>IF(Y250=0.5,"",IF((Y250&gt;0.5)=(AE250=1),1,0))</f>
        <v>0</v>
      </c>
      <c r="AH250" s="16">
        <f>IF(Z250=0.5,"",IF((Z250&gt;0.5)=(AE250=1),1,0))</f>
        <v>0</v>
      </c>
      <c r="AI250" s="17" t="str">
        <f>IF(AF250&gt;V250,"Üst",IF(AF250&lt;V250,"Alt","Push"))</f>
        <v>Üst</v>
      </c>
    </row>
    <row r="251" spans="1:35">
      <c r="A251" s="7">
        <v>46117</v>
      </c>
      <c r="B251" s="8" t="s">
        <v>466</v>
      </c>
      <c r="C251" s="8" t="s">
        <v>57</v>
      </c>
      <c r="D251" s="8" t="s">
        <v>97</v>
      </c>
      <c r="E251" s="9">
        <v>138</v>
      </c>
      <c r="F251" s="9">
        <v>109</v>
      </c>
      <c r="G251" s="10">
        <v>13.5</v>
      </c>
      <c r="H251" s="11">
        <v>228.5</v>
      </c>
      <c r="I251" s="10">
        <v>11.5</v>
      </c>
      <c r="J251" s="12">
        <v>5.55</v>
      </c>
      <c r="K251" s="12">
        <v>1.16</v>
      </c>
      <c r="L251" s="11">
        <v>231.5</v>
      </c>
      <c r="M251" s="12">
        <v>1.909090909090909</v>
      </c>
      <c r="N251" s="12">
        <v>1.909090909090909</v>
      </c>
      <c r="O251" s="10">
        <v>13.5</v>
      </c>
      <c r="P251" s="12">
        <v>1.892857142857143</v>
      </c>
      <c r="Q251" s="12">
        <v>1.925925925925926</v>
      </c>
      <c r="R251" s="12">
        <v>7</v>
      </c>
      <c r="S251" s="12">
        <v>1.111111111111111</v>
      </c>
      <c r="T251" s="8" t="s">
        <v>347</v>
      </c>
      <c r="U251" s="8" t="s">
        <v>346</v>
      </c>
      <c r="V251" s="11">
        <v>228.5</v>
      </c>
      <c r="W251" s="12">
        <v>1.925925925925926</v>
      </c>
      <c r="X251" s="12">
        <v>1.892857142857143</v>
      </c>
      <c r="Y251" s="13">
        <f>(1/R251)/((1/R251)+(1/S251))</f>
        <v>0.13698630136986303</v>
      </c>
      <c r="Z251" s="13">
        <f>(1/J251)/((1/J251)+(1/K251))</f>
        <v>0.17287630402384502</v>
      </c>
      <c r="AA251" s="14">
        <f>1/R251+1/S251-1</f>
        <v>0.042857142857142705</v>
      </c>
      <c r="AB251" s="15">
        <f>O251-I251</f>
        <v>2.0</v>
      </c>
      <c r="AC251" s="15">
        <f>IF(G251="","",G251-O251)</f>
        <v>0.0</v>
      </c>
      <c r="AD251" s="15">
        <f>H251-V251</f>
        <v>0.0</v>
      </c>
      <c r="AE251" s="16">
        <f>IF(F251&gt;E251,1,0)</f>
        <v>0</v>
      </c>
      <c r="AF251" s="16">
        <f>F251+E251</f>
        <v>247</v>
      </c>
      <c r="AG251" s="16">
        <f>IF(Y251=0.5,"",IF((Y251&gt;0.5)=(AE251=1),1,0))</f>
        <v>1</v>
      </c>
      <c r="AH251" s="16">
        <f>IF(Z251=0.5,"",IF((Z251&gt;0.5)=(AE251=1),1,0))</f>
        <v>1</v>
      </c>
      <c r="AI251" s="17" t="str">
        <f>IF(AF251&gt;V251,"Üst",IF(AF251&lt;V251,"Alt","Push"))</f>
        <v>Üst</v>
      </c>
    </row>
    <row r="252" spans="1:35">
      <c r="A252" s="7">
        <v>46117</v>
      </c>
      <c r="B252" s="8" t="s">
        <v>467</v>
      </c>
      <c r="C252" s="8" t="s">
        <v>74</v>
      </c>
      <c r="D252" s="8" t="s">
        <v>73</v>
      </c>
      <c r="E252" s="9">
        <v>117</v>
      </c>
      <c r="F252" s="9">
        <v>116</v>
      </c>
      <c r="G252" s="10">
        <v>3.5</v>
      </c>
      <c r="H252" s="11">
        <v>228.5</v>
      </c>
      <c r="I252" s="10">
        <v>3.5</v>
      </c>
      <c r="J252" s="12">
        <v>2.3</v>
      </c>
      <c r="K252" s="12">
        <v>1.645161290322581</v>
      </c>
      <c r="L252" s="11">
        <v>223.5</v>
      </c>
      <c r="M252" s="12">
        <v>1.909090909090909</v>
      </c>
      <c r="N252" s="12">
        <v>1.909090909090909</v>
      </c>
      <c r="O252" s="10">
        <v>3.5</v>
      </c>
      <c r="P252" s="12">
        <v>1.925925925925926</v>
      </c>
      <c r="Q252" s="12">
        <v>1.892857142857143</v>
      </c>
      <c r="R252" s="12">
        <v>2.5</v>
      </c>
      <c r="S252" s="12">
        <v>1.555555555555556</v>
      </c>
      <c r="T252" s="8" t="s">
        <v>343</v>
      </c>
      <c r="U252" s="8" t="s">
        <v>344</v>
      </c>
      <c r="V252" s="11">
        <v>227.5</v>
      </c>
      <c r="W252" s="12">
        <v>1.892857142857143</v>
      </c>
      <c r="X252" s="12">
        <v>1.925925925925926</v>
      </c>
      <c r="Y252" s="13">
        <f>(1/R252)/((1/R252)+(1/S252))</f>
        <v>0.38356164383561653</v>
      </c>
      <c r="Z252" s="13">
        <f>(1/J252)/((1/J252)+(1/K252))</f>
        <v>0.41700735895339325</v>
      </c>
      <c r="AA252" s="14">
        <f>1/R252+1/S252-1</f>
        <v>0.042857142857142705</v>
      </c>
      <c r="AB252" s="15">
        <f>O252-I252</f>
        <v>0.0</v>
      </c>
      <c r="AC252" s="15">
        <f>IF(G252="","",G252-O252)</f>
        <v>0.0</v>
      </c>
      <c r="AD252" s="15">
        <f>H252-V252</f>
        <v>1.0</v>
      </c>
      <c r="AE252" s="16">
        <f>IF(F252&gt;E252,1,0)</f>
        <v>0</v>
      </c>
      <c r="AF252" s="16">
        <f>F252+E252</f>
        <v>233</v>
      </c>
      <c r="AG252" s="16">
        <f>IF(Y252=0.5,"",IF((Y252&gt;0.5)=(AE252=1),1,0))</f>
        <v>1</v>
      </c>
      <c r="AH252" s="16">
        <f>IF(Z252=0.5,"",IF((Z252&gt;0.5)=(AE252=1),1,0))</f>
        <v>1</v>
      </c>
      <c r="AI252" s="17" t="str">
        <f>IF(AF252&gt;V252,"Üst",IF(AF252&lt;V252,"Alt","Push"))</f>
        <v>Üst</v>
      </c>
    </row>
    <row r="253" spans="1:35">
      <c r="A253" s="7">
        <v>46118</v>
      </c>
      <c r="B253" s="8" t="s">
        <v>468</v>
      </c>
      <c r="C253" s="8" t="s">
        <v>110</v>
      </c>
      <c r="D253" s="8" t="s">
        <v>51</v>
      </c>
      <c r="E253" s="9">
        <v>108</v>
      </c>
      <c r="F253" s="9">
        <v>105</v>
      </c>
      <c r="G253" s="10">
        <v>-1.5</v>
      </c>
      <c r="H253" s="11">
        <v>226.5</v>
      </c>
      <c r="I253" s="10">
        <v>-1.5</v>
      </c>
      <c r="J253" s="12">
        <v>1.909090909090909</v>
      </c>
      <c r="K253" s="12">
        <v>1.909090909090909</v>
      </c>
      <c r="L253" s="11">
        <v>230.5</v>
      </c>
      <c r="M253" s="12">
        <v>1.909090909090909</v>
      </c>
      <c r="N253" s="12">
        <v>1.909090909090909</v>
      </c>
      <c r="O253" s="10">
        <v>-1.5</v>
      </c>
      <c r="P253" s="12">
        <v>1.909090909090909</v>
      </c>
      <c r="Q253" s="12">
        <v>1.909090909090909</v>
      </c>
      <c r="R253" s="12">
        <v>1.819672131147541</v>
      </c>
      <c r="S253" s="12">
        <v>2.02</v>
      </c>
      <c r="T253" s="8" t="s">
        <v>160</v>
      </c>
      <c r="U253" s="8" t="s">
        <v>161</v>
      </c>
      <c r="V253" s="11">
        <v>226.5</v>
      </c>
      <c r="W253" s="12">
        <v>1.952380952380952</v>
      </c>
      <c r="X253" s="12">
        <v>1.869565217391304</v>
      </c>
      <c r="Y253" s="13">
        <f>(1/R253)/((1/R253)+(1/S253))</f>
        <v>0.5260865852617197</v>
      </c>
      <c r="Z253" s="13">
        <f>(1/J253)/((1/J253)+(1/K253))</f>
        <v>0.5</v>
      </c>
      <c r="AA253" s="14">
        <f>1/R253+1/S253-1</f>
        <v>0.04459905450004453</v>
      </c>
      <c r="AB253" s="15">
        <f>O253-I253</f>
        <v>0.0</v>
      </c>
      <c r="AC253" s="15">
        <f>IF(G253="","",G253-O253)</f>
        <v>0.0</v>
      </c>
      <c r="AD253" s="15">
        <f>H253-V253</f>
        <v>0.0</v>
      </c>
      <c r="AE253" s="16">
        <f>IF(F253&gt;E253,1,0)</f>
        <v>0</v>
      </c>
      <c r="AF253" s="16">
        <f>F253+E253</f>
        <v>213</v>
      </c>
      <c r="AG253" s="16">
        <f>IF(Y253=0.5,"",IF((Y253&gt;0.5)=(AE253=1),1,0))</f>
        <v>0</v>
      </c>
      <c r="AH253" s="16">
        <f>IF(Z253=0.5,"",IF((Z253&gt;0.5)=(AE253=1),1,0))</f>
        <v/>
      </c>
      <c r="AI253" s="17" t="str">
        <f>IF(AF253&gt;V253,"Üst",IF(AF253&lt;V253,"Alt","Push"))</f>
        <v>Alt</v>
      </c>
    </row>
    <row r="254" spans="1:35">
      <c r="A254" s="7">
        <v>46118</v>
      </c>
      <c r="B254" s="8" t="s">
        <v>469</v>
      </c>
      <c r="C254" s="8" t="s">
        <v>81</v>
      </c>
      <c r="D254" s="8" t="s">
        <v>62</v>
      </c>
      <c r="E254" s="9">
        <v>107</v>
      </c>
      <c r="F254" s="9">
        <v>123</v>
      </c>
      <c r="G254" s="10">
        <v>1.5</v>
      </c>
      <c r="H254" s="11">
        <v>222.5</v>
      </c>
      <c r="I254" s="10">
        <v>2.5</v>
      </c>
      <c r="J254" s="12">
        <v>2.24</v>
      </c>
      <c r="K254" s="12">
        <v>1.675675675675676</v>
      </c>
      <c r="L254" s="11">
        <v>226.5</v>
      </c>
      <c r="M254" s="12">
        <v>1.952380952380952</v>
      </c>
      <c r="N254" s="12">
        <v>1.869565217391304</v>
      </c>
      <c r="O254" s="10">
        <v>1.5</v>
      </c>
      <c r="P254" s="12">
        <v>1.869565217391304</v>
      </c>
      <c r="Q254" s="12">
        <v>1.952380952380952</v>
      </c>
      <c r="R254" s="12">
        <v>1.980392156862745</v>
      </c>
      <c r="S254" s="12">
        <v>1.847457627118644</v>
      </c>
      <c r="T254" s="8" t="s">
        <v>270</v>
      </c>
      <c r="U254" s="8" t="s">
        <v>271</v>
      </c>
      <c r="V254" s="11">
        <v>222.5</v>
      </c>
      <c r="W254" s="12">
        <v>1.909090909090909</v>
      </c>
      <c r="X254" s="12">
        <v>1.909090909090909</v>
      </c>
      <c r="Y254" s="13">
        <f>(1/R254)/((1/R254)+(1/S254))</f>
        <v>0.4826358742837298</v>
      </c>
      <c r="Z254" s="13">
        <f>(1/J254)/((1/J254)+(1/K254))</f>
        <v>0.4279403644395361</v>
      </c>
      <c r="AA254" s="14">
        <f>1/R254+1/S254-1</f>
        <v>0.04623489871922981</v>
      </c>
      <c r="AB254" s="15">
        <f>O254-I254</f>
        <v>-1.0</v>
      </c>
      <c r="AC254" s="15">
        <f>IF(G254="","",G254-O254)</f>
        <v>0.0</v>
      </c>
      <c r="AD254" s="15">
        <f>H254-V254</f>
        <v>0.0</v>
      </c>
      <c r="AE254" s="16">
        <f>IF(F254&gt;E254,1,0)</f>
        <v>1</v>
      </c>
      <c r="AF254" s="16">
        <f>F254+E254</f>
        <v>230</v>
      </c>
      <c r="AG254" s="16">
        <f>IF(Y254=0.5,"",IF((Y254&gt;0.5)=(AE254=1),1,0))</f>
        <v>0</v>
      </c>
      <c r="AH254" s="16">
        <f>IF(Z254=0.5,"",IF((Z254&gt;0.5)=(AE254=1),1,0))</f>
        <v>0</v>
      </c>
      <c r="AI254" s="17" t="str">
        <f>IF(AF254&gt;V254,"Üst",IF(AF254&lt;V254,"Alt","Push"))</f>
        <v>Üst</v>
      </c>
    </row>
    <row r="255" spans="1:35">
      <c r="A255" s="7">
        <v>46118</v>
      </c>
      <c r="B255" s="8" t="s">
        <v>470</v>
      </c>
      <c r="C255" s="8" t="s">
        <v>134</v>
      </c>
      <c r="D255" s="8" t="s">
        <v>47</v>
      </c>
      <c r="E255" s="9">
        <v>142</v>
      </c>
      <c r="F255" s="9">
        <v>126</v>
      </c>
      <c r="G255" s="10">
        <v>13.5</v>
      </c>
      <c r="H255" s="11">
        <v>232.5</v>
      </c>
      <c r="I255" s="10">
        <v>14.5</v>
      </c>
      <c r="J255" s="12">
        <v>7.25</v>
      </c>
      <c r="K255" s="12">
        <v>1.105263157894737</v>
      </c>
      <c r="L255" s="11">
        <v>238.5</v>
      </c>
      <c r="M255" s="12">
        <v>1.909090909090909</v>
      </c>
      <c r="N255" s="12">
        <v>1.909090909090909</v>
      </c>
      <c r="O255" s="10">
        <v>13.5</v>
      </c>
      <c r="P255" s="12">
        <v>1.892857142857143</v>
      </c>
      <c r="Q255" s="12">
        <v>1.925925925925926</v>
      </c>
      <c r="R255" s="12">
        <v>8</v>
      </c>
      <c r="S255" s="12">
        <v>1.090909090909091</v>
      </c>
      <c r="T255" s="8" t="s">
        <v>173</v>
      </c>
      <c r="U255" s="8" t="s">
        <v>174</v>
      </c>
      <c r="V255" s="11">
        <v>231.5</v>
      </c>
      <c r="W255" s="12">
        <v>1.909090909090909</v>
      </c>
      <c r="X255" s="12">
        <v>1.909090909090909</v>
      </c>
      <c r="Y255" s="13">
        <f>(1/R255)/((1/R255)+(1/S255))</f>
        <v>0.12</v>
      </c>
      <c r="Z255" s="13">
        <f>(1/J255)/((1/J255)+(1/K255))</f>
        <v>0.1322834645669291</v>
      </c>
      <c r="AA255" s="14">
        <f>1/R255+1/S255-1</f>
        <v>0.04166666666666674</v>
      </c>
      <c r="AB255" s="15">
        <f>O255-I255</f>
        <v>-1.0</v>
      </c>
      <c r="AC255" s="15">
        <f>IF(G255="","",G255-O255)</f>
        <v>0.0</v>
      </c>
      <c r="AD255" s="15">
        <f>H255-V255</f>
        <v>1.0</v>
      </c>
      <c r="AE255" s="16">
        <f>IF(F255&gt;E255,1,0)</f>
        <v>0</v>
      </c>
      <c r="AF255" s="16">
        <f>F255+E255</f>
        <v>268</v>
      </c>
      <c r="AG255" s="16">
        <f>IF(Y255=0.5,"",IF((Y255&gt;0.5)=(AE255=1),1,0))</f>
        <v>1</v>
      </c>
      <c r="AH255" s="16">
        <f>IF(Z255=0.5,"",IF((Z255&gt;0.5)=(AE255=1),1,0))</f>
        <v>1</v>
      </c>
      <c r="AI255" s="17" t="str">
        <f>IF(AF255&gt;V255,"Üst",IF(AF255&lt;V255,"Alt","Push"))</f>
        <v>Üst</v>
      </c>
    </row>
    <row r="256" spans="1:35">
      <c r="A256" s="7">
        <v>46118</v>
      </c>
      <c r="B256" s="8" t="s">
        <v>471</v>
      </c>
      <c r="C256" s="8" t="s">
        <v>42</v>
      </c>
      <c r="D256" s="8" t="s">
        <v>82</v>
      </c>
      <c r="E256" s="9">
        <v>102</v>
      </c>
      <c r="F256" s="9">
        <v>115</v>
      </c>
      <c r="G256" s="10">
        <v>-8.5</v>
      </c>
      <c r="H256" s="11">
        <v>236.5</v>
      </c>
      <c r="I256" s="10">
        <v>-8.5</v>
      </c>
      <c r="J256" s="12">
        <v>1.294117647058824</v>
      </c>
      <c r="K256" s="12">
        <v>3.7</v>
      </c>
      <c r="L256" s="11">
        <v>234.5</v>
      </c>
      <c r="M256" s="12">
        <v>1.909090909090909</v>
      </c>
      <c r="N256" s="12">
        <v>1.909090909090909</v>
      </c>
      <c r="O256" s="10">
        <v>-8.5</v>
      </c>
      <c r="P256" s="12">
        <v>1.892857142857143</v>
      </c>
      <c r="Q256" s="12">
        <v>1.925925925925926</v>
      </c>
      <c r="R256" s="12">
        <v>1.266666666666667</v>
      </c>
      <c r="S256" s="12">
        <v>3.95</v>
      </c>
      <c r="T256" s="8" t="s">
        <v>265</v>
      </c>
      <c r="U256" s="8" t="s">
        <v>266</v>
      </c>
      <c r="V256" s="11">
        <v>237.5</v>
      </c>
      <c r="W256" s="12">
        <v>1.952380952380952</v>
      </c>
      <c r="X256" s="12">
        <v>1.869565217391304</v>
      </c>
      <c r="Y256" s="13">
        <f>(1/R256)/((1/R256)+(1/S256))</f>
        <v>0.7571884984025559</v>
      </c>
      <c r="Z256" s="13">
        <f>(1/J256)/((1/J256)+(1/K256))</f>
        <v>0.7408716136631331</v>
      </c>
      <c r="AA256" s="14">
        <f>1/R256+1/S256-1</f>
        <v>0.04263824117255166</v>
      </c>
      <c r="AB256" s="15">
        <f>O256-I256</f>
        <v>0.0</v>
      </c>
      <c r="AC256" s="15">
        <f>IF(G256="","",G256-O256)</f>
        <v>0.0</v>
      </c>
      <c r="AD256" s="15">
        <f>H256-V256</f>
        <v>-1.0</v>
      </c>
      <c r="AE256" s="16">
        <f>IF(F256&gt;E256,1,0)</f>
        <v>1</v>
      </c>
      <c r="AF256" s="16">
        <f>F256+E256</f>
        <v>217</v>
      </c>
      <c r="AG256" s="16">
        <f>IF(Y256=0.5,"",IF((Y256&gt;0.5)=(AE256=1),1,0))</f>
        <v>1</v>
      </c>
      <c r="AH256" s="16">
        <f>IF(Z256=0.5,"",IF((Z256&gt;0.5)=(AE256=1),1,0))</f>
        <v>1</v>
      </c>
      <c r="AI256" s="17" t="str">
        <f>IF(AF256&gt;V256,"Üst",IF(AF256&lt;V256,"Alt","Push"))</f>
        <v>Alt</v>
      </c>
    </row>
    <row r="257" spans="1:35">
      <c r="A257" s="7">
        <v>46118</v>
      </c>
      <c r="B257" s="8" t="s">
        <v>472</v>
      </c>
      <c r="C257" s="8" t="s">
        <v>46</v>
      </c>
      <c r="D257" s="8" t="s">
        <v>92</v>
      </c>
      <c r="E257" s="9">
        <v>132</v>
      </c>
      <c r="F257" s="9">
        <v>137</v>
      </c>
      <c r="G257" s="10">
        <v>-6.5</v>
      </c>
      <c r="H257" s="11">
        <v>236.5</v>
      </c>
      <c r="I257" s="10">
        <v>-9.5</v>
      </c>
      <c r="J257" s="12">
        <v>1.253164556962025</v>
      </c>
      <c r="K257" s="12">
        <v>4.1</v>
      </c>
      <c r="L257" s="11">
        <v>239.5</v>
      </c>
      <c r="M257" s="12">
        <v>1.909090909090909</v>
      </c>
      <c r="N257" s="12">
        <v>1.909090909090909</v>
      </c>
      <c r="O257" s="10">
        <v>-6.5</v>
      </c>
      <c r="P257" s="12">
        <v>1.869565217391304</v>
      </c>
      <c r="Q257" s="12">
        <v>1.952380952380952</v>
      </c>
      <c r="R257" s="12">
        <v>1.344827586206897</v>
      </c>
      <c r="S257" s="12">
        <v>3.35</v>
      </c>
      <c r="T257" s="8" t="s">
        <v>293</v>
      </c>
      <c r="U257" s="8" t="s">
        <v>292</v>
      </c>
      <c r="V257" s="11">
        <v>235.5</v>
      </c>
      <c r="W257" s="12">
        <v>1.909090909090909</v>
      </c>
      <c r="X257" s="12">
        <v>1.909090909090909</v>
      </c>
      <c r="Y257" s="13">
        <f>(1/R257)/((1/R257)+(1/S257))</f>
        <v>0.7135512302607419</v>
      </c>
      <c r="Z257" s="13">
        <f>(1/J257)/((1/J257)+(1/K257))</f>
        <v>0.7659021045164341</v>
      </c>
      <c r="AA257" s="14">
        <f>1/R257+1/S257-1</f>
        <v>0.04209720627631075</v>
      </c>
      <c r="AB257" s="15">
        <f>O257-I257</f>
        <v>3.0</v>
      </c>
      <c r="AC257" s="15">
        <f>IF(G257="","",G257-O257)</f>
        <v>0.0</v>
      </c>
      <c r="AD257" s="15">
        <f>H257-V257</f>
        <v>1.0</v>
      </c>
      <c r="AE257" s="16">
        <f>IF(F257&gt;E257,1,0)</f>
        <v>1</v>
      </c>
      <c r="AF257" s="16">
        <f>F257+E257</f>
        <v>269</v>
      </c>
      <c r="AG257" s="16">
        <f>IF(Y257=0.5,"",IF((Y257&gt;0.5)=(AE257=1),1,0))</f>
        <v>1</v>
      </c>
      <c r="AH257" s="16">
        <f>IF(Z257=0.5,"",IF((Z257&gt;0.5)=(AE257=1),1,0))</f>
        <v>1</v>
      </c>
      <c r="AI257" s="17" t="str">
        <f>IF(AF257&gt;V257,"Üst",IF(AF257&lt;V257,"Alt","Push"))</f>
        <v>Üst</v>
      </c>
    </row>
    <row r="258" spans="1:35">
      <c r="A258" s="7">
        <v>46119</v>
      </c>
      <c r="B258" s="8" t="s">
        <v>473</v>
      </c>
      <c r="C258" s="8" t="s">
        <v>86</v>
      </c>
      <c r="D258" s="8" t="s">
        <v>64</v>
      </c>
      <c r="E258" s="9">
        <v>129</v>
      </c>
      <c r="F258" s="9">
        <v>98</v>
      </c>
      <c r="G258" s="10">
        <v>5.5</v>
      </c>
      <c r="H258" s="11">
        <v>249.5</v>
      </c>
      <c r="I258" s="10">
        <v>5.5</v>
      </c>
      <c r="J258" s="12">
        <v>2.8</v>
      </c>
      <c r="K258" s="12">
        <v>1.458715596330275</v>
      </c>
      <c r="L258" s="11">
        <v>248.5</v>
      </c>
      <c r="M258" s="12">
        <v>1.909090909090909</v>
      </c>
      <c r="N258" s="12">
        <v>1.909090909090909</v>
      </c>
      <c r="O258" s="10">
        <v>5.5</v>
      </c>
      <c r="P258" s="12">
        <v>1.952380952380952</v>
      </c>
      <c r="Q258" s="12">
        <v>1.869565217391304</v>
      </c>
      <c r="R258" s="12">
        <v>2.85</v>
      </c>
      <c r="S258" s="12">
        <v>1.444444444444444</v>
      </c>
      <c r="T258" s="8" t="s">
        <v>146</v>
      </c>
      <c r="U258" s="8" t="s">
        <v>147</v>
      </c>
      <c r="V258" s="11">
        <v>249.5</v>
      </c>
      <c r="W258" s="12">
        <v>1.909090909090909</v>
      </c>
      <c r="X258" s="12">
        <v>1.909090909090909</v>
      </c>
      <c r="Y258" s="13">
        <f>(1/R258)/((1/R258)+(1/S258))</f>
        <v>0.33635187580853815</v>
      </c>
      <c r="Z258" s="13">
        <f>(1/J258)/((1/J258)+(1/K258))</f>
        <v>0.3425247738043946</v>
      </c>
      <c r="AA258" s="14">
        <f>1/R258+1/S258-1</f>
        <v>0.04318488529014841</v>
      </c>
      <c r="AB258" s="15">
        <f>O258-I258</f>
        <v>0.0</v>
      </c>
      <c r="AC258" s="15">
        <f>IF(G258="","",G258-O258)</f>
        <v>0.0</v>
      </c>
      <c r="AD258" s="15">
        <f>H258-V258</f>
        <v>0.0</v>
      </c>
      <c r="AE258" s="16">
        <f>IF(F258&gt;E258,1,0)</f>
        <v>0</v>
      </c>
      <c r="AF258" s="16">
        <f>F258+E258</f>
        <v>227</v>
      </c>
      <c r="AG258" s="16">
        <f>IF(Y258=0.5,"",IF((Y258&gt;0.5)=(AE258=1),1,0))</f>
        <v>1</v>
      </c>
      <c r="AH258" s="16">
        <f>IF(Z258=0.5,"",IF((Z258&gt;0.5)=(AE258=1),1,0))</f>
        <v>1</v>
      </c>
      <c r="AI258" s="17" t="str">
        <f>IF(AF258&gt;V258,"Üst",IF(AF258&lt;V258,"Alt","Push"))</f>
        <v>Alt</v>
      </c>
    </row>
    <row r="259" spans="1:35">
      <c r="A259" s="7">
        <v>46119</v>
      </c>
      <c r="B259" s="8" t="s">
        <v>474</v>
      </c>
      <c r="C259" s="8" t="s">
        <v>105</v>
      </c>
      <c r="D259" s="8" t="s">
        <v>101</v>
      </c>
      <c r="E259" s="9">
        <v>102</v>
      </c>
      <c r="F259" s="9">
        <v>113</v>
      </c>
      <c r="G259" s="10">
        <v>-4.5</v>
      </c>
      <c r="H259" s="11">
        <v>221.5</v>
      </c>
      <c r="I259" s="10">
        <v>-6.5</v>
      </c>
      <c r="J259" s="12">
        <v>1.434782608695652</v>
      </c>
      <c r="K259" s="12">
        <v>2.9</v>
      </c>
      <c r="L259" s="11">
        <v>219.5</v>
      </c>
      <c r="M259" s="12">
        <v>1.909090909090909</v>
      </c>
      <c r="N259" s="12">
        <v>1.909090909090909</v>
      </c>
      <c r="O259" s="10">
        <v>-4.5</v>
      </c>
      <c r="P259" s="12">
        <v>1.952380952380952</v>
      </c>
      <c r="Q259" s="12">
        <v>1.869565217391304</v>
      </c>
      <c r="R259" s="12">
        <v>1.505050505050505</v>
      </c>
      <c r="S259" s="12">
        <v>2.64</v>
      </c>
      <c r="T259" s="8" t="s">
        <v>139</v>
      </c>
      <c r="U259" s="8" t="s">
        <v>138</v>
      </c>
      <c r="V259" s="11">
        <v>221.5</v>
      </c>
      <c r="W259" s="12">
        <v>1.952380952380952</v>
      </c>
      <c r="X259" s="12">
        <v>1.869565217391304</v>
      </c>
      <c r="Y259" s="13">
        <f>(1/R259)/((1/R259)+(1/S259))</f>
        <v>0.6369041816941222</v>
      </c>
      <c r="Z259" s="13">
        <f>(1/J259)/((1/J259)+(1/K259))</f>
        <v>0.6690070210631895</v>
      </c>
      <c r="AA259" s="14">
        <f>1/R259+1/S259-1</f>
        <v>0.043217408989220996</v>
      </c>
      <c r="AB259" s="15">
        <f>O259-I259</f>
        <v>2.0</v>
      </c>
      <c r="AC259" s="15">
        <f>IF(G259="","",G259-O259)</f>
        <v>0.0</v>
      </c>
      <c r="AD259" s="15">
        <f>H259-V259</f>
        <v>0.0</v>
      </c>
      <c r="AE259" s="16">
        <f>IF(F259&gt;E259,1,0)</f>
        <v>1</v>
      </c>
      <c r="AF259" s="16">
        <f>F259+E259</f>
        <v>215</v>
      </c>
      <c r="AG259" s="16">
        <f>IF(Y259=0.5,"",IF((Y259&gt;0.5)=(AE259=1),1,0))</f>
        <v>1</v>
      </c>
      <c r="AH259" s="16">
        <f>IF(Z259=0.5,"",IF((Z259&gt;0.5)=(AE259=1),1,0))</f>
        <v>1</v>
      </c>
      <c r="AI259" s="17" t="str">
        <f>IF(AF259&gt;V259,"Üst",IF(AF259&lt;V259,"Alt","Push"))</f>
        <v>Alt</v>
      </c>
    </row>
    <row r="260" spans="1:35">
      <c r="A260" s="7">
        <v>46119</v>
      </c>
      <c r="B260" s="8" t="s">
        <v>475</v>
      </c>
      <c r="C260" s="8" t="s">
        <v>52</v>
      </c>
      <c r="D260" s="8" t="s">
        <v>68</v>
      </c>
      <c r="E260" s="9">
        <v>90</v>
      </c>
      <c r="F260" s="9">
        <v>96</v>
      </c>
      <c r="G260" s="10">
        <v>1.5</v>
      </c>
      <c r="H260" s="11">
        <v>218.5</v>
      </c>
      <c r="I260" s="10">
        <v>2.5</v>
      </c>
      <c r="J260" s="12">
        <v>2.1</v>
      </c>
      <c r="K260" s="12">
        <v>1.769230769230769</v>
      </c>
      <c r="L260" s="11">
        <v>219.5</v>
      </c>
      <c r="M260" s="12">
        <v>1.909090909090909</v>
      </c>
      <c r="N260" s="12">
        <v>1.909090909090909</v>
      </c>
      <c r="O260" s="10">
        <v>1.5</v>
      </c>
      <c r="P260" s="12">
        <v>1.909090909090909</v>
      </c>
      <c r="Q260" s="12">
        <v>1.909090909090909</v>
      </c>
      <c r="R260" s="12">
        <v>2</v>
      </c>
      <c r="S260" s="12">
        <v>1.833333333333333</v>
      </c>
      <c r="T260" s="8" t="s">
        <v>136</v>
      </c>
      <c r="U260" s="8" t="s">
        <v>135</v>
      </c>
      <c r="V260" s="11">
        <v>218.5</v>
      </c>
      <c r="W260" s="12">
        <v>1.952380952380952</v>
      </c>
      <c r="X260" s="12">
        <v>1.869565217391304</v>
      </c>
      <c r="Y260" s="13">
        <f>(1/R260)/((1/R260)+(1/S260))</f>
        <v>0.4782608695652174</v>
      </c>
      <c r="Z260" s="13">
        <f>(1/J260)/((1/J260)+(1/K260))</f>
        <v>0.4572564612326044</v>
      </c>
      <c r="AA260" s="14">
        <f>1/R260+1/S260-1</f>
        <v>0.045454545454545414</v>
      </c>
      <c r="AB260" s="15">
        <f>O260-I260</f>
        <v>-1.0</v>
      </c>
      <c r="AC260" s="15">
        <f>IF(G260="","",G260-O260)</f>
        <v>0.0</v>
      </c>
      <c r="AD260" s="15">
        <f>H260-V260</f>
        <v>0.0</v>
      </c>
      <c r="AE260" s="16">
        <f>IF(F260&gt;E260,1,0)</f>
        <v>1</v>
      </c>
      <c r="AF260" s="16">
        <f>F260+E260</f>
        <v>186</v>
      </c>
      <c r="AG260" s="16">
        <f>IF(Y260=0.5,"",IF((Y260&gt;0.5)=(AE260=1),1,0))</f>
        <v>0</v>
      </c>
      <c r="AH260" s="16">
        <f>IF(Z260=0.5,"",IF((Z260&gt;0.5)=(AE260=1),1,0))</f>
        <v>0</v>
      </c>
      <c r="AI260" s="17" t="str">
        <f>IF(AF260&gt;V260,"Üst",IF(AF260&lt;V260,"Alt","Push"))</f>
        <v>Alt</v>
      </c>
    </row>
    <row r="261" spans="1:35">
      <c r="A261" s="7">
        <v>46119</v>
      </c>
      <c r="B261" s="8" t="s">
        <v>476</v>
      </c>
      <c r="C261" s="8" t="s">
        <v>69</v>
      </c>
      <c r="D261" s="8" t="s">
        <v>76</v>
      </c>
      <c r="E261" s="9">
        <v>95</v>
      </c>
      <c r="F261" s="9">
        <v>121</v>
      </c>
      <c r="G261" s="10">
        <v>-2.5</v>
      </c>
      <c r="H261" s="11">
        <v>240.5</v>
      </c>
      <c r="I261" s="10">
        <v>1.5</v>
      </c>
      <c r="J261" s="12">
        <v>2.02</v>
      </c>
      <c r="K261" s="12">
        <v>1.819672131147541</v>
      </c>
      <c r="L261" s="11">
        <v>238.5</v>
      </c>
      <c r="M261" s="12">
        <v>1.909090909090909</v>
      </c>
      <c r="N261" s="12">
        <v>1.909090909090909</v>
      </c>
      <c r="O261" s="10">
        <v>-2.5</v>
      </c>
      <c r="P261" s="12">
        <v>1.892857142857143</v>
      </c>
      <c r="Q261" s="12">
        <v>1.925925925925926</v>
      </c>
      <c r="R261" s="12">
        <v>1.704225352112676</v>
      </c>
      <c r="S261" s="12">
        <v>2.2</v>
      </c>
      <c r="T261" s="8" t="s">
        <v>191</v>
      </c>
      <c r="U261" s="8" t="s">
        <v>190</v>
      </c>
      <c r="V261" s="11">
        <v>240.5</v>
      </c>
      <c r="W261" s="12">
        <v>1.869565217391304</v>
      </c>
      <c r="X261" s="12">
        <v>1.952380952380952</v>
      </c>
      <c r="Y261" s="13">
        <f>(1/R261)/((1/R261)+(1/S261))</f>
        <v>0.5634920634920635</v>
      </c>
      <c r="Z261" s="13">
        <f>(1/J261)/((1/J261)+(1/K261))</f>
        <v>0.47391341473828025</v>
      </c>
      <c r="AA261" s="14">
        <f>1/R261+1/S261-1</f>
        <v>0.04132231404958686</v>
      </c>
      <c r="AB261" s="15">
        <f>O261-I261</f>
        <v>-4.0</v>
      </c>
      <c r="AC261" s="15">
        <f>IF(G261="","",G261-O261)</f>
        <v>0.0</v>
      </c>
      <c r="AD261" s="15">
        <f>H261-V261</f>
        <v>0.0</v>
      </c>
      <c r="AE261" s="16">
        <f>IF(F261&gt;E261,1,0)</f>
        <v>1</v>
      </c>
      <c r="AF261" s="16">
        <f>F261+E261</f>
        <v>216</v>
      </c>
      <c r="AG261" s="16">
        <f>IF(Y261=0.5,"",IF((Y261&gt;0.5)=(AE261=1),1,0))</f>
        <v>1</v>
      </c>
      <c r="AH261" s="16">
        <f>IF(Z261=0.5,"",IF((Z261&gt;0.5)=(AE261=1),1,0))</f>
        <v>0</v>
      </c>
      <c r="AI261" s="17" t="str">
        <f>IF(AF261&gt;V261,"Üst",IF(AF261&lt;V261,"Alt","Push"))</f>
        <v>Alt</v>
      </c>
    </row>
    <row r="262" spans="1:35">
      <c r="A262" s="7">
        <v>46119</v>
      </c>
      <c r="B262" s="8" t="s">
        <v>477</v>
      </c>
      <c r="C262" s="8" t="s">
        <v>77</v>
      </c>
      <c r="D262" s="8" t="s">
        <v>56</v>
      </c>
      <c r="E262" s="9">
        <v>124</v>
      </c>
      <c r="F262" s="9">
        <v>104</v>
      </c>
      <c r="G262" s="10">
        <v>12.5</v>
      </c>
      <c r="H262" s="11">
        <v>235.5</v>
      </c>
      <c r="I262" s="10">
        <v>12.5</v>
      </c>
      <c r="J262" s="12">
        <v>5.7</v>
      </c>
      <c r="K262" s="12">
        <v>1.153846153846154</v>
      </c>
      <c r="L262" s="11">
        <v>229.5</v>
      </c>
      <c r="M262" s="12">
        <v>1.909090909090909</v>
      </c>
      <c r="N262" s="12">
        <v>1.909090909090909</v>
      </c>
      <c r="O262" s="10">
        <v>12.5</v>
      </c>
      <c r="P262" s="12">
        <v>1.952380952380952</v>
      </c>
      <c r="Q262" s="12">
        <v>1.869565217391304</v>
      </c>
      <c r="R262" s="12">
        <v>6.25</v>
      </c>
      <c r="S262" s="12">
        <v>1.133333333333333</v>
      </c>
      <c r="T262" s="8" t="s">
        <v>286</v>
      </c>
      <c r="U262" s="8" t="s">
        <v>287</v>
      </c>
      <c r="V262" s="11">
        <v>234.5</v>
      </c>
      <c r="W262" s="12">
        <v>1.869565217391304</v>
      </c>
      <c r="X262" s="12">
        <v>1.952380952380952</v>
      </c>
      <c r="Y262" s="13">
        <f>(1/R262)/((1/R262)+(1/S262))</f>
        <v>0.15349887133182846</v>
      </c>
      <c r="Z262" s="13">
        <f>(1/J262)/((1/J262)+(1/K262))</f>
        <v>0.16835016835016833</v>
      </c>
      <c r="AA262" s="14">
        <f>1/R262+1/S262-1</f>
        <v>0.04235294117647048</v>
      </c>
      <c r="AB262" s="15">
        <f>O262-I262</f>
        <v>0.0</v>
      </c>
      <c r="AC262" s="15">
        <f>IF(G262="","",G262-O262)</f>
        <v>0.0</v>
      </c>
      <c r="AD262" s="15">
        <f>H262-V262</f>
        <v>1.0</v>
      </c>
      <c r="AE262" s="16">
        <f>IF(F262&gt;E262,1,0)</f>
        <v>0</v>
      </c>
      <c r="AF262" s="16">
        <f>F262+E262</f>
        <v>228</v>
      </c>
      <c r="AG262" s="16">
        <f>IF(Y262=0.5,"",IF((Y262&gt;0.5)=(AE262=1),1,0))</f>
        <v>1</v>
      </c>
      <c r="AH262" s="16">
        <f>IF(Z262=0.5,"",IF((Z262&gt;0.5)=(AE262=1),1,0))</f>
        <v>1</v>
      </c>
      <c r="AI262" s="17" t="str">
        <f>IF(AF262&gt;V262,"Üst",IF(AF262&lt;V262,"Alt","Push"))</f>
        <v>Alt</v>
      </c>
    </row>
    <row r="263" spans="1:35">
      <c r="A263" s="7">
        <v>46119</v>
      </c>
      <c r="B263" s="8" t="s">
        <v>478</v>
      </c>
      <c r="C263" s="8" t="s">
        <v>41</v>
      </c>
      <c r="D263" s="8" t="s">
        <v>96</v>
      </c>
      <c r="E263" s="9">
        <v>137</v>
      </c>
      <c r="F263" s="9">
        <v>156</v>
      </c>
      <c r="G263" s="10">
        <v>-5.5</v>
      </c>
      <c r="H263" s="11">
        <v>243.5</v>
      </c>
      <c r="I263" s="10">
        <v>-11.5</v>
      </c>
      <c r="J263" s="12">
        <v>1.166666666666667</v>
      </c>
      <c r="K263" s="12">
        <v>5.4</v>
      </c>
      <c r="L263" s="11">
        <v>242.5</v>
      </c>
      <c r="M263" s="12">
        <v>1.909090909090909</v>
      </c>
      <c r="N263" s="12">
        <v>1.909090909090909</v>
      </c>
      <c r="O263" s="10">
        <v>-6.5</v>
      </c>
      <c r="P263" s="12">
        <v>1.980392156862745</v>
      </c>
      <c r="Q263" s="12">
        <v>1.847457627118644</v>
      </c>
      <c r="R263" s="12">
        <v>1.408163265306122</v>
      </c>
      <c r="S263" s="12">
        <v>3</v>
      </c>
      <c r="T263" s="8" t="s">
        <v>244</v>
      </c>
      <c r="U263" s="8" t="s">
        <v>245</v>
      </c>
      <c r="V263" s="11">
        <v>242.5</v>
      </c>
      <c r="W263" s="12">
        <v>1.833333333333333</v>
      </c>
      <c r="X263" s="12">
        <v>2</v>
      </c>
      <c r="Y263" s="13">
        <f>(1/R263)/((1/R263)+(1/S263))</f>
        <v>0.6805555555555556</v>
      </c>
      <c r="Z263" s="13">
        <f>(1/J263)/((1/J263)+(1/K263))</f>
        <v>0.8223350253807106</v>
      </c>
      <c r="AA263" s="14">
        <f>1/R263+1/S263-1</f>
        <v>0.04347826086956519</v>
      </c>
      <c r="AB263" s="15">
        <f>O263-I263</f>
        <v>5.0</v>
      </c>
      <c r="AC263" s="15">
        <f>IF(G263="","",G263-O263)</f>
        <v>1.0</v>
      </c>
      <c r="AD263" s="15">
        <f>H263-V263</f>
        <v>1.0</v>
      </c>
      <c r="AE263" s="16">
        <f>IF(F263&gt;E263,1,0)</f>
        <v>1</v>
      </c>
      <c r="AF263" s="16">
        <f>F263+E263</f>
        <v>293</v>
      </c>
      <c r="AG263" s="16">
        <f>IF(Y263=0.5,"",IF((Y263&gt;0.5)=(AE263=1),1,0))</f>
        <v>1</v>
      </c>
      <c r="AH263" s="16">
        <f>IF(Z263=0.5,"",IF((Z263&gt;0.5)=(AE263=1),1,0))</f>
        <v>1</v>
      </c>
      <c r="AI263" s="17" t="str">
        <f>IF(AF263&gt;V263,"Üst",IF(AF263&lt;V263,"Alt","Push"))</f>
        <v>Üst</v>
      </c>
    </row>
    <row r="264" spans="1:35">
      <c r="A264" s="7">
        <v>46119</v>
      </c>
      <c r="B264" s="8" t="s">
        <v>479</v>
      </c>
      <c r="C264" s="8" t="s">
        <v>97</v>
      </c>
      <c r="D264" s="8" t="s">
        <v>73</v>
      </c>
      <c r="E264" s="9">
        <v>105</v>
      </c>
      <c r="F264" s="9">
        <v>110</v>
      </c>
      <c r="G264" s="10">
        <v>-14.5</v>
      </c>
      <c r="H264" s="11">
        <v>232.5</v>
      </c>
      <c r="I264" s="10">
        <v>-15.5</v>
      </c>
      <c r="J264" s="12">
        <v>1.090909090909091</v>
      </c>
      <c r="K264" s="12">
        <v>8</v>
      </c>
      <c r="L264" s="11">
        <v>233.5</v>
      </c>
      <c r="M264" s="12">
        <v>1.909090909090909</v>
      </c>
      <c r="N264" s="12">
        <v>1.909090909090909</v>
      </c>
      <c r="O264" s="10">
        <v>-14.5</v>
      </c>
      <c r="P264" s="12">
        <v>1.892857142857143</v>
      </c>
      <c r="Q264" s="12">
        <v>1.925925925925926</v>
      </c>
      <c r="R264" s="12">
        <v>1.090909090909091</v>
      </c>
      <c r="S264" s="12">
        <v>8</v>
      </c>
      <c r="T264" s="8" t="s">
        <v>174</v>
      </c>
      <c r="U264" s="8" t="s">
        <v>173</v>
      </c>
      <c r="V264" s="11">
        <v>233.5</v>
      </c>
      <c r="W264" s="12">
        <v>1.952380952380952</v>
      </c>
      <c r="X264" s="12">
        <v>1.869565217391304</v>
      </c>
      <c r="Y264" s="13">
        <f>(1/R264)/((1/R264)+(1/S264))</f>
        <v>0.88</v>
      </c>
      <c r="Z264" s="13">
        <f>(1/J264)/((1/J264)+(1/K264))</f>
        <v>0.88</v>
      </c>
      <c r="AA264" s="14">
        <f>1/R264+1/S264-1</f>
        <v>0.04166666666666674</v>
      </c>
      <c r="AB264" s="15">
        <f>O264-I264</f>
        <v>1.0</v>
      </c>
      <c r="AC264" s="15">
        <f>IF(G264="","",G264-O264)</f>
        <v>0.0</v>
      </c>
      <c r="AD264" s="15">
        <f>H264-V264</f>
        <v>-1.0</v>
      </c>
      <c r="AE264" s="16">
        <f>IF(F264&gt;E264,1,0)</f>
        <v>1</v>
      </c>
      <c r="AF264" s="16">
        <f>F264+E264</f>
        <v>215</v>
      </c>
      <c r="AG264" s="16">
        <f>IF(Y264=0.5,"",IF((Y264&gt;0.5)=(AE264=1),1,0))</f>
        <v>1</v>
      </c>
      <c r="AH264" s="16">
        <f>IF(Z264=0.5,"",IF((Z264&gt;0.5)=(AE264=1),1,0))</f>
        <v>1</v>
      </c>
      <c r="AI264" s="17" t="str">
        <f>IF(AF264&gt;V264,"Üst",IF(AF264&lt;V264,"Alt","Push"))</f>
        <v>Alt</v>
      </c>
    </row>
    <row r="265" spans="1:35">
      <c r="A265" s="7">
        <v>46119</v>
      </c>
      <c r="B265" s="8" t="s">
        <v>480</v>
      </c>
      <c r="C265" s="8" t="s">
        <v>130</v>
      </c>
      <c r="D265" s="8" t="s">
        <v>91</v>
      </c>
      <c r="E265" s="9">
        <v>123</v>
      </c>
      <c r="F265" s="9">
        <v>87</v>
      </c>
      <c r="G265" s="10">
        <v>18.5</v>
      </c>
      <c r="H265" s="11">
        <v>221.5</v>
      </c>
      <c r="I265" s="10">
        <v>13.5</v>
      </c>
      <c r="J265" s="12">
        <v>8.5</v>
      </c>
      <c r="K265" s="12">
        <v>1.083333333333333</v>
      </c>
      <c r="L265" s="11">
        <v>225.5</v>
      </c>
      <c r="M265" s="12">
        <v>1.909090909090909</v>
      </c>
      <c r="N265" s="12">
        <v>1.909090909090909</v>
      </c>
      <c r="O265" s="10">
        <v>17.5</v>
      </c>
      <c r="P265" s="12">
        <v>1.925925925925926</v>
      </c>
      <c r="Q265" s="12">
        <v>1.892857142857143</v>
      </c>
      <c r="R265" s="12">
        <v>12</v>
      </c>
      <c r="S265" s="12">
        <v>1.047619047619048</v>
      </c>
      <c r="T265" s="8" t="s">
        <v>278</v>
      </c>
      <c r="U265" s="8" t="s">
        <v>279</v>
      </c>
      <c r="V265" s="11">
        <v>221.5</v>
      </c>
      <c r="W265" s="12">
        <v>1.925925925925926</v>
      </c>
      <c r="X265" s="12">
        <v>1.892857142857143</v>
      </c>
      <c r="Y265" s="13">
        <f>(1/R265)/((1/R265)+(1/S265))</f>
        <v>0.08029197080291971</v>
      </c>
      <c r="Z265" s="13">
        <f>(1/J265)/((1/J265)+(1/K265))</f>
        <v>0.11304347826086955</v>
      </c>
      <c r="AA265" s="14">
        <f>1/R265+1/S265-1</f>
        <v>0.037878787878787845</v>
      </c>
      <c r="AB265" s="15">
        <f>O265-I265</f>
        <v>4.0</v>
      </c>
      <c r="AC265" s="15">
        <f>IF(G265="","",G265-O265)</f>
        <v>1.0</v>
      </c>
      <c r="AD265" s="15">
        <f>H265-V265</f>
        <v>0.0</v>
      </c>
      <c r="AE265" s="16">
        <f>IF(F265&gt;E265,1,0)</f>
        <v>0</v>
      </c>
      <c r="AF265" s="16">
        <f>F265+E265</f>
        <v>210</v>
      </c>
      <c r="AG265" s="16">
        <f>IF(Y265=0.5,"",IF((Y265&gt;0.5)=(AE265=1),1,0))</f>
        <v>1</v>
      </c>
      <c r="AH265" s="16">
        <f>IF(Z265=0.5,"",IF((Z265&gt;0.5)=(AE265=1),1,0))</f>
        <v>1</v>
      </c>
      <c r="AI265" s="17" t="str">
        <f>IF(AF265&gt;V265,"Üst",IF(AF265&lt;V265,"Alt","Push"))</f>
        <v>Alt</v>
      </c>
    </row>
    <row r="266" spans="1:35">
      <c r="A266" s="7">
        <v>46119</v>
      </c>
      <c r="B266" s="8" t="s">
        <v>481</v>
      </c>
      <c r="C266" s="8" t="s">
        <v>61</v>
      </c>
      <c r="D266" s="8" t="s">
        <v>57</v>
      </c>
      <c r="E266" s="9">
        <v>103</v>
      </c>
      <c r="F266" s="9">
        <v>116</v>
      </c>
      <c r="G266" s="10">
        <v>-12.5</v>
      </c>
      <c r="H266" s="11">
        <v>235.5</v>
      </c>
      <c r="I266" s="10">
        <v>-11.5</v>
      </c>
      <c r="J266" s="12">
        <v>1.186915887850467</v>
      </c>
      <c r="K266" s="12">
        <v>5</v>
      </c>
      <c r="L266" s="11">
        <v>235.5</v>
      </c>
      <c r="M266" s="12">
        <v>1.909090909090909</v>
      </c>
      <c r="N266" s="12">
        <v>1.909090909090909</v>
      </c>
      <c r="O266" s="10">
        <v>-11.5</v>
      </c>
      <c r="P266" s="12">
        <v>1.847457627118644</v>
      </c>
      <c r="Q266" s="12">
        <v>1.980392156862745</v>
      </c>
      <c r="R266" s="12">
        <v>1.153846153846154</v>
      </c>
      <c r="S266" s="12">
        <v>5.7</v>
      </c>
      <c r="T266" s="8" t="s">
        <v>58</v>
      </c>
      <c r="U266" s="8" t="s">
        <v>59</v>
      </c>
      <c r="V266" s="11">
        <v>235.5</v>
      </c>
      <c r="W266" s="12">
        <v>1.892857142857143</v>
      </c>
      <c r="X266" s="12">
        <v>1.925925925925926</v>
      </c>
      <c r="Y266" s="13">
        <f>(1/R266)/((1/R266)+(1/S266))</f>
        <v>0.8316498316498315</v>
      </c>
      <c r="Z266" s="13">
        <f>(1/J266)/((1/J266)+(1/K266))</f>
        <v>0.8081570996978852</v>
      </c>
      <c r="AA266" s="14">
        <f>1/R266+1/S266-1</f>
        <v>0.04210526315789487</v>
      </c>
      <c r="AB266" s="15">
        <f>O266-I266</f>
        <v>0.0</v>
      </c>
      <c r="AC266" s="15">
        <f>IF(G266="","",G266-O266)</f>
        <v>-1.0</v>
      </c>
      <c r="AD266" s="15">
        <f>H266-V266</f>
        <v>0.0</v>
      </c>
      <c r="AE266" s="16">
        <f>IF(F266&gt;E266,1,0)</f>
        <v>1</v>
      </c>
      <c r="AF266" s="16">
        <f>F266+E266</f>
        <v>219</v>
      </c>
      <c r="AG266" s="16">
        <f>IF(Y266=0.5,"",IF((Y266&gt;0.5)=(AE266=1),1,0))</f>
        <v>1</v>
      </c>
      <c r="AH266" s="16">
        <f>IF(Z266=0.5,"",IF((Z266&gt;0.5)=(AE266=1),1,0))</f>
        <v>1</v>
      </c>
      <c r="AI266" s="17" t="str">
        <f>IF(AF266&gt;V266,"Üst",IF(AF266&lt;V266,"Alt","Push"))</f>
        <v>Alt</v>
      </c>
    </row>
    <row r="267" spans="1:35">
      <c r="A267" s="7">
        <v>46119</v>
      </c>
      <c r="B267" s="8" t="s">
        <v>482</v>
      </c>
      <c r="C267" s="8" t="s">
        <v>74</v>
      </c>
      <c r="D267" s="8" t="s">
        <v>87</v>
      </c>
      <c r="E267" s="9">
        <v>119</v>
      </c>
      <c r="F267" s="9">
        <v>105</v>
      </c>
      <c r="G267" s="10">
        <v>1.5</v>
      </c>
      <c r="H267" s="11">
        <v>221.5</v>
      </c>
      <c r="I267" s="10">
        <v>1.5</v>
      </c>
      <c r="J267" s="12">
        <v>2.05</v>
      </c>
      <c r="K267" s="12">
        <v>1.8</v>
      </c>
      <c r="L267" s="11">
        <v>217.5</v>
      </c>
      <c r="M267" s="12">
        <v>1.909090909090909</v>
      </c>
      <c r="N267" s="12">
        <v>1.909090909090909</v>
      </c>
      <c r="O267" s="10">
        <v>1.5</v>
      </c>
      <c r="P267" s="12">
        <v>1.909090909090909</v>
      </c>
      <c r="Q267" s="12">
        <v>1.909090909090909</v>
      </c>
      <c r="R267" s="12">
        <v>1.980392156862745</v>
      </c>
      <c r="S267" s="12">
        <v>1.847457627118644</v>
      </c>
      <c r="T267" s="8" t="s">
        <v>270</v>
      </c>
      <c r="U267" s="8" t="s">
        <v>271</v>
      </c>
      <c r="V267" s="11">
        <v>221.5</v>
      </c>
      <c r="W267" s="12">
        <v>1.869565217391304</v>
      </c>
      <c r="X267" s="12">
        <v>1.952380952380952</v>
      </c>
      <c r="Y267" s="13">
        <f>(1/R267)/((1/R267)+(1/S267))</f>
        <v>0.4826358742837298</v>
      </c>
      <c r="Z267" s="13">
        <f>(1/J267)/((1/J267)+(1/K267))</f>
        <v>0.4675324675324676</v>
      </c>
      <c r="AA267" s="14">
        <f>1/R267+1/S267-1</f>
        <v>0.04623489871922981</v>
      </c>
      <c r="AB267" s="15">
        <f>O267-I267</f>
        <v>0.0</v>
      </c>
      <c r="AC267" s="15">
        <f>IF(G267="","",G267-O267)</f>
        <v>0.0</v>
      </c>
      <c r="AD267" s="15">
        <f>H267-V267</f>
        <v>0.0</v>
      </c>
      <c r="AE267" s="16">
        <f>IF(F267&gt;E267,1,0)</f>
        <v>0</v>
      </c>
      <c r="AF267" s="16">
        <f>F267+E267</f>
        <v>224</v>
      </c>
      <c r="AG267" s="16">
        <f>IF(Y267=0.5,"",IF((Y267&gt;0.5)=(AE267=1),1,0))</f>
        <v>1</v>
      </c>
      <c r="AH267" s="16">
        <f>IF(Z267=0.5,"",IF((Z267&gt;0.5)=(AE267=1),1,0))</f>
        <v>1</v>
      </c>
      <c r="AI267" s="17" t="str">
        <f>IF(AF267&gt;V267,"Üst",IF(AF267&lt;V267,"Alt","Push"))</f>
        <v>Üst</v>
      </c>
    </row>
    <row r="268" spans="1:35">
      <c r="A268" s="7">
        <v>46120</v>
      </c>
      <c r="B268" s="8" t="s">
        <v>483</v>
      </c>
      <c r="C268" s="8" t="s">
        <v>51</v>
      </c>
      <c r="D268" s="8" t="s">
        <v>134</v>
      </c>
      <c r="E268" s="9">
        <v>116</v>
      </c>
      <c r="F268" s="9">
        <v>122</v>
      </c>
      <c r="G268" s="10">
        <v>-4.5</v>
      </c>
      <c r="H268" s="11">
        <v>237.5</v>
      </c>
      <c r="I268" s="10">
        <v>-2.5</v>
      </c>
      <c r="J268" s="12">
        <v>1.740740740740741</v>
      </c>
      <c r="K268" s="12">
        <v>2.14</v>
      </c>
      <c r="L268" s="11">
        <v>236.5</v>
      </c>
      <c r="M268" s="12">
        <v>1.952380952380952</v>
      </c>
      <c r="N268" s="12">
        <v>1.869565217391304</v>
      </c>
      <c r="O268" s="10">
        <v>-4.5</v>
      </c>
      <c r="P268" s="12">
        <v>1.952380952380952</v>
      </c>
      <c r="Q268" s="12">
        <v>1.869565217391304</v>
      </c>
      <c r="R268" s="12">
        <v>1.571428571428571</v>
      </c>
      <c r="S268" s="12">
        <v>2.45</v>
      </c>
      <c r="T268" s="8" t="s">
        <v>112</v>
      </c>
      <c r="U268" s="8" t="s">
        <v>113</v>
      </c>
      <c r="V268" s="11">
        <v>237.5</v>
      </c>
      <c r="W268" s="12">
        <v>1.952380952380952</v>
      </c>
      <c r="X268" s="12">
        <v>1.869565217391304</v>
      </c>
      <c r="Y268" s="13">
        <f>(1/R268)/((1/R268)+(1/S268))</f>
        <v>0.6092362344582594</v>
      </c>
      <c r="Z268" s="13">
        <f>(1/J268)/((1/J268)+(1/K268))</f>
        <v>0.551441114716549</v>
      </c>
      <c r="AA268" s="14">
        <f>1/R268+1/S268-1</f>
        <v>0.0445269016697587</v>
      </c>
      <c r="AB268" s="15">
        <f>O268-I268</f>
        <v>-2.0</v>
      </c>
      <c r="AC268" s="15">
        <f>IF(G268="","",G268-O268)</f>
        <v>0.0</v>
      </c>
      <c r="AD268" s="15">
        <f>H268-V268</f>
        <v>0.0</v>
      </c>
      <c r="AE268" s="16">
        <f>IF(F268&gt;E268,1,0)</f>
        <v>1</v>
      </c>
      <c r="AF268" s="16">
        <f>F268+E268</f>
        <v>238</v>
      </c>
      <c r="AG268" s="16">
        <f>IF(Y268=0.5,"",IF((Y268&gt;0.5)=(AE268=1),1,0))</f>
        <v>1</v>
      </c>
      <c r="AH268" s="16">
        <f>IF(Z268=0.5,"",IF((Z268&gt;0.5)=(AE268=1),1,0))</f>
        <v>1</v>
      </c>
      <c r="AI268" s="17" t="str">
        <f>IF(AF268&gt;V268,"Üst",IF(AF268&lt;V268,"Alt","Push"))</f>
        <v>Üst</v>
      </c>
    </row>
    <row r="269" spans="1:35">
      <c r="A269" s="7">
        <v>46120</v>
      </c>
      <c r="B269" s="8" t="s">
        <v>484</v>
      </c>
      <c r="C269" s="8" t="s">
        <v>77</v>
      </c>
      <c r="D269" s="8" t="s">
        <v>62</v>
      </c>
      <c r="E269" s="9">
        <v>120</v>
      </c>
      <c r="F269" s="9">
        <v>132</v>
      </c>
      <c r="G269" s="10">
        <v>-11.5</v>
      </c>
      <c r="H269" s="11">
        <v>232.5</v>
      </c>
      <c r="I269" s="10">
        <v>-5.5</v>
      </c>
      <c r="J269" s="12">
        <v>1.434782608695652</v>
      </c>
      <c r="K269" s="12">
        <v>2.9</v>
      </c>
      <c r="L269" s="11">
        <v>225.5</v>
      </c>
      <c r="M269" s="12">
        <v>1.909090909090909</v>
      </c>
      <c r="N269" s="12">
        <v>1.909090909090909</v>
      </c>
      <c r="O269" s="10">
        <v>-11.5</v>
      </c>
      <c r="P269" s="12">
        <v>1.892857142857143</v>
      </c>
      <c r="Q269" s="12">
        <v>1.925925925925926</v>
      </c>
      <c r="R269" s="12">
        <v>1.212765957446809</v>
      </c>
      <c r="S269" s="12">
        <v>4.6</v>
      </c>
      <c r="T269" s="8" t="s">
        <v>306</v>
      </c>
      <c r="U269" s="8" t="s">
        <v>307</v>
      </c>
      <c r="V269" s="11">
        <v>233.5</v>
      </c>
      <c r="W269" s="12">
        <v>1.952380952380952</v>
      </c>
      <c r="X269" s="12">
        <v>1.869565217391304</v>
      </c>
      <c r="Y269" s="13">
        <f>(1/R269)/((1/R269)+(1/S269))</f>
        <v>0.7913616398243044</v>
      </c>
      <c r="Z269" s="13">
        <f>(1/J269)/((1/J269)+(1/K269))</f>
        <v>0.6690070210631895</v>
      </c>
      <c r="AA269" s="14">
        <f>1/R269+1/S269-1</f>
        <v>0.04195270785659799</v>
      </c>
      <c r="AB269" s="15">
        <f>O269-I269</f>
        <v>-6.0</v>
      </c>
      <c r="AC269" s="15">
        <f>IF(G269="","",G269-O269)</f>
        <v>0.0</v>
      </c>
      <c r="AD269" s="15">
        <f>H269-V269</f>
        <v>-1.0</v>
      </c>
      <c r="AE269" s="16">
        <f>IF(F269&gt;E269,1,0)</f>
        <v>1</v>
      </c>
      <c r="AF269" s="16">
        <f>F269+E269</f>
        <v>252</v>
      </c>
      <c r="AG269" s="16">
        <f>IF(Y269=0.5,"",IF((Y269&gt;0.5)=(AE269=1),1,0))</f>
        <v>1</v>
      </c>
      <c r="AH269" s="16">
        <f>IF(Z269=0.5,"",IF((Z269&gt;0.5)=(AE269=1),1,0))</f>
        <v>1</v>
      </c>
      <c r="AI269" s="17" t="str">
        <f>IF(AF269&gt;V269,"Üst",IF(AF269&lt;V269,"Alt","Push"))</f>
        <v>Üst</v>
      </c>
    </row>
    <row r="270" spans="1:35">
      <c r="A270" s="7">
        <v>46120</v>
      </c>
      <c r="B270" s="8" t="s">
        <v>485</v>
      </c>
      <c r="C270" s="8" t="s">
        <v>52</v>
      </c>
      <c r="D270" s="8" t="s">
        <v>81</v>
      </c>
      <c r="E270" s="9">
        <v>111</v>
      </c>
      <c r="F270" s="9">
        <v>137</v>
      </c>
      <c r="G270" s="10">
        <v>-22.5</v>
      </c>
      <c r="H270" s="11">
        <v>222.5</v>
      </c>
      <c r="I270" s="10">
        <v>-18.5</v>
      </c>
      <c r="J270" s="12">
        <v>1.047619047619048</v>
      </c>
      <c r="K270" s="12">
        <v>12</v>
      </c>
      <c r="L270" s="11">
        <v>220.5</v>
      </c>
      <c r="M270" s="12">
        <v>1.909090909090909</v>
      </c>
      <c r="N270" s="12">
        <v>1.909090909090909</v>
      </c>
      <c r="O270" s="10">
        <v>-22.5</v>
      </c>
      <c r="P270" s="12">
        <v>1.952380952380952</v>
      </c>
      <c r="Q270" s="12">
        <v>1.869565217391304</v>
      </c>
      <c r="R270" s="12">
        <v>1.03125</v>
      </c>
      <c r="S270" s="12">
        <v>15</v>
      </c>
      <c r="T270" s="8" t="s">
        <v>486</v>
      </c>
      <c r="U270" s="8" t="s">
        <v>487</v>
      </c>
      <c r="V270" s="11">
        <v>222.5</v>
      </c>
      <c r="W270" s="12">
        <v>1.847457627118644</v>
      </c>
      <c r="X270" s="12">
        <v>1.980392156862745</v>
      </c>
      <c r="Y270" s="13">
        <f>(1/R270)/((1/R270)+(1/S270))</f>
        <v>0.9356725146198831</v>
      </c>
      <c r="Z270" s="13">
        <f>(1/J270)/((1/J270)+(1/K270))</f>
        <v>0.9197080291970803</v>
      </c>
      <c r="AA270" s="14">
        <f>1/R270+1/S270-1</f>
        <v>0.036363636363636376</v>
      </c>
      <c r="AB270" s="15">
        <f>O270-I270</f>
        <v>-4.0</v>
      </c>
      <c r="AC270" s="15">
        <f>IF(G270="","",G270-O270)</f>
        <v>0.0</v>
      </c>
      <c r="AD270" s="15">
        <f>H270-V270</f>
        <v>0.0</v>
      </c>
      <c r="AE270" s="16">
        <f>IF(F270&gt;E270,1,0)</f>
        <v>1</v>
      </c>
      <c r="AF270" s="16">
        <f>F270+E270</f>
        <v>248</v>
      </c>
      <c r="AG270" s="16">
        <f>IF(Y270=0.5,"",IF((Y270&gt;0.5)=(AE270=1),1,0))</f>
        <v>1</v>
      </c>
      <c r="AH270" s="16">
        <f>IF(Z270=0.5,"",IF((Z270&gt;0.5)=(AE270=1),1,0))</f>
        <v>1</v>
      </c>
      <c r="AI270" s="17" t="str">
        <f>IF(AF270&gt;V270,"Üst",IF(AF270&lt;V270,"Alt","Push"))</f>
        <v>Üst</v>
      </c>
    </row>
    <row r="271" spans="1:35">
      <c r="A271" s="7">
        <v>46120</v>
      </c>
      <c r="B271" s="8" t="s">
        <v>488</v>
      </c>
      <c r="C271" s="8" t="s">
        <v>46</v>
      </c>
      <c r="D271" s="8" t="s">
        <v>82</v>
      </c>
      <c r="E271" s="9">
        <v>101</v>
      </c>
      <c r="F271" s="9">
        <v>112</v>
      </c>
      <c r="G271" s="10">
        <v>-3.5</v>
      </c>
      <c r="H271" s="11">
        <v>229.5</v>
      </c>
      <c r="I271" s="10">
        <v>-3.5</v>
      </c>
      <c r="J271" s="12">
        <v>1.617283950617284</v>
      </c>
      <c r="K271" s="12">
        <v>2.36</v>
      </c>
      <c r="L271" s="11">
        <v>236.5</v>
      </c>
      <c r="M271" s="12">
        <v>1.909090909090909</v>
      </c>
      <c r="N271" s="12">
        <v>1.909090909090909</v>
      </c>
      <c r="O271" s="10">
        <v>-2.5</v>
      </c>
      <c r="P271" s="12">
        <v>1.847457627118644</v>
      </c>
      <c r="Q271" s="12">
        <v>1.980392156862745</v>
      </c>
      <c r="R271" s="12">
        <v>1.645161290322581</v>
      </c>
      <c r="S271" s="12">
        <v>2.3</v>
      </c>
      <c r="T271" s="8" t="s">
        <v>163</v>
      </c>
      <c r="U271" s="8" t="s">
        <v>164</v>
      </c>
      <c r="V271" s="11">
        <v>229.5</v>
      </c>
      <c r="W271" s="12">
        <v>1.909090909090909</v>
      </c>
      <c r="X271" s="12">
        <v>1.909090909090909</v>
      </c>
      <c r="Y271" s="13">
        <f>(1/R271)/((1/R271)+(1/S271))</f>
        <v>0.5829926410466066</v>
      </c>
      <c r="Z271" s="13">
        <f>(1/J271)/((1/J271)+(1/K271))</f>
        <v>0.593369754159424</v>
      </c>
      <c r="AA271" s="14">
        <f>1/R271+1/S271-1</f>
        <v>0.04262574595055435</v>
      </c>
      <c r="AB271" s="15">
        <f>O271-I271</f>
        <v>1.0</v>
      </c>
      <c r="AC271" s="15">
        <f>IF(G271="","",G271-O271)</f>
        <v>-1.0</v>
      </c>
      <c r="AD271" s="15">
        <f>H271-V271</f>
        <v>0.0</v>
      </c>
      <c r="AE271" s="16">
        <f>IF(F271&gt;E271,1,0)</f>
        <v>1</v>
      </c>
      <c r="AF271" s="16">
        <f>F271+E271</f>
        <v>213</v>
      </c>
      <c r="AG271" s="16">
        <f>IF(Y271=0.5,"",IF((Y271&gt;0.5)=(AE271=1),1,0))</f>
        <v>1</v>
      </c>
      <c r="AH271" s="16">
        <f>IF(Z271=0.5,"",IF((Z271&gt;0.5)=(AE271=1),1,0))</f>
        <v>1</v>
      </c>
      <c r="AI271" s="17" t="str">
        <f>IF(AF271&gt;V271,"Üst",IF(AF271&lt;V271,"Alt","Push"))</f>
        <v>Alt</v>
      </c>
    </row>
    <row r="272" spans="1:35">
      <c r="A272" s="7">
        <v>46120</v>
      </c>
      <c r="B272" s="8" t="s">
        <v>489</v>
      </c>
      <c r="C272" s="8" t="s">
        <v>47</v>
      </c>
      <c r="D272" s="8" t="s">
        <v>92</v>
      </c>
      <c r="E272" s="9">
        <v>119</v>
      </c>
      <c r="F272" s="9">
        <v>136</v>
      </c>
      <c r="G272" s="10">
        <v>-23.5</v>
      </c>
      <c r="H272" s="11">
        <v>247.5</v>
      </c>
      <c r="I272" s="10">
        <v>-22.5</v>
      </c>
      <c r="J272" s="12">
        <v>1.025</v>
      </c>
      <c r="K272" s="12">
        <v>17</v>
      </c>
      <c r="L272" s="11">
        <v>245.5</v>
      </c>
      <c r="M272" s="12">
        <v>1.909090909090909</v>
      </c>
      <c r="N272" s="12">
        <v>1.909090909090909</v>
      </c>
      <c r="O272" s="10">
        <v>-23.5</v>
      </c>
      <c r="P272" s="12">
        <v>1.909090909090909</v>
      </c>
      <c r="Q272" s="12">
        <v>1.909090909090909</v>
      </c>
      <c r="R272" s="12">
        <v>1.02</v>
      </c>
      <c r="S272" s="12">
        <v>19</v>
      </c>
      <c r="T272" s="8" t="s">
        <v>490</v>
      </c>
      <c r="U272" s="8" t="s">
        <v>491</v>
      </c>
      <c r="V272" s="11">
        <v>247.5</v>
      </c>
      <c r="W272" s="12">
        <v>1.925925925925926</v>
      </c>
      <c r="X272" s="12">
        <v>1.892857142857143</v>
      </c>
      <c r="Y272" s="13">
        <f>(1/R272)/((1/R272)+(1/S272))</f>
        <v>0.949050949050949</v>
      </c>
      <c r="Z272" s="13">
        <f>(1/J272)/((1/J272)+(1/K272))</f>
        <v>0.9431345353675452</v>
      </c>
      <c r="AA272" s="14">
        <f>1/R272+1/S272-1</f>
        <v>0.03302373581011353</v>
      </c>
      <c r="AB272" s="15">
        <f>O272-I272</f>
        <v>-1.0</v>
      </c>
      <c r="AC272" s="15">
        <f>IF(G272="","",G272-O272)</f>
        <v>0.0</v>
      </c>
      <c r="AD272" s="15">
        <f>H272-V272</f>
        <v>0.0</v>
      </c>
      <c r="AE272" s="16">
        <f>IF(F272&gt;E272,1,0)</f>
        <v>1</v>
      </c>
      <c r="AF272" s="16">
        <f>F272+E272</f>
        <v>255</v>
      </c>
      <c r="AG272" s="16">
        <f>IF(Y272=0.5,"",IF((Y272&gt;0.5)=(AE272=1),1,0))</f>
        <v>1</v>
      </c>
      <c r="AH272" s="16">
        <f>IF(Z272=0.5,"",IF((Z272&gt;0.5)=(AE272=1),1,0))</f>
        <v>1</v>
      </c>
      <c r="AI272" s="17" t="str">
        <f>IF(AF272&gt;V272,"Üst",IF(AF272&lt;V272,"Alt","Push"))</f>
        <v>Üst</v>
      </c>
    </row>
    <row r="273" spans="1:35">
      <c r="A273" s="7">
        <v>46120</v>
      </c>
      <c r="B273" s="8" t="s">
        <v>492</v>
      </c>
      <c r="C273" s="8" t="s">
        <v>130</v>
      </c>
      <c r="D273" s="8" t="s">
        <v>57</v>
      </c>
      <c r="E273" s="9">
        <v>128</v>
      </c>
      <c r="F273" s="9">
        <v>110</v>
      </c>
      <c r="G273" s="10">
        <v>8.5</v>
      </c>
      <c r="H273" s="11">
        <v>223.5</v>
      </c>
      <c r="I273" s="10">
        <v>6.5</v>
      </c>
      <c r="J273" s="12">
        <v>3.1</v>
      </c>
      <c r="K273" s="12">
        <v>1.387596899224806</v>
      </c>
      <c r="L273" s="11">
        <v>225.5</v>
      </c>
      <c r="M273" s="12">
        <v>1.909090909090909</v>
      </c>
      <c r="N273" s="12">
        <v>1.909090909090909</v>
      </c>
      <c r="O273" s="10">
        <v>8.5</v>
      </c>
      <c r="P273" s="12">
        <v>1.952380952380952</v>
      </c>
      <c r="Q273" s="12">
        <v>1.869565217391304</v>
      </c>
      <c r="R273" s="12">
        <v>3.95</v>
      </c>
      <c r="S273" s="12">
        <v>1.266666666666667</v>
      </c>
      <c r="T273" s="8" t="s">
        <v>266</v>
      </c>
      <c r="U273" s="8" t="s">
        <v>265</v>
      </c>
      <c r="V273" s="11">
        <v>223.5</v>
      </c>
      <c r="W273" s="12">
        <v>1.892857142857143</v>
      </c>
      <c r="X273" s="12">
        <v>1.925925925925926</v>
      </c>
      <c r="Y273" s="13">
        <f>(1/R273)/((1/R273)+(1/S273))</f>
        <v>0.24281150159744405</v>
      </c>
      <c r="Z273" s="13">
        <f>(1/J273)/((1/J273)+(1/K273))</f>
        <v>0.30920711694593195</v>
      </c>
      <c r="AA273" s="14">
        <f>1/R273+1/S273-1</f>
        <v>0.04263824117255166</v>
      </c>
      <c r="AB273" s="15">
        <f>O273-I273</f>
        <v>2.0</v>
      </c>
      <c r="AC273" s="15">
        <f>IF(G273="","",G273-O273)</f>
        <v>0.0</v>
      </c>
      <c r="AD273" s="15">
        <f>H273-V273</f>
        <v>0.0</v>
      </c>
      <c r="AE273" s="16">
        <f>IF(F273&gt;E273,1,0)</f>
        <v>0</v>
      </c>
      <c r="AF273" s="16">
        <f>F273+E273</f>
        <v>238</v>
      </c>
      <c r="AG273" s="16">
        <f>IF(Y273=0.5,"",IF((Y273&gt;0.5)=(AE273=1),1,0))</f>
        <v>1</v>
      </c>
      <c r="AH273" s="16">
        <f>IF(Z273=0.5,"",IF((Z273&gt;0.5)=(AE273=1),1,0))</f>
        <v>1</v>
      </c>
      <c r="AI273" s="17" t="str">
        <f>IF(AF273&gt;V273,"Üst",IF(AF273&lt;V273,"Alt","Push"))</f>
        <v>Üst</v>
      </c>
    </row>
    <row r="274" spans="1:35">
      <c r="A274" s="7">
        <v>46120</v>
      </c>
      <c r="B274" s="8" t="s">
        <v>493</v>
      </c>
      <c r="C274" s="8" t="s">
        <v>61</v>
      </c>
      <c r="D274" s="8" t="s">
        <v>87</v>
      </c>
      <c r="E274" s="9">
        <v>107</v>
      </c>
      <c r="F274" s="9">
        <v>112</v>
      </c>
      <c r="G274" s="10">
        <v>-12.5</v>
      </c>
      <c r="H274" s="11">
        <v>234.5</v>
      </c>
      <c r="I274" s="10">
        <v>-10.5</v>
      </c>
      <c r="J274" s="12">
        <v>1.2</v>
      </c>
      <c r="K274" s="12">
        <v>4.8</v>
      </c>
      <c r="L274" s="11">
        <v>230.5</v>
      </c>
      <c r="M274" s="12">
        <v>1.909090909090909</v>
      </c>
      <c r="N274" s="12">
        <v>1.909090909090909</v>
      </c>
      <c r="O274" s="10">
        <v>-12.5</v>
      </c>
      <c r="P274" s="12">
        <v>1.909090909090909</v>
      </c>
      <c r="Q274" s="12">
        <v>1.909090909090909</v>
      </c>
      <c r="R274" s="12">
        <v>1.142857142857143</v>
      </c>
      <c r="S274" s="12">
        <v>6</v>
      </c>
      <c r="T274" s="8" t="s">
        <v>227</v>
      </c>
      <c r="U274" s="8" t="s">
        <v>226</v>
      </c>
      <c r="V274" s="11">
        <v>234.5</v>
      </c>
      <c r="W274" s="12">
        <v>1.952380952380952</v>
      </c>
      <c r="X274" s="12">
        <v>1.869565217391304</v>
      </c>
      <c r="Y274" s="13">
        <f>(1/R274)/((1/R274)+(1/S274))</f>
        <v>0.84</v>
      </c>
      <c r="Z274" s="13">
        <f>(1/J274)/((1/J274)+(1/K274))</f>
        <v>0.7999999999999999</v>
      </c>
      <c r="AA274" s="14">
        <f>1/R274+1/S274-1</f>
        <v>0.04166666666666674</v>
      </c>
      <c r="AB274" s="15">
        <f>O274-I274</f>
        <v>-2.0</v>
      </c>
      <c r="AC274" s="15">
        <f>IF(G274="","",G274-O274)</f>
        <v>0.0</v>
      </c>
      <c r="AD274" s="15">
        <f>H274-V274</f>
        <v>0.0</v>
      </c>
      <c r="AE274" s="16">
        <f>IF(F274&gt;E274,1,0)</f>
        <v>1</v>
      </c>
      <c r="AF274" s="16">
        <f>F274+E274</f>
        <v>219</v>
      </c>
      <c r="AG274" s="16">
        <f>IF(Y274=0.5,"",IF((Y274&gt;0.5)=(AE274=1),1,0))</f>
        <v>1</v>
      </c>
      <c r="AH274" s="16">
        <f>IF(Z274=0.5,"",IF((Z274&gt;0.5)=(AE274=1),1,0))</f>
        <v>1</v>
      </c>
      <c r="AI274" s="17" t="str">
        <f>IF(AF274&gt;V274,"Üst",IF(AF274&lt;V274,"Alt","Push"))</f>
        <v>Alt</v>
      </c>
    </row>
    <row r="275" spans="1:35">
      <c r="A275" s="7">
        <v>46121</v>
      </c>
      <c r="B275" s="8" t="s">
        <v>494</v>
      </c>
      <c r="C275" s="8" t="s">
        <v>69</v>
      </c>
      <c r="D275" s="8" t="s">
        <v>76</v>
      </c>
      <c r="E275" s="9">
        <v>114</v>
      </c>
      <c r="F275" s="9">
        <v>128</v>
      </c>
      <c r="G275" s="10">
        <v>-3.5</v>
      </c>
      <c r="H275" s="11">
        <v>235.5</v>
      </c>
      <c r="I275" s="10">
        <v>-4.5</v>
      </c>
      <c r="J275" s="12">
        <v>1.520833333333333</v>
      </c>
      <c r="K275" s="12">
        <v>2.6</v>
      </c>
      <c r="L275" s="11">
        <v>236.5</v>
      </c>
      <c r="M275" s="12">
        <v>1.909090909090909</v>
      </c>
      <c r="N275" s="12">
        <v>1.909090909090909</v>
      </c>
      <c r="O275" s="10">
        <v>-4.5</v>
      </c>
      <c r="P275" s="12">
        <v>1.952380952380952</v>
      </c>
      <c r="Q275" s="12">
        <v>1.869565217391304</v>
      </c>
      <c r="R275" s="12">
        <v>1.588235294117647</v>
      </c>
      <c r="S275" s="12">
        <v>2.42</v>
      </c>
      <c r="T275" s="8" t="s">
        <v>93</v>
      </c>
      <c r="U275" s="8" t="s">
        <v>94</v>
      </c>
      <c r="V275" s="11">
        <v>236.5</v>
      </c>
      <c r="W275" s="12">
        <v>1.925925925925926</v>
      </c>
      <c r="X275" s="12">
        <v>1.892857142857143</v>
      </c>
      <c r="Y275" s="13">
        <f>(1/R275)/((1/R275)+(1/S275))</f>
        <v>0.6037569709421778</v>
      </c>
      <c r="Z275" s="13">
        <f>(1/J275)/((1/J275)+(1/K275))</f>
        <v>0.6309403437815976</v>
      </c>
      <c r="AA275" s="14">
        <f>1/R275+1/S275-1</f>
        <v>0.042852770125497264</v>
      </c>
      <c r="AB275" s="15">
        <f>O275-I275</f>
        <v>0.0</v>
      </c>
      <c r="AC275" s="15">
        <f>IF(G275="","",G275-O275)</f>
        <v>1.0</v>
      </c>
      <c r="AD275" s="15">
        <f>H275-V275</f>
        <v>-1.0</v>
      </c>
      <c r="AE275" s="16">
        <f>IF(F275&gt;E275,1,0)</f>
        <v>1</v>
      </c>
      <c r="AF275" s="16">
        <f>F275+E275</f>
        <v>242</v>
      </c>
      <c r="AG275" s="16">
        <f>IF(Y275=0.5,"",IF((Y275&gt;0.5)=(AE275=1),1,0))</f>
        <v>1</v>
      </c>
      <c r="AH275" s="16">
        <f>IF(Z275=0.5,"",IF((Z275&gt;0.5)=(AE275=1),1,0))</f>
        <v>1</v>
      </c>
      <c r="AI275" s="17" t="str">
        <f>IF(AF275&gt;V275,"Üst",IF(AF275&lt;V275,"Alt","Push"))</f>
        <v>Üst</v>
      </c>
    </row>
    <row r="276" spans="1:35">
      <c r="A276" s="7">
        <v>46121</v>
      </c>
      <c r="B276" s="8" t="s">
        <v>495</v>
      </c>
      <c r="C276" s="8" t="s">
        <v>86</v>
      </c>
      <c r="D276" s="8" t="s">
        <v>64</v>
      </c>
      <c r="E276" s="9">
        <v>119</v>
      </c>
      <c r="F276" s="9">
        <v>108</v>
      </c>
      <c r="G276" s="10">
        <v>6.5</v>
      </c>
      <c r="H276" s="11">
        <v>249.5</v>
      </c>
      <c r="I276" s="10">
        <v>5.5</v>
      </c>
      <c r="J276" s="12">
        <v>2.8</v>
      </c>
      <c r="K276" s="12">
        <v>1.458715596330275</v>
      </c>
      <c r="L276" s="11">
        <v>244.5</v>
      </c>
      <c r="M276" s="12">
        <v>1.909090909090909</v>
      </c>
      <c r="N276" s="12">
        <v>1.909090909090909</v>
      </c>
      <c r="O276" s="10">
        <v>6.5</v>
      </c>
      <c r="P276" s="12">
        <v>1.980392156862745</v>
      </c>
      <c r="Q276" s="12">
        <v>1.847457627118644</v>
      </c>
      <c r="R276" s="12">
        <v>3.3</v>
      </c>
      <c r="S276" s="12">
        <v>1.350877192982456</v>
      </c>
      <c r="T276" s="8" t="s">
        <v>496</v>
      </c>
      <c r="U276" s="8" t="s">
        <v>497</v>
      </c>
      <c r="V276" s="11">
        <v>249.5</v>
      </c>
      <c r="W276" s="12">
        <v>1.925925925925926</v>
      </c>
      <c r="X276" s="12">
        <v>1.892857142857143</v>
      </c>
      <c r="Y276" s="13">
        <f>(1/R276)/((1/R276)+(1/S276))</f>
        <v>0.2904564315352697</v>
      </c>
      <c r="Z276" s="13">
        <f>(1/J276)/((1/J276)+(1/K276))</f>
        <v>0.3425247738043946</v>
      </c>
      <c r="AA276" s="14">
        <f>1/R276+1/S276-1</f>
        <v>0.04329004329004338</v>
      </c>
      <c r="AB276" s="15">
        <f>O276-I276</f>
        <v>1.0</v>
      </c>
      <c r="AC276" s="15">
        <f>IF(G276="","",G276-O276)</f>
        <v>0.0</v>
      </c>
      <c r="AD276" s="15">
        <f>H276-V276</f>
        <v>0.0</v>
      </c>
      <c r="AE276" s="16">
        <f>IF(F276&gt;E276,1,0)</f>
        <v>0</v>
      </c>
      <c r="AF276" s="16">
        <f>F276+E276</f>
        <v>227</v>
      </c>
      <c r="AG276" s="16">
        <f>IF(Y276=0.5,"",IF((Y276&gt;0.5)=(AE276=1),1,0))</f>
        <v>1</v>
      </c>
      <c r="AH276" s="16">
        <f>IF(Z276=0.5,"",IF((Z276&gt;0.5)=(AE276=1),1,0))</f>
        <v>1</v>
      </c>
      <c r="AI276" s="17" t="str">
        <f>IF(AF276&gt;V276,"Üst",IF(AF276&lt;V276,"Alt","Push"))</f>
        <v>Alt</v>
      </c>
    </row>
    <row r="277" spans="1:35">
      <c r="A277" s="7">
        <v>46121</v>
      </c>
      <c r="B277" s="8" t="s">
        <v>498</v>
      </c>
      <c r="C277" s="8" t="s">
        <v>56</v>
      </c>
      <c r="D277" s="8" t="s">
        <v>68</v>
      </c>
      <c r="E277" s="9">
        <v>123</v>
      </c>
      <c r="F277" s="9">
        <v>94</v>
      </c>
      <c r="G277" s="10">
        <v>3.5</v>
      </c>
      <c r="H277" s="11">
        <v>224.5</v>
      </c>
      <c r="I277" s="10">
        <v>1.5</v>
      </c>
      <c r="J277" s="12">
        <v>2.02</v>
      </c>
      <c r="K277" s="12">
        <v>1.819672131147541</v>
      </c>
      <c r="L277" s="11">
        <v>223.5</v>
      </c>
      <c r="M277" s="12">
        <v>1.909090909090909</v>
      </c>
      <c r="N277" s="12">
        <v>1.909090909090909</v>
      </c>
      <c r="O277" s="10">
        <v>3.5</v>
      </c>
      <c r="P277" s="12">
        <v>1.869565217391304</v>
      </c>
      <c r="Q277" s="12">
        <v>1.952380952380952</v>
      </c>
      <c r="R277" s="12">
        <v>2.36</v>
      </c>
      <c r="S277" s="12">
        <v>1.617283950617284</v>
      </c>
      <c r="T277" s="8" t="s">
        <v>183</v>
      </c>
      <c r="U277" s="8" t="s">
        <v>182</v>
      </c>
      <c r="V277" s="11">
        <v>224.5</v>
      </c>
      <c r="W277" s="12">
        <v>1.909090909090909</v>
      </c>
      <c r="X277" s="12">
        <v>1.909090909090909</v>
      </c>
      <c r="Y277" s="13">
        <f>(1/R277)/((1/R277)+(1/S277))</f>
        <v>0.4066302458405761</v>
      </c>
      <c r="Z277" s="13">
        <f>(1/J277)/((1/J277)+(1/K277))</f>
        <v>0.47391341473828025</v>
      </c>
      <c r="AA277" s="14">
        <f>1/R277+1/S277-1</f>
        <v>0.042049424246344724</v>
      </c>
      <c r="AB277" s="15">
        <f>O277-I277</f>
        <v>2.0</v>
      </c>
      <c r="AC277" s="15">
        <f>IF(G277="","",G277-O277)</f>
        <v>0.0</v>
      </c>
      <c r="AD277" s="15">
        <f>H277-V277</f>
        <v>0.0</v>
      </c>
      <c r="AE277" s="16">
        <f>IF(F277&gt;E277,1,0)</f>
        <v>0</v>
      </c>
      <c r="AF277" s="16">
        <f>F277+E277</f>
        <v>217</v>
      </c>
      <c r="AG277" s="16">
        <f>IF(Y277=0.5,"",IF((Y277&gt;0.5)=(AE277=1),1,0))</f>
        <v>1</v>
      </c>
      <c r="AH277" s="16">
        <f>IF(Z277=0.5,"",IF((Z277&gt;0.5)=(AE277=1),1,0))</f>
        <v>1</v>
      </c>
      <c r="AI277" s="17" t="str">
        <f>IF(AF277&gt;V277,"Üst",IF(AF277&lt;V277,"Alt","Push"))</f>
        <v>Alt</v>
      </c>
    </row>
    <row r="278" spans="1:35">
      <c r="A278" s="7">
        <v>46121</v>
      </c>
      <c r="B278" s="8" t="s">
        <v>499</v>
      </c>
      <c r="C278" s="8" t="s">
        <v>101</v>
      </c>
      <c r="D278" s="8" t="s">
        <v>110</v>
      </c>
      <c r="E278" s="9">
        <v>106</v>
      </c>
      <c r="F278" s="9">
        <v>112</v>
      </c>
      <c r="G278" s="10">
        <v>-3.5</v>
      </c>
      <c r="H278" s="11">
        <v>211.5</v>
      </c>
      <c r="I278" s="10">
        <v>-3.5</v>
      </c>
      <c r="J278" s="12">
        <v>1.645161290322581</v>
      </c>
      <c r="K278" s="12">
        <v>2.3</v>
      </c>
      <c r="L278" s="11">
        <v>217.5</v>
      </c>
      <c r="M278" s="12">
        <v>1.909090909090909</v>
      </c>
      <c r="N278" s="12">
        <v>1.909090909090909</v>
      </c>
      <c r="O278" s="10">
        <v>-3.5</v>
      </c>
      <c r="P278" s="12">
        <v>1.892857142857143</v>
      </c>
      <c r="Q278" s="12">
        <v>1.925925925925926</v>
      </c>
      <c r="R278" s="12">
        <v>1.617283950617284</v>
      </c>
      <c r="S278" s="12">
        <v>2.36</v>
      </c>
      <c r="T278" s="8" t="s">
        <v>182</v>
      </c>
      <c r="U278" s="8" t="s">
        <v>183</v>
      </c>
      <c r="V278" s="11">
        <v>210.5</v>
      </c>
      <c r="W278" s="12">
        <v>1.869565217391304</v>
      </c>
      <c r="X278" s="12">
        <v>1.952380952380952</v>
      </c>
      <c r="Y278" s="13">
        <f>(1/R278)/((1/R278)+(1/S278))</f>
        <v>0.593369754159424</v>
      </c>
      <c r="Z278" s="13">
        <f>(1/J278)/((1/J278)+(1/K278))</f>
        <v>0.5829926410466066</v>
      </c>
      <c r="AA278" s="14">
        <f>1/R278+1/S278-1</f>
        <v>0.042049424246344724</v>
      </c>
      <c r="AB278" s="15">
        <f>O278-I278</f>
        <v>0.0</v>
      </c>
      <c r="AC278" s="15">
        <f>IF(G278="","",G278-O278)</f>
        <v>0.0</v>
      </c>
      <c r="AD278" s="15">
        <f>H278-V278</f>
        <v>1.0</v>
      </c>
      <c r="AE278" s="16">
        <f>IF(F278&gt;E278,1,0)</f>
        <v>1</v>
      </c>
      <c r="AF278" s="16">
        <f>F278+E278</f>
        <v>218</v>
      </c>
      <c r="AG278" s="16">
        <f>IF(Y278=0.5,"",IF((Y278&gt;0.5)=(AE278=1),1,0))</f>
        <v>1</v>
      </c>
      <c r="AH278" s="16">
        <f>IF(Z278=0.5,"",IF((Z278&gt;0.5)=(AE278=1),1,0))</f>
        <v>1</v>
      </c>
      <c r="AI278" s="17" t="str">
        <f>IF(AF278&gt;V278,"Üst",IF(AF278&lt;V278,"Alt","Push"))</f>
        <v>Üst</v>
      </c>
    </row>
    <row r="279" spans="1:35">
      <c r="A279" s="7">
        <v>46121</v>
      </c>
      <c r="B279" s="8" t="s">
        <v>500</v>
      </c>
      <c r="C279" s="8" t="s">
        <v>42</v>
      </c>
      <c r="D279" s="8" t="s">
        <v>74</v>
      </c>
      <c r="E279" s="9">
        <v>102</v>
      </c>
      <c r="F279" s="9">
        <v>113</v>
      </c>
      <c r="G279" s="10">
        <v>-6.5</v>
      </c>
      <c r="H279" s="11">
        <v>227.5</v>
      </c>
      <c r="I279" s="10">
        <v>-3.5</v>
      </c>
      <c r="J279" s="12">
        <v>1.617283950617284</v>
      </c>
      <c r="K279" s="12">
        <v>2.36</v>
      </c>
      <c r="L279" s="11">
        <v>226.5</v>
      </c>
      <c r="M279" s="12">
        <v>1.952380952380952</v>
      </c>
      <c r="N279" s="12">
        <v>1.869565217391304</v>
      </c>
      <c r="O279" s="10">
        <v>-6.5</v>
      </c>
      <c r="P279" s="12">
        <v>1.925925925925926</v>
      </c>
      <c r="Q279" s="12">
        <v>1.892857142857143</v>
      </c>
      <c r="R279" s="12">
        <v>1.387596899224806</v>
      </c>
      <c r="S279" s="12">
        <v>3.1</v>
      </c>
      <c r="T279" s="8" t="s">
        <v>501</v>
      </c>
      <c r="U279" s="8" t="s">
        <v>502</v>
      </c>
      <c r="V279" s="11">
        <v>226.5</v>
      </c>
      <c r="W279" s="12">
        <v>1.925925925925926</v>
      </c>
      <c r="X279" s="12">
        <v>1.892857142857143</v>
      </c>
      <c r="Y279" s="13">
        <f>(1/R279)/((1/R279)+(1/S279))</f>
        <v>0.690792883054068</v>
      </c>
      <c r="Z279" s="13">
        <f>(1/J279)/((1/J279)+(1/K279))</f>
        <v>0.593369754159424</v>
      </c>
      <c r="AA279" s="14">
        <f>1/R279+1/S279-1</f>
        <v>0.043251036222742734</v>
      </c>
      <c r="AB279" s="15">
        <f>O279-I279</f>
        <v>-3.0</v>
      </c>
      <c r="AC279" s="15">
        <f>IF(G279="","",G279-O279)</f>
        <v>0.0</v>
      </c>
      <c r="AD279" s="15">
        <f>H279-V279</f>
        <v>1.0</v>
      </c>
      <c r="AE279" s="16">
        <f>IF(F279&gt;E279,1,0)</f>
        <v>1</v>
      </c>
      <c r="AF279" s="16">
        <f>F279+E279</f>
        <v>215</v>
      </c>
      <c r="AG279" s="16">
        <f>IF(Y279=0.5,"",IF((Y279&gt;0.5)=(AE279=1),1,0))</f>
        <v>1</v>
      </c>
      <c r="AH279" s="16">
        <f>IF(Z279=0.5,"",IF((Z279&gt;0.5)=(AE279=1),1,0))</f>
        <v>1</v>
      </c>
      <c r="AI279" s="17" t="str">
        <f>IF(AF279&gt;V279,"Üst",IF(AF279&lt;V279,"Alt","Push"))</f>
        <v>Alt</v>
      </c>
    </row>
    <row r="280" spans="1:35">
      <c r="A280" s="7">
        <v>46121</v>
      </c>
      <c r="B280" s="8" t="s">
        <v>503</v>
      </c>
      <c r="C280" s="8" t="s">
        <v>91</v>
      </c>
      <c r="D280" s="8" t="s">
        <v>73</v>
      </c>
      <c r="E280" s="9">
        <v>119</v>
      </c>
      <c r="F280" s="9">
        <v>103</v>
      </c>
      <c r="G280" s="10">
        <v>-1.5</v>
      </c>
      <c r="H280" s="11">
        <v>221.5</v>
      </c>
      <c r="I280" s="10">
        <v>-5.5</v>
      </c>
      <c r="J280" s="12">
        <v>1.48780487804878</v>
      </c>
      <c r="K280" s="12">
        <v>2.7</v>
      </c>
      <c r="L280" s="11">
        <v>225.5</v>
      </c>
      <c r="M280" s="12">
        <v>1.909090909090909</v>
      </c>
      <c r="N280" s="12">
        <v>1.909090909090909</v>
      </c>
      <c r="O280" s="10">
        <v>-1.5</v>
      </c>
      <c r="P280" s="12">
        <v>1.925925925925926</v>
      </c>
      <c r="Q280" s="12">
        <v>1.892857142857143</v>
      </c>
      <c r="R280" s="12">
        <v>1.847457627118644</v>
      </c>
      <c r="S280" s="12">
        <v>1.980392156862745</v>
      </c>
      <c r="T280" s="8" t="s">
        <v>271</v>
      </c>
      <c r="U280" s="8" t="s">
        <v>270</v>
      </c>
      <c r="V280" s="11">
        <v>222.5</v>
      </c>
      <c r="W280" s="12">
        <v>1.925925925925926</v>
      </c>
      <c r="X280" s="12">
        <v>1.892857142857143</v>
      </c>
      <c r="Y280" s="13">
        <f>(1/R280)/((1/R280)+(1/S280))</f>
        <v>0.5173641257162701</v>
      </c>
      <c r="Z280" s="13">
        <f>(1/J280)/((1/J280)+(1/K280))</f>
        <v>0.644729178800233</v>
      </c>
      <c r="AA280" s="14">
        <f>1/R280+1/S280-1</f>
        <v>0.04623489871922981</v>
      </c>
      <c r="AB280" s="15">
        <f>O280-I280</f>
        <v>4.0</v>
      </c>
      <c r="AC280" s="15">
        <f>IF(G280="","",G280-O280)</f>
        <v>0.0</v>
      </c>
      <c r="AD280" s="15">
        <f>H280-V280</f>
        <v>-1.0</v>
      </c>
      <c r="AE280" s="16">
        <f>IF(F280&gt;E280,1,0)</f>
        <v>0</v>
      </c>
      <c r="AF280" s="16">
        <f>F280+E280</f>
        <v>222</v>
      </c>
      <c r="AG280" s="16">
        <f>IF(Y280=0.5,"",IF((Y280&gt;0.5)=(AE280=1),1,0))</f>
        <v>0</v>
      </c>
      <c r="AH280" s="16">
        <f>IF(Z280=0.5,"",IF((Z280&gt;0.5)=(AE280=1),1,0))</f>
        <v>0</v>
      </c>
      <c r="AI280" s="17" t="str">
        <f>IF(AF280&gt;V280,"Üst",IF(AF280&lt;V280,"Alt","Push"))</f>
        <v>Alt</v>
      </c>
    </row>
    <row r="281" spans="1:35">
      <c r="A281" s="7">
        <v>46122</v>
      </c>
      <c r="B281" s="8" t="s">
        <v>504</v>
      </c>
      <c r="C281" s="8" t="s">
        <v>81</v>
      </c>
      <c r="D281" s="8" t="s">
        <v>105</v>
      </c>
      <c r="E281" s="9">
        <v>118</v>
      </c>
      <c r="F281" s="9">
        <v>100</v>
      </c>
      <c r="G281" s="10">
        <v>-6.5</v>
      </c>
      <c r="H281" s="11">
        <v>225.5</v>
      </c>
      <c r="I281" s="10">
        <v>-2.5</v>
      </c>
      <c r="J281" s="12">
        <v>1.740740740740741</v>
      </c>
      <c r="K281" s="12">
        <v>2.14</v>
      </c>
      <c r="L281" s="11">
        <v>222.5</v>
      </c>
      <c r="M281" s="12">
        <v>1.909090909090909</v>
      </c>
      <c r="N281" s="12">
        <v>1.909090909090909</v>
      </c>
      <c r="O281" s="10">
        <v>-6.5</v>
      </c>
      <c r="P281" s="12">
        <v>1.952380952380952</v>
      </c>
      <c r="Q281" s="12">
        <v>1.869565217391304</v>
      </c>
      <c r="R281" s="12">
        <v>1.458715596330275</v>
      </c>
      <c r="S281" s="12">
        <v>2.8</v>
      </c>
      <c r="T281" s="8" t="s">
        <v>78</v>
      </c>
      <c r="U281" s="8" t="s">
        <v>79</v>
      </c>
      <c r="V281" s="11">
        <v>225.5</v>
      </c>
      <c r="W281" s="12">
        <v>1.892857142857143</v>
      </c>
      <c r="X281" s="12">
        <v>1.925925925925926</v>
      </c>
      <c r="Y281" s="13">
        <f>(1/R281)/((1/R281)+(1/S281))</f>
        <v>0.6574752261956053</v>
      </c>
      <c r="Z281" s="13">
        <f>(1/J281)/((1/J281)+(1/K281))</f>
        <v>0.551441114716549</v>
      </c>
      <c r="AA281" s="14">
        <f>1/R281+1/S281-1</f>
        <v>0.04267744833782583</v>
      </c>
      <c r="AB281" s="15">
        <f>O281-I281</f>
        <v>-4.0</v>
      </c>
      <c r="AC281" s="15">
        <f>IF(G281="","",G281-O281)</f>
        <v>0.0</v>
      </c>
      <c r="AD281" s="15">
        <f>H281-V281</f>
        <v>0.0</v>
      </c>
      <c r="AE281" s="16">
        <f>IF(F281&gt;E281,1,0)</f>
        <v>0</v>
      </c>
      <c r="AF281" s="16">
        <f>F281+E281</f>
        <v>218</v>
      </c>
      <c r="AG281" s="16">
        <f>IF(Y281=0.5,"",IF((Y281&gt;0.5)=(AE281=1),1,0))</f>
        <v>0</v>
      </c>
      <c r="AH281" s="16">
        <f>IF(Z281=0.5,"",IF((Z281&gt;0.5)=(AE281=1),1,0))</f>
        <v>0</v>
      </c>
      <c r="AI281" s="17" t="str">
        <f>IF(AF281&gt;V281,"Üst",IF(AF281&lt;V281,"Alt","Push"))</f>
        <v>Alt</v>
      </c>
    </row>
    <row r="282" spans="1:35">
      <c r="A282" s="7">
        <v>46122</v>
      </c>
      <c r="B282" s="8" t="s">
        <v>505</v>
      </c>
      <c r="C282" s="8" t="s">
        <v>69</v>
      </c>
      <c r="D282" s="8" t="s">
        <v>64</v>
      </c>
      <c r="E282" s="9">
        <v>140</v>
      </c>
      <c r="F282" s="9">
        <v>117</v>
      </c>
      <c r="G282" s="10">
        <v>15.5</v>
      </c>
      <c r="H282" s="11">
        <v>243.5</v>
      </c>
      <c r="I282" s="10">
        <v>17.5</v>
      </c>
      <c r="J282" s="12">
        <v>11</v>
      </c>
      <c r="K282" s="12">
        <v>1.055555555555556</v>
      </c>
      <c r="L282" s="11">
        <v>249.5</v>
      </c>
      <c r="M282" s="12">
        <v>1.909090909090909</v>
      </c>
      <c r="N282" s="12">
        <v>1.909090909090909</v>
      </c>
      <c r="O282" s="10">
        <v>15.5</v>
      </c>
      <c r="P282" s="12">
        <v>1.952380952380952</v>
      </c>
      <c r="Q282" s="12">
        <v>1.869565217391304</v>
      </c>
      <c r="R282" s="12">
        <v>10</v>
      </c>
      <c r="S282" s="12">
        <v>1.0625</v>
      </c>
      <c r="T282" s="8" t="s">
        <v>219</v>
      </c>
      <c r="U282" s="8" t="s">
        <v>218</v>
      </c>
      <c r="V282" s="11">
        <v>243.5</v>
      </c>
      <c r="W282" s="12">
        <v>1.869565217391304</v>
      </c>
      <c r="X282" s="12">
        <v>1.952380952380952</v>
      </c>
      <c r="Y282" s="13">
        <f>(1/R282)/((1/R282)+(1/S282))</f>
        <v>0.096045197740113</v>
      </c>
      <c r="Z282" s="13">
        <f>(1/J282)/((1/J282)+(1/K282))</f>
        <v>0.08755760368663595</v>
      </c>
      <c r="AA282" s="14">
        <f>1/R282+1/S282-1</f>
        <v>0.04117647058823537</v>
      </c>
      <c r="AB282" s="15">
        <f>O282-I282</f>
        <v>-2.0</v>
      </c>
      <c r="AC282" s="15">
        <f>IF(G282="","",G282-O282)</f>
        <v>0.0</v>
      </c>
      <c r="AD282" s="15">
        <f>H282-V282</f>
        <v>0.0</v>
      </c>
      <c r="AE282" s="16">
        <f>IF(F282&gt;E282,1,0)</f>
        <v>0</v>
      </c>
      <c r="AF282" s="16">
        <f>F282+E282</f>
        <v>257</v>
      </c>
      <c r="AG282" s="16">
        <f>IF(Y282=0.5,"",IF((Y282&gt;0.5)=(AE282=1),1,0))</f>
        <v>1</v>
      </c>
      <c r="AH282" s="16">
        <f>IF(Z282=0.5,"",IF((Z282&gt;0.5)=(AE282=1),1,0))</f>
        <v>1</v>
      </c>
      <c r="AI282" s="17" t="str">
        <f>IF(AF282&gt;V282,"Üst",IF(AF282&lt;V282,"Alt","Push"))</f>
        <v>Üst</v>
      </c>
    </row>
    <row r="283" spans="1:35">
      <c r="A283" s="7">
        <v>46122</v>
      </c>
      <c r="B283" s="8" t="s">
        <v>506</v>
      </c>
      <c r="C283" s="8" t="s">
        <v>134</v>
      </c>
      <c r="D283" s="8" t="s">
        <v>51</v>
      </c>
      <c r="E283" s="9">
        <v>102</v>
      </c>
      <c r="F283" s="9">
        <v>124</v>
      </c>
      <c r="G283" s="10">
        <v>-8.5</v>
      </c>
      <c r="H283" s="11">
        <v>232.5</v>
      </c>
      <c r="I283" s="10">
        <v>-6.5</v>
      </c>
      <c r="J283" s="12">
        <v>1.408163265306122</v>
      </c>
      <c r="K283" s="12">
        <v>3</v>
      </c>
      <c r="L283" s="11">
        <v>234.5</v>
      </c>
      <c r="M283" s="12">
        <v>1.909090909090909</v>
      </c>
      <c r="N283" s="12">
        <v>1.909090909090909</v>
      </c>
      <c r="O283" s="10">
        <v>-8.5</v>
      </c>
      <c r="P283" s="12">
        <v>1.952380952380952</v>
      </c>
      <c r="Q283" s="12">
        <v>1.869565217391304</v>
      </c>
      <c r="R283" s="12">
        <v>1.28169014084507</v>
      </c>
      <c r="S283" s="12">
        <v>3.8</v>
      </c>
      <c r="T283" s="8" t="s">
        <v>365</v>
      </c>
      <c r="U283" s="8" t="s">
        <v>366</v>
      </c>
      <c r="V283" s="11">
        <v>233.5</v>
      </c>
      <c r="W283" s="12">
        <v>1.952380952380952</v>
      </c>
      <c r="X283" s="12">
        <v>1.869565217391304</v>
      </c>
      <c r="Y283" s="13">
        <f>(1/R283)/((1/R283)+(1/S283))</f>
        <v>0.7477827050997783</v>
      </c>
      <c r="Z283" s="13">
        <f>(1/J283)/((1/J283)+(1/K283))</f>
        <v>0.6805555555555556</v>
      </c>
      <c r="AA283" s="14">
        <f>1/R283+1/S283-1</f>
        <v>0.04337767495662237</v>
      </c>
      <c r="AB283" s="15">
        <f>O283-I283</f>
        <v>-2.0</v>
      </c>
      <c r="AC283" s="15">
        <f>IF(G283="","",G283-O283)</f>
        <v>0.0</v>
      </c>
      <c r="AD283" s="15">
        <f>H283-V283</f>
        <v>-1.0</v>
      </c>
      <c r="AE283" s="16">
        <f>IF(F283&gt;E283,1,0)</f>
        <v>1</v>
      </c>
      <c r="AF283" s="16">
        <f>F283+E283</f>
        <v>226</v>
      </c>
      <c r="AG283" s="16">
        <f>IF(Y283=0.5,"",IF((Y283&gt;0.5)=(AE283=1),1,0))</f>
        <v>1</v>
      </c>
      <c r="AH283" s="16">
        <f>IF(Z283=0.5,"",IF((Z283&gt;0.5)=(AE283=1),1,0))</f>
        <v>1</v>
      </c>
      <c r="AI283" s="17" t="str">
        <f>IF(AF283&gt;V283,"Üst",IF(AF283&lt;V283,"Alt","Push"))</f>
        <v>Alt</v>
      </c>
    </row>
    <row r="284" spans="1:35">
      <c r="A284" s="7">
        <v>46122</v>
      </c>
      <c r="B284" s="8" t="s">
        <v>507</v>
      </c>
      <c r="C284" s="8" t="s">
        <v>96</v>
      </c>
      <c r="D284" s="8" t="s">
        <v>101</v>
      </c>
      <c r="E284" s="9">
        <v>118</v>
      </c>
      <c r="F284" s="9">
        <v>144</v>
      </c>
      <c r="G284" s="10">
        <v>-18.5</v>
      </c>
      <c r="H284" s="11">
        <v>227.5</v>
      </c>
      <c r="I284" s="10">
        <v>-16.5</v>
      </c>
      <c r="J284" s="12">
        <v>1.074074074074074</v>
      </c>
      <c r="K284" s="12">
        <v>9</v>
      </c>
      <c r="L284" s="11">
        <v>224.5</v>
      </c>
      <c r="M284" s="12">
        <v>1.909090909090909</v>
      </c>
      <c r="N284" s="12">
        <v>1.909090909090909</v>
      </c>
      <c r="O284" s="10">
        <v>-18.5</v>
      </c>
      <c r="P284" s="12">
        <v>1.952380952380952</v>
      </c>
      <c r="Q284" s="12">
        <v>1.869565217391304</v>
      </c>
      <c r="R284" s="12">
        <v>1.047619047619048</v>
      </c>
      <c r="S284" s="12">
        <v>12</v>
      </c>
      <c r="T284" s="8" t="s">
        <v>279</v>
      </c>
      <c r="U284" s="8" t="s">
        <v>278</v>
      </c>
      <c r="V284" s="11">
        <v>227.5</v>
      </c>
      <c r="W284" s="12">
        <v>1.925925925925926</v>
      </c>
      <c r="X284" s="12">
        <v>1.892857142857143</v>
      </c>
      <c r="Y284" s="13">
        <f>(1/R284)/((1/R284)+(1/S284))</f>
        <v>0.9197080291970803</v>
      </c>
      <c r="Z284" s="13">
        <f>(1/J284)/((1/J284)+(1/K284))</f>
        <v>0.8933823529411764</v>
      </c>
      <c r="AA284" s="14">
        <f>1/R284+1/S284-1</f>
        <v>0.037878787878787845</v>
      </c>
      <c r="AB284" s="15">
        <f>O284-I284</f>
        <v>-2.0</v>
      </c>
      <c r="AC284" s="15">
        <f>IF(G284="","",G284-O284)</f>
        <v>0.0</v>
      </c>
      <c r="AD284" s="15">
        <f>H284-V284</f>
        <v>0.0</v>
      </c>
      <c r="AE284" s="16">
        <f>IF(F284&gt;E284,1,0)</f>
        <v>1</v>
      </c>
      <c r="AF284" s="16">
        <f>F284+E284</f>
        <v>262</v>
      </c>
      <c r="AG284" s="16">
        <f>IF(Y284=0.5,"",IF((Y284&gt;0.5)=(AE284=1),1,0))</f>
        <v>1</v>
      </c>
      <c r="AH284" s="16">
        <f>IF(Z284=0.5,"",IF((Z284&gt;0.5)=(AE284=1),1,0))</f>
        <v>1</v>
      </c>
      <c r="AI284" s="17" t="str">
        <f>IF(AF284&gt;V284,"Üst",IF(AF284&lt;V284,"Alt","Push"))</f>
        <v>Üst</v>
      </c>
    </row>
    <row r="285" spans="1:35">
      <c r="A285" s="7">
        <v>46122</v>
      </c>
      <c r="B285" s="8" t="s">
        <v>508</v>
      </c>
      <c r="C285" s="8" t="s">
        <v>42</v>
      </c>
      <c r="D285" s="8" t="s">
        <v>56</v>
      </c>
      <c r="E285" s="9">
        <v>105</v>
      </c>
      <c r="F285" s="9">
        <v>94</v>
      </c>
      <c r="G285" s="10">
        <v>14.5</v>
      </c>
      <c r="H285" s="11">
        <v>234.5</v>
      </c>
      <c r="I285" s="10">
        <v>14.5</v>
      </c>
      <c r="J285" s="12">
        <v>8</v>
      </c>
      <c r="K285" s="12">
        <v>1.090909090909091</v>
      </c>
      <c r="L285" s="11">
        <v>234.5</v>
      </c>
      <c r="M285" s="12">
        <v>1.909090909090909</v>
      </c>
      <c r="N285" s="12">
        <v>1.909090909090909</v>
      </c>
      <c r="O285" s="10">
        <v>14.5</v>
      </c>
      <c r="P285" s="12">
        <v>1.952380952380952</v>
      </c>
      <c r="Q285" s="12">
        <v>1.869565217391304</v>
      </c>
      <c r="R285" s="12">
        <v>8</v>
      </c>
      <c r="S285" s="12">
        <v>1.090909090909091</v>
      </c>
      <c r="T285" s="8" t="s">
        <v>173</v>
      </c>
      <c r="U285" s="8" t="s">
        <v>174</v>
      </c>
      <c r="V285" s="11">
        <v>234.5</v>
      </c>
      <c r="W285" s="12">
        <v>1.892857142857143</v>
      </c>
      <c r="X285" s="12">
        <v>1.925925925925926</v>
      </c>
      <c r="Y285" s="13">
        <f>(1/R285)/((1/R285)+(1/S285))</f>
        <v>0.12</v>
      </c>
      <c r="Z285" s="13">
        <f>(1/J285)/((1/J285)+(1/K285))</f>
        <v>0.12</v>
      </c>
      <c r="AA285" s="14">
        <f>1/R285+1/S285-1</f>
        <v>0.04166666666666674</v>
      </c>
      <c r="AB285" s="15">
        <f>O285-I285</f>
        <v>0.0</v>
      </c>
      <c r="AC285" s="15">
        <f>IF(G285="","",G285-O285)</f>
        <v>0.0</v>
      </c>
      <c r="AD285" s="15">
        <f>H285-V285</f>
        <v>0.0</v>
      </c>
      <c r="AE285" s="16">
        <f>IF(F285&gt;E285,1,0)</f>
        <v>0</v>
      </c>
      <c r="AF285" s="16">
        <f>F285+E285</f>
        <v>199</v>
      </c>
      <c r="AG285" s="16">
        <f>IF(Y285=0.5,"",IF((Y285&gt;0.5)=(AE285=1),1,0))</f>
        <v>1</v>
      </c>
      <c r="AH285" s="16">
        <f>IF(Z285=0.5,"",IF((Z285&gt;0.5)=(AE285=1),1,0))</f>
        <v>1</v>
      </c>
      <c r="AI285" s="17" t="str">
        <f>IF(AF285&gt;V285,"Üst",IF(AF285&lt;V285,"Alt","Push"))</f>
        <v>Alt</v>
      </c>
    </row>
    <row r="286" spans="1:35">
      <c r="A286" s="7">
        <v>46122</v>
      </c>
      <c r="B286" s="8" t="s">
        <v>509</v>
      </c>
      <c r="C286" s="8" t="s">
        <v>76</v>
      </c>
      <c r="D286" s="8" t="s">
        <v>110</v>
      </c>
      <c r="E286" s="9">
        <v>95</v>
      </c>
      <c r="F286" s="9">
        <v>112</v>
      </c>
      <c r="G286" s="10">
        <v>-6.5</v>
      </c>
      <c r="H286" s="11">
        <v>218.5</v>
      </c>
      <c r="I286" s="10">
        <v>-5.5</v>
      </c>
      <c r="J286" s="12">
        <v>1.505050505050505</v>
      </c>
      <c r="K286" s="12">
        <v>2.64</v>
      </c>
      <c r="L286" s="11">
        <v>219.5</v>
      </c>
      <c r="M286" s="12">
        <v>1.909090909090909</v>
      </c>
      <c r="N286" s="12">
        <v>1.909090909090909</v>
      </c>
      <c r="O286" s="10">
        <v>-6.5</v>
      </c>
      <c r="P286" s="12">
        <v>1.925925925925926</v>
      </c>
      <c r="Q286" s="12">
        <v>1.892857142857143</v>
      </c>
      <c r="R286" s="12">
        <v>1.37037037037037</v>
      </c>
      <c r="S286" s="12">
        <v>3.2</v>
      </c>
      <c r="T286" s="8" t="s">
        <v>320</v>
      </c>
      <c r="U286" s="8" t="s">
        <v>321</v>
      </c>
      <c r="V286" s="11">
        <v>218.5</v>
      </c>
      <c r="W286" s="12">
        <v>1.892857142857143</v>
      </c>
      <c r="X286" s="12">
        <v>1.925925925925926</v>
      </c>
      <c r="Y286" s="13">
        <f>(1/R286)/((1/R286)+(1/S286))</f>
        <v>0.700162074554295</v>
      </c>
      <c r="Z286" s="13">
        <f>(1/J286)/((1/J286)+(1/K286))</f>
        <v>0.6369041816941222</v>
      </c>
      <c r="AA286" s="14">
        <f>1/R286+1/S286-1</f>
        <v>0.042229729729729826</v>
      </c>
      <c r="AB286" s="15">
        <f>O286-I286</f>
        <v>-1.0</v>
      </c>
      <c r="AC286" s="15">
        <f>IF(G286="","",G286-O286)</f>
        <v>0.0</v>
      </c>
      <c r="AD286" s="15">
        <f>H286-V286</f>
        <v>0.0</v>
      </c>
      <c r="AE286" s="16">
        <f>IF(F286&gt;E286,1,0)</f>
        <v>1</v>
      </c>
      <c r="AF286" s="16">
        <f>F286+E286</f>
        <v>207</v>
      </c>
      <c r="AG286" s="16">
        <f>IF(Y286=0.5,"",IF((Y286&gt;0.5)=(AE286=1),1,0))</f>
        <v>1</v>
      </c>
      <c r="AH286" s="16">
        <f>IF(Z286=0.5,"",IF((Z286&gt;0.5)=(AE286=1),1,0))</f>
        <v>1</v>
      </c>
      <c r="AI286" s="17" t="str">
        <f>IF(AF286&gt;V286,"Üst",IF(AF286&lt;V286,"Alt","Push"))</f>
        <v>Alt</v>
      </c>
    </row>
    <row r="287" spans="1:35">
      <c r="A287" s="7">
        <v>46122</v>
      </c>
      <c r="B287" s="8" t="s">
        <v>510</v>
      </c>
      <c r="C287" s="8" t="s">
        <v>62</v>
      </c>
      <c r="D287" s="8" t="s">
        <v>86</v>
      </c>
      <c r="E287" s="9">
        <v>127</v>
      </c>
      <c r="F287" s="9">
        <v>103</v>
      </c>
      <c r="G287" s="10">
        <v>15.5</v>
      </c>
      <c r="H287" s="11">
        <v>246.5</v>
      </c>
      <c r="I287" s="10">
        <v>14.5</v>
      </c>
      <c r="J287" s="12">
        <v>7.75</v>
      </c>
      <c r="K287" s="12">
        <v>1.095238095238095</v>
      </c>
      <c r="L287" s="11">
        <v>241.5</v>
      </c>
      <c r="M287" s="12">
        <v>1.909090909090909</v>
      </c>
      <c r="N287" s="12">
        <v>1.909090909090909</v>
      </c>
      <c r="O287" s="10">
        <v>16.5</v>
      </c>
      <c r="P287" s="12">
        <v>1.869565217391304</v>
      </c>
      <c r="Q287" s="12">
        <v>1.952380952380952</v>
      </c>
      <c r="R287" s="12">
        <v>9</v>
      </c>
      <c r="S287" s="12">
        <v>1.074074074074074</v>
      </c>
      <c r="T287" s="8" t="s">
        <v>316</v>
      </c>
      <c r="U287" s="8" t="s">
        <v>317</v>
      </c>
      <c r="V287" s="11">
        <v>246.5</v>
      </c>
      <c r="W287" s="12">
        <v>1.892857142857143</v>
      </c>
      <c r="X287" s="12">
        <v>1.925925925925926</v>
      </c>
      <c r="Y287" s="13">
        <f>(1/R287)/((1/R287)+(1/S287))</f>
        <v>0.10661764705882351</v>
      </c>
      <c r="Z287" s="13">
        <f>(1/J287)/((1/J287)+(1/K287))</f>
        <v>0.12382234185733514</v>
      </c>
      <c r="AA287" s="14">
        <f>1/R287+1/S287-1</f>
        <v>0.042145593869731934</v>
      </c>
      <c r="AB287" s="15">
        <f>O287-I287</f>
        <v>2.0</v>
      </c>
      <c r="AC287" s="15">
        <f>IF(G287="","",G287-O287)</f>
        <v>-1.0</v>
      </c>
      <c r="AD287" s="15">
        <f>H287-V287</f>
        <v>0.0</v>
      </c>
      <c r="AE287" s="16">
        <f>IF(F287&gt;E287,1,0)</f>
        <v>0</v>
      </c>
      <c r="AF287" s="16">
        <f>F287+E287</f>
        <v>230</v>
      </c>
      <c r="AG287" s="16">
        <f>IF(Y287=0.5,"",IF((Y287&gt;0.5)=(AE287=1),1,0))</f>
        <v>1</v>
      </c>
      <c r="AH287" s="16">
        <f>IF(Z287=0.5,"",IF((Z287&gt;0.5)=(AE287=1),1,0))</f>
        <v>1</v>
      </c>
      <c r="AI287" s="17" t="str">
        <f>IF(AF287&gt;V287,"Üst",IF(AF287&lt;V287,"Alt","Push"))</f>
        <v>Alt</v>
      </c>
    </row>
    <row r="288" spans="1:35">
      <c r="A288" s="7">
        <v>46122</v>
      </c>
      <c r="B288" s="8" t="s">
        <v>511</v>
      </c>
      <c r="C288" s="8" t="s">
        <v>77</v>
      </c>
      <c r="D288" s="8" t="s">
        <v>74</v>
      </c>
      <c r="E288" s="9">
        <v>136</v>
      </c>
      <c r="F288" s="9">
        <v>132</v>
      </c>
      <c r="G288" s="10">
        <v>-9.5</v>
      </c>
      <c r="H288" s="11">
        <v>227.5</v>
      </c>
      <c r="I288" s="10">
        <v>-9.5</v>
      </c>
      <c r="J288" s="12">
        <v>1.266666666666667</v>
      </c>
      <c r="K288" s="12">
        <v>3.95</v>
      </c>
      <c r="L288" s="11">
        <v>218.5</v>
      </c>
      <c r="M288" s="12">
        <v>1.909090909090909</v>
      </c>
      <c r="N288" s="12">
        <v>1.909090909090909</v>
      </c>
      <c r="O288" s="10">
        <v>-9.5</v>
      </c>
      <c r="P288" s="12">
        <v>1.892857142857143</v>
      </c>
      <c r="Q288" s="12">
        <v>1.925925925925926</v>
      </c>
      <c r="R288" s="12">
        <v>1.206185567010309</v>
      </c>
      <c r="S288" s="12">
        <v>4.7</v>
      </c>
      <c r="T288" s="8" t="s">
        <v>303</v>
      </c>
      <c r="U288" s="8" t="s">
        <v>302</v>
      </c>
      <c r="V288" s="11">
        <v>227.5</v>
      </c>
      <c r="W288" s="12">
        <v>1.892857142857143</v>
      </c>
      <c r="X288" s="12">
        <v>1.925925925925926</v>
      </c>
      <c r="Y288" s="13">
        <f>(1/R288)/((1/R288)+(1/S288))</f>
        <v>0.7957758771164253</v>
      </c>
      <c r="Z288" s="13">
        <f>(1/J288)/((1/J288)+(1/K288))</f>
        <v>0.7571884984025559</v>
      </c>
      <c r="AA288" s="14">
        <f>1/R288+1/S288-1</f>
        <v>0.0418257865066376</v>
      </c>
      <c r="AB288" s="15">
        <f>O288-I288</f>
        <v>0.0</v>
      </c>
      <c r="AC288" s="15">
        <f>IF(G288="","",G288-O288)</f>
        <v>0.0</v>
      </c>
      <c r="AD288" s="15">
        <f>H288-V288</f>
        <v>0.0</v>
      </c>
      <c r="AE288" s="16">
        <f>IF(F288&gt;E288,1,0)</f>
        <v>0</v>
      </c>
      <c r="AF288" s="16">
        <f>F288+E288</f>
        <v>268</v>
      </c>
      <c r="AG288" s="16">
        <f>IF(Y288=0.5,"",IF((Y288&gt;0.5)=(AE288=1),1,0))</f>
        <v>0</v>
      </c>
      <c r="AH288" s="16">
        <f>IF(Z288=0.5,"",IF((Z288&gt;0.5)=(AE288=1),1,0))</f>
        <v>0</v>
      </c>
      <c r="AI288" s="17" t="str">
        <f>IF(AF288&gt;V288,"Üst",IF(AF288&lt;V288,"Alt","Push"))</f>
        <v>Üst</v>
      </c>
    </row>
    <row r="289" spans="1:35">
      <c r="A289" s="7">
        <v>46122</v>
      </c>
      <c r="B289" s="8" t="s">
        <v>512</v>
      </c>
      <c r="C289" s="8" t="s">
        <v>68</v>
      </c>
      <c r="D289" s="8" t="s">
        <v>52</v>
      </c>
      <c r="E289" s="9">
        <v>108</v>
      </c>
      <c r="F289" s="9">
        <v>125</v>
      </c>
      <c r="G289" s="10">
        <v>-10.5</v>
      </c>
      <c r="H289" s="11">
        <v>218.5</v>
      </c>
      <c r="I289" s="10">
        <v>-8.5</v>
      </c>
      <c r="J289" s="12">
        <v>1.277777777777778</v>
      </c>
      <c r="K289" s="12">
        <v>3.85</v>
      </c>
      <c r="L289" s="11">
        <v>220.5</v>
      </c>
      <c r="M289" s="12">
        <v>1.909090909090909</v>
      </c>
      <c r="N289" s="12">
        <v>1.909090909090909</v>
      </c>
      <c r="O289" s="10">
        <v>-10.5</v>
      </c>
      <c r="P289" s="12">
        <v>1.980392156862745</v>
      </c>
      <c r="Q289" s="12">
        <v>1.847457627118644</v>
      </c>
      <c r="R289" s="12">
        <v>1.2</v>
      </c>
      <c r="S289" s="12">
        <v>4.8</v>
      </c>
      <c r="T289" s="8" t="s">
        <v>235</v>
      </c>
      <c r="U289" s="8" t="s">
        <v>236</v>
      </c>
      <c r="V289" s="11">
        <v>218.5</v>
      </c>
      <c r="W289" s="12">
        <v>1.952380952380952</v>
      </c>
      <c r="X289" s="12">
        <v>1.869565217391304</v>
      </c>
      <c r="Y289" s="13">
        <f>(1/R289)/((1/R289)+(1/S289))</f>
        <v>0.7999999999999999</v>
      </c>
      <c r="Z289" s="13">
        <f>(1/J289)/((1/J289)+(1/K289))</f>
        <v>0.7508125677139762</v>
      </c>
      <c r="AA289" s="14">
        <f>1/R289+1/S289-1</f>
        <v>0.04166666666666674</v>
      </c>
      <c r="AB289" s="15">
        <f>O289-I289</f>
        <v>-2.0</v>
      </c>
      <c r="AC289" s="15">
        <f>IF(G289="","",G289-O289)</f>
        <v>0.0</v>
      </c>
      <c r="AD289" s="15">
        <f>H289-V289</f>
        <v>0.0</v>
      </c>
      <c r="AE289" s="16">
        <f>IF(F289&gt;E289,1,0)</f>
        <v>1</v>
      </c>
      <c r="AF289" s="16">
        <f>F289+E289</f>
        <v>233</v>
      </c>
      <c r="AG289" s="16">
        <f>IF(Y289=0.5,"",IF((Y289&gt;0.5)=(AE289=1),1,0))</f>
        <v>1</v>
      </c>
      <c r="AH289" s="16">
        <f>IF(Z289=0.5,"",IF((Z289&gt;0.5)=(AE289=1),1,0))</f>
        <v>1</v>
      </c>
      <c r="AI289" s="17" t="str">
        <f>IF(AF289&gt;V289,"Üst",IF(AF289&lt;V289,"Alt","Push"))</f>
        <v>Üst</v>
      </c>
    </row>
    <row r="290" spans="1:35">
      <c r="A290" s="7">
        <v>46122</v>
      </c>
      <c r="B290" s="8" t="s">
        <v>513</v>
      </c>
      <c r="C290" s="8" t="s">
        <v>61</v>
      </c>
      <c r="D290" s="8" t="s">
        <v>82</v>
      </c>
      <c r="E290" s="9">
        <v>120</v>
      </c>
      <c r="F290" s="9">
        <v>139</v>
      </c>
      <c r="G290" s="10">
        <v>-18.5</v>
      </c>
      <c r="H290" s="11">
        <v>236.5</v>
      </c>
      <c r="I290" s="10">
        <v>-16.5</v>
      </c>
      <c r="J290" s="12">
        <v>1.068965517241379</v>
      </c>
      <c r="K290" s="12">
        <v>9.5</v>
      </c>
      <c r="L290" s="11">
        <v>235.5</v>
      </c>
      <c r="M290" s="12">
        <v>1.909090909090909</v>
      </c>
      <c r="N290" s="12">
        <v>1.909090909090909</v>
      </c>
      <c r="O290" s="10">
        <v>-18.5</v>
      </c>
      <c r="P290" s="12">
        <v>1.952380952380952</v>
      </c>
      <c r="Q290" s="12">
        <v>1.869565217391304</v>
      </c>
      <c r="R290" s="12">
        <v>1.047619047619048</v>
      </c>
      <c r="S290" s="12">
        <v>12</v>
      </c>
      <c r="T290" s="8" t="s">
        <v>279</v>
      </c>
      <c r="U290" s="8" t="s">
        <v>278</v>
      </c>
      <c r="V290" s="11">
        <v>236.5</v>
      </c>
      <c r="W290" s="12">
        <v>1.909090909090909</v>
      </c>
      <c r="X290" s="12">
        <v>1.909090909090909</v>
      </c>
      <c r="Y290" s="13">
        <f>(1/R290)/((1/R290)+(1/S290))</f>
        <v>0.9197080291970803</v>
      </c>
      <c r="Z290" s="13">
        <f>(1/J290)/((1/J290)+(1/K290))</f>
        <v>0.8988580750407832</v>
      </c>
      <c r="AA290" s="14">
        <f>1/R290+1/S290-1</f>
        <v>0.037878787878787845</v>
      </c>
      <c r="AB290" s="15">
        <f>O290-I290</f>
        <v>-2.0</v>
      </c>
      <c r="AC290" s="15">
        <f>IF(G290="","",G290-O290)</f>
        <v>0.0</v>
      </c>
      <c r="AD290" s="15">
        <f>H290-V290</f>
        <v>0.0</v>
      </c>
      <c r="AE290" s="16">
        <f>IF(F290&gt;E290,1,0)</f>
        <v>1</v>
      </c>
      <c r="AF290" s="16">
        <f>F290+E290</f>
        <v>259</v>
      </c>
      <c r="AG290" s="16">
        <f>IF(Y290=0.5,"",IF((Y290&gt;0.5)=(AE290=1),1,0))</f>
        <v>1</v>
      </c>
      <c r="AH290" s="16">
        <f>IF(Z290=0.5,"",IF((Z290&gt;0.5)=(AE290=1),1,0))</f>
        <v>1</v>
      </c>
      <c r="AI290" s="17" t="str">
        <f>IF(AF290&gt;V290,"Üst",IF(AF290&lt;V290,"Alt","Push"))</f>
        <v>Üst</v>
      </c>
    </row>
    <row r="291" spans="1:35">
      <c r="A291" s="7">
        <v>46122</v>
      </c>
      <c r="B291" s="8" t="s">
        <v>514</v>
      </c>
      <c r="C291" s="8" t="s">
        <v>47</v>
      </c>
      <c r="D291" s="8" t="s">
        <v>41</v>
      </c>
      <c r="E291" s="9">
        <v>101</v>
      </c>
      <c r="F291" s="9">
        <v>147</v>
      </c>
      <c r="G291" s="10">
        <v>-5.5</v>
      </c>
      <c r="H291" s="11">
        <v>248.5</v>
      </c>
      <c r="I291" s="10">
        <v>-3.5</v>
      </c>
      <c r="J291" s="12">
        <v>1.645161290322581</v>
      </c>
      <c r="K291" s="12">
        <v>2.3</v>
      </c>
      <c r="L291" s="11">
        <v>246.5</v>
      </c>
      <c r="M291" s="12">
        <v>1.909090909090909</v>
      </c>
      <c r="N291" s="12">
        <v>1.909090909090909</v>
      </c>
      <c r="O291" s="10">
        <v>-4.5</v>
      </c>
      <c r="P291" s="12">
        <v>1.869565217391304</v>
      </c>
      <c r="Q291" s="12">
        <v>1.952380952380952</v>
      </c>
      <c r="R291" s="12">
        <v>1.555555555555556</v>
      </c>
      <c r="S291" s="12">
        <v>2.5</v>
      </c>
      <c r="T291" s="8" t="s">
        <v>344</v>
      </c>
      <c r="U291" s="8" t="s">
        <v>343</v>
      </c>
      <c r="V291" s="11">
        <v>247.5</v>
      </c>
      <c r="W291" s="12">
        <v>1.892857142857143</v>
      </c>
      <c r="X291" s="12">
        <v>1.925925925925926</v>
      </c>
      <c r="Y291" s="13">
        <f>(1/R291)/((1/R291)+(1/S291))</f>
        <v>0.6164383561643836</v>
      </c>
      <c r="Z291" s="13">
        <f>(1/J291)/((1/J291)+(1/K291))</f>
        <v>0.5829926410466066</v>
      </c>
      <c r="AA291" s="14">
        <f>1/R291+1/S291-1</f>
        <v>0.042857142857142705</v>
      </c>
      <c r="AB291" s="15">
        <f>O291-I291</f>
        <v>-1.0</v>
      </c>
      <c r="AC291" s="15">
        <f>IF(G291="","",G291-O291)</f>
        <v>-1.0</v>
      </c>
      <c r="AD291" s="15">
        <f>H291-V291</f>
        <v>1.0</v>
      </c>
      <c r="AE291" s="16">
        <f>IF(F291&gt;E291,1,0)</f>
        <v>1</v>
      </c>
      <c r="AF291" s="16">
        <f>F291+E291</f>
        <v>248</v>
      </c>
      <c r="AG291" s="16">
        <f>IF(Y291=0.5,"",IF((Y291&gt;0.5)=(AE291=1),1,0))</f>
        <v>1</v>
      </c>
      <c r="AH291" s="16">
        <f>IF(Z291=0.5,"",IF((Z291&gt;0.5)=(AE291=1),1,0))</f>
        <v>1</v>
      </c>
      <c r="AI291" s="17" t="str">
        <f>IF(AF291&gt;V291,"Üst",IF(AF291&lt;V291,"Alt","Push"))</f>
        <v>Üst</v>
      </c>
    </row>
    <row r="292" spans="1:35">
      <c r="A292" s="7">
        <v>46122</v>
      </c>
      <c r="B292" s="8" t="s">
        <v>515</v>
      </c>
      <c r="C292" s="8" t="s">
        <v>130</v>
      </c>
      <c r="D292" s="8" t="s">
        <v>92</v>
      </c>
      <c r="E292" s="9">
        <v>107</v>
      </c>
      <c r="F292" s="9">
        <v>127</v>
      </c>
      <c r="G292" s="10">
        <v>-2.5</v>
      </c>
      <c r="H292" s="11">
        <v>222.5</v>
      </c>
      <c r="I292" s="10">
        <v>-10.5</v>
      </c>
      <c r="J292" s="12">
        <v>1.227272727272727</v>
      </c>
      <c r="K292" s="12">
        <v>4.4</v>
      </c>
      <c r="L292" s="11">
        <v>231.5</v>
      </c>
      <c r="M292" s="12">
        <v>1.909090909090909</v>
      </c>
      <c r="N292" s="12">
        <v>1.909090909090909</v>
      </c>
      <c r="O292" s="10">
        <v>-2.5</v>
      </c>
      <c r="P292" s="12">
        <v>1.925925925925926</v>
      </c>
      <c r="Q292" s="12">
        <v>1.892857142857143</v>
      </c>
      <c r="R292" s="12">
        <v>1.704225352112676</v>
      </c>
      <c r="S292" s="12">
        <v>2.2</v>
      </c>
      <c r="T292" s="8" t="s">
        <v>191</v>
      </c>
      <c r="U292" s="8" t="s">
        <v>190</v>
      </c>
      <c r="V292" s="11">
        <v>223.5</v>
      </c>
      <c r="W292" s="12">
        <v>1.925925925925926</v>
      </c>
      <c r="X292" s="12">
        <v>1.892857142857143</v>
      </c>
      <c r="Y292" s="13">
        <f>(1/R292)/((1/R292)+(1/S292))</f>
        <v>0.5634920634920635</v>
      </c>
      <c r="Z292" s="13">
        <f>(1/J292)/((1/J292)+(1/K292))</f>
        <v>0.7819063004846527</v>
      </c>
      <c r="AA292" s="14">
        <f>1/R292+1/S292-1</f>
        <v>0.04132231404958686</v>
      </c>
      <c r="AB292" s="15">
        <f>O292-I292</f>
        <v>8.0</v>
      </c>
      <c r="AC292" s="15">
        <f>IF(G292="","",G292-O292)</f>
        <v>0.0</v>
      </c>
      <c r="AD292" s="15">
        <f>H292-V292</f>
        <v>-1.0</v>
      </c>
      <c r="AE292" s="16">
        <f>IF(F292&gt;E292,1,0)</f>
        <v>1</v>
      </c>
      <c r="AF292" s="16">
        <f>F292+E292</f>
        <v>234</v>
      </c>
      <c r="AG292" s="16">
        <f>IF(Y292=0.5,"",IF((Y292&gt;0.5)=(AE292=1),1,0))</f>
        <v>1</v>
      </c>
      <c r="AH292" s="16">
        <f>IF(Z292=0.5,"",IF((Z292&gt;0.5)=(AE292=1),1,0))</f>
        <v>1</v>
      </c>
      <c r="AI292" s="17" t="str">
        <f>IF(AF292&gt;V292,"Üst",IF(AF292&lt;V292,"Alt","Push"))</f>
        <v>Üst</v>
      </c>
    </row>
    <row r="293" spans="1:35">
      <c r="A293" s="7">
        <v>46122</v>
      </c>
      <c r="B293" s="8" t="s">
        <v>516</v>
      </c>
      <c r="C293" s="8" t="s">
        <v>57</v>
      </c>
      <c r="D293" s="8" t="s">
        <v>46</v>
      </c>
      <c r="E293" s="9">
        <v>97</v>
      </c>
      <c r="F293" s="9">
        <v>116</v>
      </c>
      <c r="G293" s="10">
        <v>-1.5</v>
      </c>
      <c r="H293" s="11">
        <v>226.5</v>
      </c>
      <c r="I293" s="10">
        <v>-1.5</v>
      </c>
      <c r="J293" s="12">
        <v>1.819672131147541</v>
      </c>
      <c r="K293" s="12">
        <v>2.02</v>
      </c>
      <c r="L293" s="11">
        <v>225.5</v>
      </c>
      <c r="M293" s="12">
        <v>1.909090909090909</v>
      </c>
      <c r="N293" s="12">
        <v>1.909090909090909</v>
      </c>
      <c r="O293" s="10">
        <v>-1.5</v>
      </c>
      <c r="P293" s="12">
        <v>1.869565217391304</v>
      </c>
      <c r="Q293" s="12">
        <v>1.952380952380952</v>
      </c>
      <c r="R293" s="12">
        <v>1.819672131147541</v>
      </c>
      <c r="S293" s="12">
        <v>2.02</v>
      </c>
      <c r="T293" s="8" t="s">
        <v>160</v>
      </c>
      <c r="U293" s="8" t="s">
        <v>161</v>
      </c>
      <c r="V293" s="11">
        <v>226.5</v>
      </c>
      <c r="W293" s="12">
        <v>1.892857142857143</v>
      </c>
      <c r="X293" s="12">
        <v>1.925925925925926</v>
      </c>
      <c r="Y293" s="13">
        <f>(1/R293)/((1/R293)+(1/S293))</f>
        <v>0.5260865852617197</v>
      </c>
      <c r="Z293" s="13">
        <f>(1/J293)/((1/J293)+(1/K293))</f>
        <v>0.5260865852617197</v>
      </c>
      <c r="AA293" s="14">
        <f>1/R293+1/S293-1</f>
        <v>0.04459905450004453</v>
      </c>
      <c r="AB293" s="15">
        <f>O293-I293</f>
        <v>0.0</v>
      </c>
      <c r="AC293" s="15">
        <f>IF(G293="","",G293-O293)</f>
        <v>0.0</v>
      </c>
      <c r="AD293" s="15">
        <f>H293-V293</f>
        <v>0.0</v>
      </c>
      <c r="AE293" s="16">
        <f>IF(F293&gt;E293,1,0)</f>
        <v>1</v>
      </c>
      <c r="AF293" s="16">
        <f>F293+E293</f>
        <v>213</v>
      </c>
      <c r="AG293" s="16">
        <f>IF(Y293=0.5,"",IF((Y293&gt;0.5)=(AE293=1),1,0))</f>
        <v>1</v>
      </c>
      <c r="AH293" s="16">
        <f>IF(Z293=0.5,"",IF((Z293&gt;0.5)=(AE293=1),1,0))</f>
        <v>1</v>
      </c>
      <c r="AI293" s="17" t="str">
        <f>IF(AF293&gt;V293,"Üst",IF(AF293&lt;V293,"Alt","Push"))</f>
        <v>Alt</v>
      </c>
    </row>
    <row r="294" spans="1:35">
      <c r="A294" s="7">
        <v>46122</v>
      </c>
      <c r="B294" s="8" t="s">
        <v>517</v>
      </c>
      <c r="C294" s="8" t="s">
        <v>73</v>
      </c>
      <c r="D294" s="8" t="s">
        <v>97</v>
      </c>
      <c r="E294" s="9">
        <v>118</v>
      </c>
      <c r="F294" s="9">
        <v>124</v>
      </c>
      <c r="G294" s="10">
        <v>10.5</v>
      </c>
      <c r="H294" s="11">
        <v>227.5</v>
      </c>
      <c r="I294" s="10">
        <v>11.5</v>
      </c>
      <c r="J294" s="12">
        <v>4.8</v>
      </c>
      <c r="K294" s="12">
        <v>1.2</v>
      </c>
      <c r="L294" s="11">
        <v>229.5</v>
      </c>
      <c r="M294" s="12">
        <v>1.909090909090909</v>
      </c>
      <c r="N294" s="12">
        <v>1.909090909090909</v>
      </c>
      <c r="O294" s="10">
        <v>10.5</v>
      </c>
      <c r="P294" s="12">
        <v>1.980392156862745</v>
      </c>
      <c r="Q294" s="12">
        <v>1.847457627118644</v>
      </c>
      <c r="R294" s="12">
        <v>4.8</v>
      </c>
      <c r="S294" s="12">
        <v>1.2</v>
      </c>
      <c r="T294" s="8" t="s">
        <v>236</v>
      </c>
      <c r="U294" s="8" t="s">
        <v>235</v>
      </c>
      <c r="V294" s="11">
        <v>228.5</v>
      </c>
      <c r="W294" s="12">
        <v>1.892857142857143</v>
      </c>
      <c r="X294" s="12">
        <v>1.925925925925926</v>
      </c>
      <c r="Y294" s="13">
        <f>(1/R294)/((1/R294)+(1/S294))</f>
        <v>0.19999999999999998</v>
      </c>
      <c r="Z294" s="13">
        <f>(1/J294)/((1/J294)+(1/K294))</f>
        <v>0.19999999999999998</v>
      </c>
      <c r="AA294" s="14">
        <f>1/R294+1/S294-1</f>
        <v>0.04166666666666674</v>
      </c>
      <c r="AB294" s="15">
        <f>O294-I294</f>
        <v>-1.0</v>
      </c>
      <c r="AC294" s="15">
        <f>IF(G294="","",G294-O294)</f>
        <v>0.0</v>
      </c>
      <c r="AD294" s="15">
        <f>H294-V294</f>
        <v>-1.0</v>
      </c>
      <c r="AE294" s="16">
        <f>IF(F294&gt;E294,1,0)</f>
        <v>1</v>
      </c>
      <c r="AF294" s="16">
        <f>F294+E294</f>
        <v>242</v>
      </c>
      <c r="AG294" s="16">
        <f>IF(Y294=0.5,"",IF((Y294&gt;0.5)=(AE294=1),1,0))</f>
        <v>0</v>
      </c>
      <c r="AH294" s="16">
        <f>IF(Z294=0.5,"",IF((Z294&gt;0.5)=(AE294=1),1,0))</f>
        <v>0</v>
      </c>
      <c r="AI294" s="17" t="str">
        <f>IF(AF294&gt;V294,"Üst",IF(AF294&lt;V294,"Alt","Push"))</f>
        <v>Üst</v>
      </c>
    </row>
    <row r="295" spans="1:35">
      <c r="A295" s="7">
        <v>46122</v>
      </c>
      <c r="B295" s="8" t="s">
        <v>518</v>
      </c>
      <c r="C295" s="8" t="s">
        <v>87</v>
      </c>
      <c r="D295" s="8" t="s">
        <v>91</v>
      </c>
      <c r="E295" s="9">
        <v>73</v>
      </c>
      <c r="F295" s="9">
        <v>101</v>
      </c>
      <c r="G295" s="10">
        <v>2.5</v>
      </c>
      <c r="H295" s="11">
        <v>216.5</v>
      </c>
      <c r="I295" s="10">
        <v>1.5</v>
      </c>
      <c r="J295" s="12">
        <v>2.05</v>
      </c>
      <c r="K295" s="12">
        <v>1.8</v>
      </c>
      <c r="L295" s="11">
        <v>220.5</v>
      </c>
      <c r="M295" s="12">
        <v>1.909090909090909</v>
      </c>
      <c r="N295" s="12">
        <v>1.909090909090909</v>
      </c>
      <c r="O295" s="10">
        <v>2.5</v>
      </c>
      <c r="P295" s="12">
        <v>1.869565217391304</v>
      </c>
      <c r="Q295" s="12">
        <v>1.952380952380952</v>
      </c>
      <c r="R295" s="12">
        <v>2.1</v>
      </c>
      <c r="S295" s="12">
        <v>1.769230769230769</v>
      </c>
      <c r="T295" s="8" t="s">
        <v>167</v>
      </c>
      <c r="U295" s="8" t="s">
        <v>168</v>
      </c>
      <c r="V295" s="11">
        <v>217.5</v>
      </c>
      <c r="W295" s="12">
        <v>1.952380952380952</v>
      </c>
      <c r="X295" s="12">
        <v>1.869565217391304</v>
      </c>
      <c r="Y295" s="13">
        <f>(1/R295)/((1/R295)+(1/S295))</f>
        <v>0.4572564612326044</v>
      </c>
      <c r="Z295" s="13">
        <f>(1/J295)/((1/J295)+(1/K295))</f>
        <v>0.4675324675324676</v>
      </c>
      <c r="AA295" s="14">
        <f>1/R295+1/S295-1</f>
        <v>0.04140786749482395</v>
      </c>
      <c r="AB295" s="15">
        <f>O295-I295</f>
        <v>1.0</v>
      </c>
      <c r="AC295" s="15">
        <f>IF(G295="","",G295-O295)</f>
        <v>0.0</v>
      </c>
      <c r="AD295" s="15">
        <f>H295-V295</f>
        <v>-1.0</v>
      </c>
      <c r="AE295" s="16">
        <f>IF(F295&gt;E295,1,0)</f>
        <v>1</v>
      </c>
      <c r="AF295" s="16">
        <f>F295+E295</f>
        <v>174</v>
      </c>
      <c r="AG295" s="16">
        <f>IF(Y295=0.5,"",IF((Y295&gt;0.5)=(AE295=1),1,0))</f>
        <v>0</v>
      </c>
      <c r="AH295" s="16">
        <f>IF(Z295=0.5,"",IF((Z295&gt;0.5)=(AE295=1),1,0))</f>
        <v>0</v>
      </c>
      <c r="AI295" s="17" t="str">
        <f>IF(AF295&gt;V295,"Üst",IF(AF295&lt;V295,"Alt","Push"))</f>
        <v>Alt</v>
      </c>
    </row>
    <row r="296" spans="1:35">
      <c r="A296" s="7">
        <v>46124</v>
      </c>
      <c r="B296" s="8" t="s">
        <v>519</v>
      </c>
      <c r="C296" s="8" t="s">
        <v>62</v>
      </c>
      <c r="D296" s="8" t="s">
        <v>101</v>
      </c>
      <c r="E296" s="9">
        <v>108</v>
      </c>
      <c r="F296" s="9">
        <v>113</v>
      </c>
      <c r="G296" s="10">
        <v>13.5</v>
      </c>
      <c r="H296" s="11">
        <v>222.5</v>
      </c>
      <c r="I296" s="10">
        <v>3.5</v>
      </c>
      <c r="J296" s="12">
        <v>2.36</v>
      </c>
      <c r="K296" s="12">
        <v>1.617283950617284</v>
      </c>
      <c r="L296" s="11">
        <v>216.5</v>
      </c>
      <c r="M296" s="12">
        <v>1.909090909090909</v>
      </c>
      <c r="N296" s="12">
        <v>1.909090909090909</v>
      </c>
      <c r="O296" s="10">
        <v>12.5</v>
      </c>
      <c r="P296" s="12">
        <v>1.980392156862745</v>
      </c>
      <c r="Q296" s="12">
        <v>1.847457627118644</v>
      </c>
      <c r="R296" s="12">
        <v>6.25</v>
      </c>
      <c r="S296" s="12">
        <v>1.133333333333333</v>
      </c>
      <c r="T296" s="8" t="s">
        <v>286</v>
      </c>
      <c r="U296" s="8" t="s">
        <v>287</v>
      </c>
      <c r="V296" s="11">
        <v>222.5</v>
      </c>
      <c r="W296" s="12">
        <v>1.909090909090909</v>
      </c>
      <c r="X296" s="12">
        <v>1.909090909090909</v>
      </c>
      <c r="Y296" s="13">
        <f>(1/R296)/((1/R296)+(1/S296))</f>
        <v>0.15349887133182846</v>
      </c>
      <c r="Z296" s="13">
        <f>(1/J296)/((1/J296)+(1/K296))</f>
        <v>0.4066302458405761</v>
      </c>
      <c r="AA296" s="14">
        <f>1/R296+1/S296-1</f>
        <v>0.04235294117647048</v>
      </c>
      <c r="AB296" s="15">
        <f>O296-I296</f>
        <v>9.0</v>
      </c>
      <c r="AC296" s="15">
        <f>IF(G296="","",G296-O296)</f>
        <v>1.0</v>
      </c>
      <c r="AD296" s="15">
        <f>H296-V296</f>
        <v>0.0</v>
      </c>
      <c r="AE296" s="16">
        <f>IF(F296&gt;E296,1,0)</f>
        <v>1</v>
      </c>
      <c r="AF296" s="16">
        <f>F296+E296</f>
        <v>221</v>
      </c>
      <c r="AG296" s="16">
        <f>IF(Y296=0.5,"",IF((Y296&gt;0.5)=(AE296=1),1,0))</f>
        <v>0</v>
      </c>
      <c r="AH296" s="16">
        <f>IF(Z296=0.5,"",IF((Z296&gt;0.5)=(AE296=1),1,0))</f>
        <v>0</v>
      </c>
      <c r="AI296" s="17" t="str">
        <f>IF(AF296&gt;V296,"Üst",IF(AF296&lt;V296,"Alt","Push"))</f>
        <v>Alt</v>
      </c>
    </row>
    <row r="297" spans="1:35">
      <c r="A297" s="7">
        <v>46124</v>
      </c>
      <c r="B297" s="8" t="s">
        <v>520</v>
      </c>
      <c r="C297" s="8" t="s">
        <v>64</v>
      </c>
      <c r="D297" s="8" t="s">
        <v>134</v>
      </c>
      <c r="E297" s="9">
        <v>117</v>
      </c>
      <c r="F297" s="9">
        <v>130</v>
      </c>
      <c r="G297" s="10">
        <v>-10.5</v>
      </c>
      <c r="H297" s="11">
        <v>234.5</v>
      </c>
      <c r="I297" s="10">
        <v>-17.5</v>
      </c>
      <c r="J297" s="12">
        <v>1.060606060606061</v>
      </c>
      <c r="K297" s="12">
        <v>10.5</v>
      </c>
      <c r="L297" s="11">
        <v>238.5</v>
      </c>
      <c r="M297" s="12">
        <v>1.909090909090909</v>
      </c>
      <c r="N297" s="12">
        <v>1.909090909090909</v>
      </c>
      <c r="O297" s="10">
        <v>-10.5</v>
      </c>
      <c r="P297" s="12">
        <v>1.869565217391304</v>
      </c>
      <c r="Q297" s="12">
        <v>1.952380952380952</v>
      </c>
      <c r="R297" s="12">
        <v>1.2</v>
      </c>
      <c r="S297" s="12">
        <v>4.8</v>
      </c>
      <c r="T297" s="8" t="s">
        <v>235</v>
      </c>
      <c r="U297" s="8" t="s">
        <v>236</v>
      </c>
      <c r="V297" s="11">
        <v>234.5</v>
      </c>
      <c r="W297" s="12">
        <v>1.952380952380952</v>
      </c>
      <c r="X297" s="12">
        <v>1.869565217391304</v>
      </c>
      <c r="Y297" s="13">
        <f>(1/R297)/((1/R297)+(1/S297))</f>
        <v>0.7999999999999999</v>
      </c>
      <c r="Z297" s="13">
        <f>(1/J297)/((1/J297)+(1/K297))</f>
        <v>0.908256880733945</v>
      </c>
      <c r="AA297" s="14">
        <f>1/R297+1/S297-1</f>
        <v>0.04166666666666674</v>
      </c>
      <c r="AB297" s="15">
        <f>O297-I297</f>
        <v>7.0</v>
      </c>
      <c r="AC297" s="15">
        <f>IF(G297="","",G297-O297)</f>
        <v>0.0</v>
      </c>
      <c r="AD297" s="15">
        <f>H297-V297</f>
        <v>0.0</v>
      </c>
      <c r="AE297" s="16">
        <f>IF(F297&gt;E297,1,0)</f>
        <v>1</v>
      </c>
      <c r="AF297" s="16">
        <f>F297+E297</f>
        <v>247</v>
      </c>
      <c r="AG297" s="16">
        <f>IF(Y297=0.5,"",IF((Y297&gt;0.5)=(AE297=1),1,0))</f>
        <v>1</v>
      </c>
      <c r="AH297" s="16">
        <f>IF(Z297=0.5,"",IF((Z297&gt;0.5)=(AE297=1),1,0))</f>
        <v>1</v>
      </c>
      <c r="AI297" s="17" t="str">
        <f>IF(AF297&gt;V297,"Üst",IF(AF297&lt;V297,"Alt","Push"))</f>
        <v>Üst</v>
      </c>
    </row>
    <row r="298" spans="1:35">
      <c r="A298" s="7">
        <v>46124</v>
      </c>
      <c r="B298" s="8" t="s">
        <v>521</v>
      </c>
      <c r="C298" s="8" t="s">
        <v>81</v>
      </c>
      <c r="D298" s="8" t="s">
        <v>56</v>
      </c>
      <c r="E298" s="9">
        <v>133</v>
      </c>
      <c r="F298" s="9">
        <v>121</v>
      </c>
      <c r="G298" s="10">
        <v>15.5</v>
      </c>
      <c r="H298" s="11">
        <v>231.5</v>
      </c>
      <c r="I298" s="10">
        <v>12.5</v>
      </c>
      <c r="J298" s="12">
        <v>6.75</v>
      </c>
      <c r="K298" s="12">
        <v>1.117647058823529</v>
      </c>
      <c r="L298" s="11">
        <v>229.5</v>
      </c>
      <c r="M298" s="12">
        <v>1.909090909090909</v>
      </c>
      <c r="N298" s="12">
        <v>1.909090909090909</v>
      </c>
      <c r="O298" s="10">
        <v>16.5</v>
      </c>
      <c r="P298" s="12">
        <v>1.892857142857143</v>
      </c>
      <c r="Q298" s="12">
        <v>1.925925925925926</v>
      </c>
      <c r="R298" s="12">
        <v>8.5</v>
      </c>
      <c r="S298" s="12">
        <v>1.083333333333333</v>
      </c>
      <c r="T298" s="8" t="s">
        <v>103</v>
      </c>
      <c r="U298" s="8" t="s">
        <v>102</v>
      </c>
      <c r="V298" s="11">
        <v>232.5</v>
      </c>
      <c r="W298" s="12">
        <v>1.925925925925926</v>
      </c>
      <c r="X298" s="12">
        <v>1.892857142857143</v>
      </c>
      <c r="Y298" s="13">
        <f>(1/R298)/((1/R298)+(1/S298))</f>
        <v>0.11304347826086955</v>
      </c>
      <c r="Z298" s="13">
        <f>(1/J298)/((1/J298)+(1/K298))</f>
        <v>0.14205607476635515</v>
      </c>
      <c r="AA298" s="14">
        <f>1/R298+1/S298-1</f>
        <v>0.040723981900452566</v>
      </c>
      <c r="AB298" s="15">
        <f>O298-I298</f>
        <v>4.0</v>
      </c>
      <c r="AC298" s="15">
        <f>IF(G298="","",G298-O298)</f>
        <v>-1.0</v>
      </c>
      <c r="AD298" s="15">
        <f>H298-V298</f>
        <v>-1.0</v>
      </c>
      <c r="AE298" s="16">
        <f>IF(F298&gt;E298,1,0)</f>
        <v>0</v>
      </c>
      <c r="AF298" s="16">
        <f>F298+E298</f>
        <v>254</v>
      </c>
      <c r="AG298" s="16">
        <f>IF(Y298=0.5,"",IF((Y298&gt;0.5)=(AE298=1),1,0))</f>
        <v>1</v>
      </c>
      <c r="AH298" s="16">
        <f>IF(Z298=0.5,"",IF((Z298&gt;0.5)=(AE298=1),1,0))</f>
        <v>1</v>
      </c>
      <c r="AI298" s="17" t="str">
        <f>IF(AF298&gt;V298,"Üst",IF(AF298&lt;V298,"Alt","Push"))</f>
        <v>Üst</v>
      </c>
    </row>
    <row r="299" spans="1:35">
      <c r="A299" s="7">
        <v>46124</v>
      </c>
      <c r="B299" s="8" t="s">
        <v>522</v>
      </c>
      <c r="C299" s="8" t="s">
        <v>51</v>
      </c>
      <c r="D299" s="8" t="s">
        <v>69</v>
      </c>
      <c r="E299" s="9">
        <v>117</v>
      </c>
      <c r="F299" s="9">
        <v>143</v>
      </c>
      <c r="G299" s="10">
        <v>-10.5</v>
      </c>
      <c r="H299" s="11">
        <v>240.5</v>
      </c>
      <c r="I299" s="10">
        <v>6.5</v>
      </c>
      <c r="J299" s="12">
        <v>3</v>
      </c>
      <c r="K299" s="12">
        <v>1.408163265306122</v>
      </c>
      <c r="L299" s="11">
        <v>243.5</v>
      </c>
      <c r="M299" s="12">
        <v>1.909090909090909</v>
      </c>
      <c r="N299" s="12">
        <v>1.909090909090909</v>
      </c>
      <c r="O299" s="10">
        <v>-10.5</v>
      </c>
      <c r="P299" s="12">
        <v>1.892857142857143</v>
      </c>
      <c r="Q299" s="12">
        <v>1.925925925925926</v>
      </c>
      <c r="R299" s="12">
        <v>1.212765957446809</v>
      </c>
      <c r="S299" s="12">
        <v>4.6</v>
      </c>
      <c r="T299" s="8" t="s">
        <v>306</v>
      </c>
      <c r="U299" s="8" t="s">
        <v>307</v>
      </c>
      <c r="V299" s="11">
        <v>239.5</v>
      </c>
      <c r="W299" s="12">
        <v>1.869565217391304</v>
      </c>
      <c r="X299" s="12">
        <v>1.952380952380952</v>
      </c>
      <c r="Y299" s="13">
        <f>(1/R299)/((1/R299)+(1/S299))</f>
        <v>0.7913616398243044</v>
      </c>
      <c r="Z299" s="13">
        <f>(1/J299)/((1/J299)+(1/K299))</f>
        <v>0.3194444444444444</v>
      </c>
      <c r="AA299" s="14">
        <f>1/R299+1/S299-1</f>
        <v>0.04195270785659799</v>
      </c>
      <c r="AB299" s="15">
        <f>O299-I299</f>
        <v>-17.0</v>
      </c>
      <c r="AC299" s="15">
        <f>IF(G299="","",G299-O299)</f>
        <v>0.0</v>
      </c>
      <c r="AD299" s="15">
        <f>H299-V299</f>
        <v>1.0</v>
      </c>
      <c r="AE299" s="16">
        <f>IF(F299&gt;E299,1,0)</f>
        <v>1</v>
      </c>
      <c r="AF299" s="16">
        <f>F299+E299</f>
        <v>260</v>
      </c>
      <c r="AG299" s="16">
        <f>IF(Y299=0.5,"",IF((Y299&gt;0.5)=(AE299=1),1,0))</f>
        <v>1</v>
      </c>
      <c r="AH299" s="16">
        <f>IF(Z299=0.5,"",IF((Z299&gt;0.5)=(AE299=1),1,0))</f>
        <v>0</v>
      </c>
      <c r="AI299" s="17" t="str">
        <f>IF(AF299&gt;V299,"Üst",IF(AF299&lt;V299,"Alt","Push"))</f>
        <v>Üst</v>
      </c>
    </row>
    <row r="300" spans="1:35">
      <c r="A300" s="7">
        <v>46124</v>
      </c>
      <c r="B300" s="8" t="s">
        <v>523</v>
      </c>
      <c r="C300" s="8" t="s">
        <v>105</v>
      </c>
      <c r="D300" s="8" t="s">
        <v>110</v>
      </c>
      <c r="E300" s="9">
        <v>110</v>
      </c>
      <c r="F300" s="9">
        <v>96</v>
      </c>
      <c r="G300" s="10">
        <v>14.5</v>
      </c>
      <c r="H300" s="11">
        <v>216.5</v>
      </c>
      <c r="I300" s="10">
        <v>8.5</v>
      </c>
      <c r="J300" s="12">
        <v>3.7</v>
      </c>
      <c r="K300" s="12">
        <v>1.294117647058824</v>
      </c>
      <c r="L300" s="11">
        <v>215.5</v>
      </c>
      <c r="M300" s="12">
        <v>1.909090909090909</v>
      </c>
      <c r="N300" s="12">
        <v>1.909090909090909</v>
      </c>
      <c r="O300" s="10">
        <v>14.5</v>
      </c>
      <c r="P300" s="12">
        <v>1.892857142857143</v>
      </c>
      <c r="Q300" s="12">
        <v>1.925925925925926</v>
      </c>
      <c r="R300" s="12">
        <v>7</v>
      </c>
      <c r="S300" s="12">
        <v>1.111111111111111</v>
      </c>
      <c r="T300" s="8" t="s">
        <v>347</v>
      </c>
      <c r="U300" s="8" t="s">
        <v>346</v>
      </c>
      <c r="V300" s="11">
        <v>217.5</v>
      </c>
      <c r="W300" s="12">
        <v>1.952380952380952</v>
      </c>
      <c r="X300" s="12">
        <v>1.869565217391304</v>
      </c>
      <c r="Y300" s="13">
        <f>(1/R300)/((1/R300)+(1/S300))</f>
        <v>0.13698630136986303</v>
      </c>
      <c r="Z300" s="13">
        <f>(1/J300)/((1/J300)+(1/K300))</f>
        <v>0.2591283863368669</v>
      </c>
      <c r="AA300" s="14">
        <f>1/R300+1/S300-1</f>
        <v>0.042857142857142705</v>
      </c>
      <c r="AB300" s="15">
        <f>O300-I300</f>
        <v>6.0</v>
      </c>
      <c r="AC300" s="15">
        <f>IF(G300="","",G300-O300)</f>
        <v>0.0</v>
      </c>
      <c r="AD300" s="15">
        <f>H300-V300</f>
        <v>-1.0</v>
      </c>
      <c r="AE300" s="16">
        <f>IF(F300&gt;E300,1,0)</f>
        <v>0</v>
      </c>
      <c r="AF300" s="16">
        <f>F300+E300</f>
        <v>206</v>
      </c>
      <c r="AG300" s="16">
        <f>IF(Y300=0.5,"",IF((Y300&gt;0.5)=(AE300=1),1,0))</f>
        <v>1</v>
      </c>
      <c r="AH300" s="16">
        <f>IF(Z300=0.5,"",IF((Z300&gt;0.5)=(AE300=1),1,0))</f>
        <v>1</v>
      </c>
      <c r="AI300" s="17" t="str">
        <f>IF(AF300&gt;V300,"Üst",IF(AF300&lt;V300,"Alt","Push"))</f>
        <v>Alt</v>
      </c>
    </row>
    <row r="301" spans="1:35">
      <c r="A301" s="7">
        <v>46124</v>
      </c>
      <c r="B301" s="8" t="s">
        <v>524</v>
      </c>
      <c r="C301" s="8" t="s">
        <v>52</v>
      </c>
      <c r="D301" s="8" t="s">
        <v>42</v>
      </c>
      <c r="E301" s="9">
        <v>106</v>
      </c>
      <c r="F301" s="9">
        <v>126</v>
      </c>
      <c r="G301" s="10">
        <v>-16.5</v>
      </c>
      <c r="H301" s="11">
        <v>225.5</v>
      </c>
      <c r="I301" s="10">
        <v>-16.5</v>
      </c>
      <c r="J301" s="12">
        <v>1.090909090909091</v>
      </c>
      <c r="K301" s="12">
        <v>8</v>
      </c>
      <c r="L301" s="11">
        <v>227.5</v>
      </c>
      <c r="M301" s="12">
        <v>1.909090909090909</v>
      </c>
      <c r="N301" s="12">
        <v>1.909090909090909</v>
      </c>
      <c r="O301" s="10">
        <v>-16.5</v>
      </c>
      <c r="P301" s="12">
        <v>1.925925925925926</v>
      </c>
      <c r="Q301" s="12">
        <v>1.892857142857143</v>
      </c>
      <c r="R301" s="12">
        <v>1.074074074074074</v>
      </c>
      <c r="S301" s="12">
        <v>9</v>
      </c>
      <c r="T301" s="8" t="s">
        <v>317</v>
      </c>
      <c r="U301" s="8" t="s">
        <v>316</v>
      </c>
      <c r="V301" s="11">
        <v>225.5</v>
      </c>
      <c r="W301" s="12">
        <v>1.909090909090909</v>
      </c>
      <c r="X301" s="12">
        <v>1.909090909090909</v>
      </c>
      <c r="Y301" s="13">
        <f>(1/R301)/((1/R301)+(1/S301))</f>
        <v>0.8933823529411764</v>
      </c>
      <c r="Z301" s="13">
        <f>(1/J301)/((1/J301)+(1/K301))</f>
        <v>0.88</v>
      </c>
      <c r="AA301" s="14">
        <f>1/R301+1/S301-1</f>
        <v>0.042145593869731934</v>
      </c>
      <c r="AB301" s="15">
        <f>O301-I301</f>
        <v>0.0</v>
      </c>
      <c r="AC301" s="15">
        <f>IF(G301="","",G301-O301)</f>
        <v>0.0</v>
      </c>
      <c r="AD301" s="15">
        <f>H301-V301</f>
        <v>0.0</v>
      </c>
      <c r="AE301" s="16">
        <f>IF(F301&gt;E301,1,0)</f>
        <v>1</v>
      </c>
      <c r="AF301" s="16">
        <f>F301+E301</f>
        <v>232</v>
      </c>
      <c r="AG301" s="16">
        <f>IF(Y301=0.5,"",IF((Y301&gt;0.5)=(AE301=1),1,0))</f>
        <v>1</v>
      </c>
      <c r="AH301" s="16">
        <f>IF(Z301=0.5,"",IF((Z301&gt;0.5)=(AE301=1),1,0))</f>
        <v>1</v>
      </c>
      <c r="AI301" s="17" t="str">
        <f>IF(AF301&gt;V301,"Üst",IF(AF301&lt;V301,"Alt","Push"))</f>
        <v>Üst</v>
      </c>
    </row>
    <row r="302" spans="1:35">
      <c r="A302" s="7">
        <v>46124</v>
      </c>
      <c r="B302" s="8" t="s">
        <v>525</v>
      </c>
      <c r="C302" s="8" t="s">
        <v>68</v>
      </c>
      <c r="D302" s="8" t="s">
        <v>76</v>
      </c>
      <c r="E302" s="9">
        <v>101</v>
      </c>
      <c r="F302" s="9">
        <v>136</v>
      </c>
      <c r="G302" s="10">
        <v>-23.5</v>
      </c>
      <c r="H302" s="11">
        <v>219.5</v>
      </c>
      <c r="I302" s="10">
        <v>-18.5</v>
      </c>
      <c r="J302" s="12">
        <v>1.035714285714286</v>
      </c>
      <c r="K302" s="12">
        <v>14</v>
      </c>
      <c r="L302" s="11">
        <v>217.5</v>
      </c>
      <c r="M302" s="12">
        <v>1.909090909090909</v>
      </c>
      <c r="N302" s="12">
        <v>1.909090909090909</v>
      </c>
      <c r="O302" s="10">
        <v>-23.5</v>
      </c>
      <c r="P302" s="12">
        <v>1.869565217391304</v>
      </c>
      <c r="Q302" s="12">
        <v>1.952380952380952</v>
      </c>
      <c r="R302" s="12">
        <v>1.02</v>
      </c>
      <c r="S302" s="12">
        <v>19</v>
      </c>
      <c r="T302" s="8" t="s">
        <v>490</v>
      </c>
      <c r="U302" s="8" t="s">
        <v>491</v>
      </c>
      <c r="V302" s="11">
        <v>218.5</v>
      </c>
      <c r="W302" s="12">
        <v>1.869565217391304</v>
      </c>
      <c r="X302" s="12">
        <v>1.952380952380952</v>
      </c>
      <c r="Y302" s="13">
        <f>(1/R302)/((1/R302)+(1/S302))</f>
        <v>0.949050949050949</v>
      </c>
      <c r="Z302" s="13">
        <f>(1/J302)/((1/J302)+(1/K302))</f>
        <v>0.9311163895486936</v>
      </c>
      <c r="AA302" s="14">
        <f>1/R302+1/S302-1</f>
        <v>0.03302373581011353</v>
      </c>
      <c r="AB302" s="15">
        <f>O302-I302</f>
        <v>-5.0</v>
      </c>
      <c r="AC302" s="15">
        <f>IF(G302="","",G302-O302)</f>
        <v>0.0</v>
      </c>
      <c r="AD302" s="15">
        <f>H302-V302</f>
        <v>1.0</v>
      </c>
      <c r="AE302" s="16">
        <f>IF(F302&gt;E302,1,0)</f>
        <v>1</v>
      </c>
      <c r="AF302" s="16">
        <f>F302+E302</f>
        <v>237</v>
      </c>
      <c r="AG302" s="16">
        <f>IF(Y302=0.5,"",IF((Y302&gt;0.5)=(AE302=1),1,0))</f>
        <v>1</v>
      </c>
      <c r="AH302" s="16">
        <f>IF(Z302=0.5,"",IF((Z302&gt;0.5)=(AE302=1),1,0))</f>
        <v>1</v>
      </c>
      <c r="AI302" s="17" t="str">
        <f>IF(AF302&gt;V302,"Üst",IF(AF302&lt;V302,"Alt","Push"))</f>
        <v>Üst</v>
      </c>
    </row>
    <row r="303" spans="1:35">
      <c r="A303" s="7">
        <v>46124</v>
      </c>
      <c r="B303" s="8" t="s">
        <v>526</v>
      </c>
      <c r="C303" s="8" t="s">
        <v>86</v>
      </c>
      <c r="D303" s="8" t="s">
        <v>61</v>
      </c>
      <c r="E303" s="9">
        <v>128</v>
      </c>
      <c r="F303" s="9">
        <v>149</v>
      </c>
      <c r="G303" s="10">
        <v>-5.5</v>
      </c>
      <c r="H303" s="11">
        <v>250.5</v>
      </c>
      <c r="I303" s="10">
        <v>-7.5</v>
      </c>
      <c r="J303" s="12">
        <v>1.344827586206897</v>
      </c>
      <c r="K303" s="12">
        <v>3.35</v>
      </c>
      <c r="L303" s="11">
        <v>245.5</v>
      </c>
      <c r="M303" s="12">
        <v>1.909090909090909</v>
      </c>
      <c r="N303" s="12">
        <v>1.909090909090909</v>
      </c>
      <c r="O303" s="10">
        <v>-5.5</v>
      </c>
      <c r="P303" s="12">
        <v>1.952380952380952</v>
      </c>
      <c r="Q303" s="12">
        <v>1.869565217391304</v>
      </c>
      <c r="R303" s="12">
        <v>1.48780487804878</v>
      </c>
      <c r="S303" s="12">
        <v>2.7</v>
      </c>
      <c r="T303" s="8" t="s">
        <v>153</v>
      </c>
      <c r="U303" s="8" t="s">
        <v>152</v>
      </c>
      <c r="V303" s="11">
        <v>249.5</v>
      </c>
      <c r="W303" s="12">
        <v>1.869565217391304</v>
      </c>
      <c r="X303" s="12">
        <v>1.952380952380952</v>
      </c>
      <c r="Y303" s="13">
        <f>(1/R303)/((1/R303)+(1/S303))</f>
        <v>0.644729178800233</v>
      </c>
      <c r="Z303" s="13">
        <f>(1/J303)/((1/J303)+(1/K303))</f>
        <v>0.7135512302607419</v>
      </c>
      <c r="AA303" s="14">
        <f>1/R303+1/S303-1</f>
        <v>0.042501517911353925</v>
      </c>
      <c r="AB303" s="15">
        <f>O303-I303</f>
        <v>2.0</v>
      </c>
      <c r="AC303" s="15">
        <f>IF(G303="","",G303-O303)</f>
        <v>0.0</v>
      </c>
      <c r="AD303" s="15">
        <f>H303-V303</f>
        <v>1.0</v>
      </c>
      <c r="AE303" s="16">
        <f>IF(F303&gt;E303,1,0)</f>
        <v>1</v>
      </c>
      <c r="AF303" s="16">
        <f>F303+E303</f>
        <v>277</v>
      </c>
      <c r="AG303" s="16">
        <f>IF(Y303=0.5,"",IF((Y303&gt;0.5)=(AE303=1),1,0))</f>
        <v>1</v>
      </c>
      <c r="AH303" s="16">
        <f>IF(Z303=0.5,"",IF((Z303&gt;0.5)=(AE303=1),1,0))</f>
        <v>1</v>
      </c>
      <c r="AI303" s="17" t="str">
        <f>IF(AF303&gt;V303,"Üst",IF(AF303&lt;V303,"Alt","Push"))</f>
        <v>Üst</v>
      </c>
    </row>
    <row r="304" spans="1:35">
      <c r="A304" s="7">
        <v>46124</v>
      </c>
      <c r="B304" s="8" t="s">
        <v>527</v>
      </c>
      <c r="C304" s="8" t="s">
        <v>47</v>
      </c>
      <c r="D304" s="8" t="s">
        <v>74</v>
      </c>
      <c r="E304" s="9">
        <v>101</v>
      </c>
      <c r="F304" s="9">
        <v>132</v>
      </c>
      <c r="G304" s="10">
        <v>-14.5</v>
      </c>
      <c r="H304" s="11">
        <v>231.5</v>
      </c>
      <c r="I304" s="10">
        <v>-16.5</v>
      </c>
      <c r="J304" s="12">
        <v>1.074074074074074</v>
      </c>
      <c r="K304" s="12">
        <v>9</v>
      </c>
      <c r="L304" s="11">
        <v>226.5</v>
      </c>
      <c r="M304" s="12">
        <v>1.909090909090909</v>
      </c>
      <c r="N304" s="12">
        <v>1.909090909090909</v>
      </c>
      <c r="O304" s="10">
        <v>-14.5</v>
      </c>
      <c r="P304" s="12">
        <v>1.869565217391304</v>
      </c>
      <c r="Q304" s="12">
        <v>1.952380952380952</v>
      </c>
      <c r="R304" s="12">
        <v>1.090909090909091</v>
      </c>
      <c r="S304" s="12">
        <v>8</v>
      </c>
      <c r="T304" s="8" t="s">
        <v>174</v>
      </c>
      <c r="U304" s="8" t="s">
        <v>173</v>
      </c>
      <c r="V304" s="11">
        <v>230.5</v>
      </c>
      <c r="W304" s="12">
        <v>1.869565217391304</v>
      </c>
      <c r="X304" s="12">
        <v>1.952380952380952</v>
      </c>
      <c r="Y304" s="13">
        <f>(1/R304)/((1/R304)+(1/S304))</f>
        <v>0.88</v>
      </c>
      <c r="Z304" s="13">
        <f>(1/J304)/((1/J304)+(1/K304))</f>
        <v>0.8933823529411764</v>
      </c>
      <c r="AA304" s="14">
        <f>1/R304+1/S304-1</f>
        <v>0.04166666666666674</v>
      </c>
      <c r="AB304" s="15">
        <f>O304-I304</f>
        <v>2.0</v>
      </c>
      <c r="AC304" s="15">
        <f>IF(G304="","",G304-O304)</f>
        <v>0.0</v>
      </c>
      <c r="AD304" s="15">
        <f>H304-V304</f>
        <v>1.0</v>
      </c>
      <c r="AE304" s="16">
        <f>IF(F304&gt;E304,1,0)</f>
        <v>1</v>
      </c>
      <c r="AF304" s="16">
        <f>F304+E304</f>
        <v>233</v>
      </c>
      <c r="AG304" s="16">
        <f>IF(Y304=0.5,"",IF((Y304&gt;0.5)=(AE304=1),1,0))</f>
        <v>1</v>
      </c>
      <c r="AH304" s="16">
        <f>IF(Z304=0.5,"",IF((Z304&gt;0.5)=(AE304=1),1,0))</f>
        <v>1</v>
      </c>
      <c r="AI304" s="17" t="str">
        <f>IF(AF304&gt;V304,"Üst",IF(AF304&lt;V304,"Alt","Push"))</f>
        <v>Üst</v>
      </c>
    </row>
    <row r="305" spans="1:35">
      <c r="A305" s="7">
        <v>46124</v>
      </c>
      <c r="B305" s="8" t="s">
        <v>528</v>
      </c>
      <c r="C305" s="8" t="s">
        <v>96</v>
      </c>
      <c r="D305" s="8" t="s">
        <v>77</v>
      </c>
      <c r="E305" s="9">
        <v>126</v>
      </c>
      <c r="F305" s="9">
        <v>132</v>
      </c>
      <c r="G305" s="10">
        <v>-3.5</v>
      </c>
      <c r="H305" s="11">
        <v>239.5</v>
      </c>
      <c r="I305" s="10">
        <v>-10.5</v>
      </c>
      <c r="J305" s="12">
        <v>1.212765957446809</v>
      </c>
      <c r="K305" s="12">
        <v>4.6</v>
      </c>
      <c r="L305" s="11">
        <v>233.5</v>
      </c>
      <c r="M305" s="12">
        <v>1.909090909090909</v>
      </c>
      <c r="N305" s="12">
        <v>1.909090909090909</v>
      </c>
      <c r="O305" s="10">
        <v>-3.5</v>
      </c>
      <c r="P305" s="12">
        <v>1.892857142857143</v>
      </c>
      <c r="Q305" s="12">
        <v>1.925925925925926</v>
      </c>
      <c r="R305" s="12">
        <v>1.555555555555556</v>
      </c>
      <c r="S305" s="12">
        <v>2.5</v>
      </c>
      <c r="T305" s="8" t="s">
        <v>344</v>
      </c>
      <c r="U305" s="8" t="s">
        <v>343</v>
      </c>
      <c r="V305" s="11">
        <v>239.5</v>
      </c>
      <c r="W305" s="12">
        <v>1.952380952380952</v>
      </c>
      <c r="X305" s="12">
        <v>1.869565217391304</v>
      </c>
      <c r="Y305" s="13">
        <f>(1/R305)/((1/R305)+(1/S305))</f>
        <v>0.6164383561643836</v>
      </c>
      <c r="Z305" s="13">
        <f>(1/J305)/((1/J305)+(1/K305))</f>
        <v>0.7913616398243044</v>
      </c>
      <c r="AA305" s="14">
        <f>1/R305+1/S305-1</f>
        <v>0.042857142857142705</v>
      </c>
      <c r="AB305" s="15">
        <f>O305-I305</f>
        <v>7.0</v>
      </c>
      <c r="AC305" s="15">
        <f>IF(G305="","",G305-O305)</f>
        <v>0.0</v>
      </c>
      <c r="AD305" s="15">
        <f>H305-V305</f>
        <v>0.0</v>
      </c>
      <c r="AE305" s="16">
        <f>IF(F305&gt;E305,1,0)</f>
        <v>1</v>
      </c>
      <c r="AF305" s="16">
        <f>F305+E305</f>
        <v>258</v>
      </c>
      <c r="AG305" s="16">
        <f>IF(Y305=0.5,"",IF((Y305&gt;0.5)=(AE305=1),1,0))</f>
        <v>1</v>
      </c>
      <c r="AH305" s="16">
        <f>IF(Z305=0.5,"",IF((Z305&gt;0.5)=(AE305=1),1,0))</f>
        <v>1</v>
      </c>
      <c r="AI305" s="17" t="str">
        <f>IF(AF305&gt;V305,"Üst",IF(AF305&lt;V305,"Alt","Push"))</f>
        <v>Üst</v>
      </c>
    </row>
    <row r="306" spans="1:35">
      <c r="A306" s="7">
        <v>46124</v>
      </c>
      <c r="B306" s="8" t="s">
        <v>529</v>
      </c>
      <c r="C306" s="8" t="s">
        <v>87</v>
      </c>
      <c r="D306" s="8" t="s">
        <v>130</v>
      </c>
      <c r="E306" s="9">
        <v>135</v>
      </c>
      <c r="F306" s="9">
        <v>103</v>
      </c>
      <c r="G306" s="10">
        <v>-7.5</v>
      </c>
      <c r="H306" s="11">
        <v>212.5</v>
      </c>
      <c r="I306" s="10">
        <v>-5.5</v>
      </c>
      <c r="J306" s="12">
        <v>1.444444444444444</v>
      </c>
      <c r="K306" s="12">
        <v>2.85</v>
      </c>
      <c r="L306" s="11">
        <v>215.5</v>
      </c>
      <c r="M306" s="12">
        <v>1.952380952380952</v>
      </c>
      <c r="N306" s="12">
        <v>1.869565217391304</v>
      </c>
      <c r="O306" s="10">
        <v>-7.5</v>
      </c>
      <c r="P306" s="12">
        <v>1.952380952380952</v>
      </c>
      <c r="Q306" s="12">
        <v>1.869565217391304</v>
      </c>
      <c r="R306" s="12">
        <v>1.32258064516129</v>
      </c>
      <c r="S306" s="12">
        <v>3.5</v>
      </c>
      <c r="T306" s="8" t="s">
        <v>260</v>
      </c>
      <c r="U306" s="8" t="s">
        <v>259</v>
      </c>
      <c r="V306" s="11">
        <v>213.5</v>
      </c>
      <c r="W306" s="12">
        <v>1.925925925925926</v>
      </c>
      <c r="X306" s="12">
        <v>1.892857142857143</v>
      </c>
      <c r="Y306" s="13">
        <f>(1/R306)/((1/R306)+(1/S306))</f>
        <v>0.725752508361204</v>
      </c>
      <c r="Z306" s="13">
        <f>(1/J306)/((1/J306)+(1/K306))</f>
        <v>0.6636481241914618</v>
      </c>
      <c r="AA306" s="14">
        <f>1/R306+1/S306-1</f>
        <v>0.04181184668989557</v>
      </c>
      <c r="AB306" s="15">
        <f>O306-I306</f>
        <v>-2.0</v>
      </c>
      <c r="AC306" s="15">
        <f>IF(G306="","",G306-O306)</f>
        <v>0.0</v>
      </c>
      <c r="AD306" s="15">
        <f>H306-V306</f>
        <v>-1.0</v>
      </c>
      <c r="AE306" s="16">
        <f>IF(F306&gt;E306,1,0)</f>
        <v>0</v>
      </c>
      <c r="AF306" s="16">
        <f>F306+E306</f>
        <v>238</v>
      </c>
      <c r="AG306" s="16">
        <f>IF(Y306=0.5,"",IF((Y306&gt;0.5)=(AE306=1),1,0))</f>
        <v>0</v>
      </c>
      <c r="AH306" s="16">
        <f>IF(Z306=0.5,"",IF((Z306&gt;0.5)=(AE306=1),1,0))</f>
        <v>0</v>
      </c>
      <c r="AI306" s="17" t="str">
        <f>IF(AF306&gt;V306,"Üst",IF(AF306&lt;V306,"Alt","Push"))</f>
        <v>Üst</v>
      </c>
    </row>
    <row r="307" spans="1:35">
      <c r="A307" s="7">
        <v>46124</v>
      </c>
      <c r="B307" s="8" t="s">
        <v>530</v>
      </c>
      <c r="C307" s="8" t="s">
        <v>92</v>
      </c>
      <c r="D307" s="8" t="s">
        <v>82</v>
      </c>
      <c r="E307" s="9">
        <v>128</v>
      </c>
      <c r="F307" s="9">
        <v>118</v>
      </c>
      <c r="G307" s="10">
        <v>-10.5</v>
      </c>
      <c r="H307" s="11">
        <v>234.5</v>
      </c>
      <c r="I307" s="10">
        <v>2.5</v>
      </c>
      <c r="J307" s="12">
        <v>2.14</v>
      </c>
      <c r="K307" s="12">
        <v>1.740740740740741</v>
      </c>
      <c r="L307" s="11">
        <v>238.5</v>
      </c>
      <c r="M307" s="12">
        <v>1.869565217391304</v>
      </c>
      <c r="N307" s="12">
        <v>1.952380952380952</v>
      </c>
      <c r="O307" s="10">
        <v>-9.5</v>
      </c>
      <c r="P307" s="12">
        <v>1.892857142857143</v>
      </c>
      <c r="Q307" s="12">
        <v>1.925925925925926</v>
      </c>
      <c r="R307" s="12">
        <v>1.227272727272727</v>
      </c>
      <c r="S307" s="12">
        <v>4.4</v>
      </c>
      <c r="T307" s="8" t="s">
        <v>127</v>
      </c>
      <c r="U307" s="8" t="s">
        <v>128</v>
      </c>
      <c r="V307" s="11">
        <v>235.5</v>
      </c>
      <c r="W307" s="12">
        <v>1.925925925925926</v>
      </c>
      <c r="X307" s="12">
        <v>1.892857142857143</v>
      </c>
      <c r="Y307" s="13">
        <f>(1/R307)/((1/R307)+(1/S307))</f>
        <v>0.7819063004846527</v>
      </c>
      <c r="Z307" s="13">
        <f>(1/J307)/((1/J307)+(1/K307))</f>
        <v>0.44855888528345106</v>
      </c>
      <c r="AA307" s="14">
        <f>1/R307+1/S307-1</f>
        <v>0.04208754208754195</v>
      </c>
      <c r="AB307" s="15">
        <f>O307-I307</f>
        <v>-12.0</v>
      </c>
      <c r="AC307" s="15">
        <f>IF(G307="","",G307-O307)</f>
        <v>-1.0</v>
      </c>
      <c r="AD307" s="15">
        <f>H307-V307</f>
        <v>-1.0</v>
      </c>
      <c r="AE307" s="16">
        <f>IF(F307&gt;E307,1,0)</f>
        <v>0</v>
      </c>
      <c r="AF307" s="16">
        <f>F307+E307</f>
        <v>246</v>
      </c>
      <c r="AG307" s="16">
        <f>IF(Y307=0.5,"",IF((Y307&gt;0.5)=(AE307=1),1,0))</f>
        <v>0</v>
      </c>
      <c r="AH307" s="16">
        <f>IF(Z307=0.5,"",IF((Z307&gt;0.5)=(AE307=1),1,0))</f>
        <v>1</v>
      </c>
      <c r="AI307" s="17" t="str">
        <f>IF(AF307&gt;V307,"Üst",IF(AF307&lt;V307,"Alt","Push"))</f>
        <v>Üst</v>
      </c>
    </row>
    <row r="308" spans="1:35">
      <c r="A308" s="7">
        <v>46124</v>
      </c>
      <c r="B308" s="8" t="s">
        <v>531</v>
      </c>
      <c r="C308" s="8" t="s">
        <v>41</v>
      </c>
      <c r="D308" s="8" t="s">
        <v>91</v>
      </c>
      <c r="E308" s="9">
        <v>107</v>
      </c>
      <c r="F308" s="9">
        <v>131</v>
      </c>
      <c r="G308" s="10">
        <v>-14.5</v>
      </c>
      <c r="H308" s="11">
        <v>239.5</v>
      </c>
      <c r="I308" s="10">
        <v>-16.5</v>
      </c>
      <c r="J308" s="12">
        <v>1.060606060606061</v>
      </c>
      <c r="K308" s="12">
        <v>10.5</v>
      </c>
      <c r="L308" s="11">
        <v>236.5</v>
      </c>
      <c r="M308" s="12">
        <v>1.909090909090909</v>
      </c>
      <c r="N308" s="12">
        <v>1.909090909090909</v>
      </c>
      <c r="O308" s="10">
        <v>-14.5</v>
      </c>
      <c r="P308" s="12">
        <v>1.909090909090909</v>
      </c>
      <c r="Q308" s="12">
        <v>1.909090909090909</v>
      </c>
      <c r="R308" s="12">
        <v>1.090909090909091</v>
      </c>
      <c r="S308" s="12">
        <v>8</v>
      </c>
      <c r="T308" s="8" t="s">
        <v>174</v>
      </c>
      <c r="U308" s="8" t="s">
        <v>173</v>
      </c>
      <c r="V308" s="11">
        <v>239.5</v>
      </c>
      <c r="W308" s="12">
        <v>1.909090909090909</v>
      </c>
      <c r="X308" s="12">
        <v>1.909090909090909</v>
      </c>
      <c r="Y308" s="13">
        <f>(1/R308)/((1/R308)+(1/S308))</f>
        <v>0.88</v>
      </c>
      <c r="Z308" s="13">
        <f>(1/J308)/((1/J308)+(1/K308))</f>
        <v>0.908256880733945</v>
      </c>
      <c r="AA308" s="14">
        <f>1/R308+1/S308-1</f>
        <v>0.04166666666666674</v>
      </c>
      <c r="AB308" s="15">
        <f>O308-I308</f>
        <v>2.0</v>
      </c>
      <c r="AC308" s="15">
        <f>IF(G308="","",G308-O308)</f>
        <v>0.0</v>
      </c>
      <c r="AD308" s="15">
        <f>H308-V308</f>
        <v>0.0</v>
      </c>
      <c r="AE308" s="16">
        <f>IF(F308&gt;E308,1,0)</f>
        <v>1</v>
      </c>
      <c r="AF308" s="16">
        <f>F308+E308</f>
        <v>238</v>
      </c>
      <c r="AG308" s="16">
        <f>IF(Y308=0.5,"",IF((Y308&gt;0.5)=(AE308=1),1,0))</f>
        <v>1</v>
      </c>
      <c r="AH308" s="16">
        <f>IF(Z308=0.5,"",IF((Z308&gt;0.5)=(AE308=1),1,0))</f>
        <v>1</v>
      </c>
      <c r="AI308" s="17" t="str">
        <f>IF(AF308&gt;V308,"Üst",IF(AF308&lt;V308,"Alt","Push"))</f>
        <v>Alt</v>
      </c>
    </row>
    <row r="309" spans="1:35">
      <c r="A309" s="7">
        <v>46124</v>
      </c>
      <c r="B309" s="8" t="s">
        <v>532</v>
      </c>
      <c r="C309" s="8" t="s">
        <v>73</v>
      </c>
      <c r="D309" s="8" t="s">
        <v>57</v>
      </c>
      <c r="E309" s="9">
        <v>110</v>
      </c>
      <c r="F309" s="9">
        <v>115</v>
      </c>
      <c r="G309" s="10">
        <v>-3.5</v>
      </c>
      <c r="H309" s="11">
        <v>229.5</v>
      </c>
      <c r="I309" s="10">
        <v>-8.5</v>
      </c>
      <c r="J309" s="12">
        <v>1.277777777777778</v>
      </c>
      <c r="K309" s="12">
        <v>3.85</v>
      </c>
      <c r="L309" s="11">
        <v>224.5</v>
      </c>
      <c r="M309" s="12">
        <v>1.952380952380952</v>
      </c>
      <c r="N309" s="12">
        <v>1.869565217391304</v>
      </c>
      <c r="O309" s="10">
        <v>-3.5</v>
      </c>
      <c r="P309" s="12">
        <v>1.892857142857143</v>
      </c>
      <c r="Q309" s="12">
        <v>1.925925925925926</v>
      </c>
      <c r="R309" s="12">
        <v>1.617283950617284</v>
      </c>
      <c r="S309" s="12">
        <v>2.36</v>
      </c>
      <c r="T309" s="8" t="s">
        <v>182</v>
      </c>
      <c r="U309" s="8" t="s">
        <v>183</v>
      </c>
      <c r="V309" s="11">
        <v>229.5</v>
      </c>
      <c r="W309" s="12">
        <v>1.909090909090909</v>
      </c>
      <c r="X309" s="12">
        <v>1.909090909090909</v>
      </c>
      <c r="Y309" s="13">
        <f>(1/R309)/((1/R309)+(1/S309))</f>
        <v>0.593369754159424</v>
      </c>
      <c r="Z309" s="13">
        <f>(1/J309)/((1/J309)+(1/K309))</f>
        <v>0.7508125677139762</v>
      </c>
      <c r="AA309" s="14">
        <f>1/R309+1/S309-1</f>
        <v>0.042049424246344724</v>
      </c>
      <c r="AB309" s="15">
        <f>O309-I309</f>
        <v>5.0</v>
      </c>
      <c r="AC309" s="15">
        <f>IF(G309="","",G309-O309)</f>
        <v>0.0</v>
      </c>
      <c r="AD309" s="15">
        <f>H309-V309</f>
        <v>0.0</v>
      </c>
      <c r="AE309" s="16">
        <f>IF(F309&gt;E309,1,0)</f>
        <v>1</v>
      </c>
      <c r="AF309" s="16">
        <f>F309+E309</f>
        <v>225</v>
      </c>
      <c r="AG309" s="16">
        <f>IF(Y309=0.5,"",IF((Y309&gt;0.5)=(AE309=1),1,0))</f>
        <v>1</v>
      </c>
      <c r="AH309" s="16">
        <f>IF(Z309=0.5,"",IF((Z309&gt;0.5)=(AE309=1),1,0))</f>
        <v>1</v>
      </c>
      <c r="AI309" s="17" t="str">
        <f>IF(AF309&gt;V309,"Üst",IF(AF309&lt;V309,"Alt","Push"))</f>
        <v>Alt</v>
      </c>
    </row>
    <row r="310" spans="1:35">
      <c r="A310" s="7">
        <v>46124</v>
      </c>
      <c r="B310" s="8" t="s">
        <v>533</v>
      </c>
      <c r="C310" s="8" t="s">
        <v>97</v>
      </c>
      <c r="D310" s="8" t="s">
        <v>46</v>
      </c>
      <c r="E310" s="9">
        <v>110</v>
      </c>
      <c r="F310" s="9">
        <v>122</v>
      </c>
      <c r="G310" s="10">
        <v>-19.5</v>
      </c>
      <c r="H310" s="11">
        <v>226.5</v>
      </c>
      <c r="I310" s="10">
        <v>-16.5</v>
      </c>
      <c r="J310" s="12">
        <v>1.068965517241379</v>
      </c>
      <c r="K310" s="12">
        <v>9.5</v>
      </c>
      <c r="L310" s="11">
        <v>228.5</v>
      </c>
      <c r="M310" s="12">
        <v>1.909090909090909</v>
      </c>
      <c r="N310" s="12">
        <v>1.909090909090909</v>
      </c>
      <c r="O310" s="10">
        <v>-18.5</v>
      </c>
      <c r="P310" s="12">
        <v>1.909090909090909</v>
      </c>
      <c r="Q310" s="12">
        <v>1.909090909090909</v>
      </c>
      <c r="R310" s="12">
        <v>1.041666666666667</v>
      </c>
      <c r="S310" s="12">
        <v>13</v>
      </c>
      <c r="T310" s="8" t="s">
        <v>238</v>
      </c>
      <c r="U310" s="8" t="s">
        <v>239</v>
      </c>
      <c r="V310" s="11">
        <v>226.5</v>
      </c>
      <c r="W310" s="12">
        <v>1.925925925925926</v>
      </c>
      <c r="X310" s="12">
        <v>1.892857142857143</v>
      </c>
      <c r="Y310" s="13">
        <f>(1/R310)/((1/R310)+(1/S310))</f>
        <v>0.9258160237388724</v>
      </c>
      <c r="Z310" s="13">
        <f>(1/J310)/((1/J310)+(1/K310))</f>
        <v>0.8988580750407832</v>
      </c>
      <c r="AA310" s="14">
        <f>1/R310+1/S310-1</f>
        <v>0.036923076923076836</v>
      </c>
      <c r="AB310" s="15">
        <f>O310-I310</f>
        <v>-2.0</v>
      </c>
      <c r="AC310" s="15">
        <f>IF(G310="","",G310-O310)</f>
        <v>-1.0</v>
      </c>
      <c r="AD310" s="15">
        <f>H310-V310</f>
        <v>0.0</v>
      </c>
      <c r="AE310" s="16">
        <f>IF(F310&gt;E310,1,0)</f>
        <v>1</v>
      </c>
      <c r="AF310" s="16">
        <f>F310+E310</f>
        <v>232</v>
      </c>
      <c r="AG310" s="16">
        <f>IF(Y310=0.5,"",IF((Y310&gt;0.5)=(AE310=1),1,0))</f>
        <v>1</v>
      </c>
      <c r="AH310" s="16">
        <f>IF(Z310=0.5,"",IF((Z310&gt;0.5)=(AE310=1),1,0))</f>
        <v>1</v>
      </c>
      <c r="AI310" s="17" t="str">
        <f>IF(AF310&gt;V310,"Üst",IF(AF310&lt;V310,"Alt","Push"))</f>
        <v>Üst</v>
      </c>
    </row>
  </sheetData>
  <autoFilter ref="A2:AI310"/>
  <mergeCells count="5">
    <mergeCell ref="A1:F1"/>
    <mergeCell ref="G1:H1"/>
    <mergeCell ref="I1:N1"/>
    <mergeCell ref="O1:X1"/>
    <mergeCell ref="Y1:AI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58.7109375" customWidth="1"/>
    <col min="2" max="2" width="14.7109375" customWidth="1"/>
  </cols>
  <sheetData>
    <row r="1" spans="1:2">
      <c r="A1" s="18" t="s">
        <v>534</v>
      </c>
    </row>
    <row r="3" spans="1:2">
      <c r="A3" t="s">
        <v>535</v>
      </c>
      <c r="B3" s="16">
        <f>COUNTA(Oranlar!B3:B310)</f>
        <v>308</v>
      </c>
    </row>
    <row r="4" spans="1:2">
      <c r="A4" t="s">
        <v>536</v>
      </c>
      <c r="B4" s="16">
        <f>COUNT(Oranlar!G3:G310)</f>
        <v>307</v>
      </c>
    </row>
    <row r="5" spans="1:2">
      <c r="A5" t="s">
        <v>537</v>
      </c>
      <c r="B5" s="13">
        <f>COUNTIF(Oranlar!AC3:AC310,0)/COUNT(Oranlar!AC3:AC310)</f>
        <v>0.8273615635179153</v>
      </c>
    </row>
    <row r="6" spans="1:2">
      <c r="A6" t="s">
        <v>538</v>
      </c>
      <c r="B6" s="13">
        <f>COUNTIFS(Oranlar!AC3:AC310,"&gt;=-1",Oranlar!AC3:AC310,"&lt;=1")/COUNT(Oranlar!AC3:AC310)</f>
        <v>0.996742671009772</v>
      </c>
    </row>
    <row r="7" spans="1:2">
      <c r="A7" t="s">
        <v>539</v>
      </c>
      <c r="B7" s="13">
        <f>COUNTIF(Oranlar!AD3:AD310,0)/COUNT(Oranlar!AD3:AD310)</f>
        <v>0.6590909090909091</v>
      </c>
    </row>
    <row r="8" spans="1:2">
      <c r="A8" t="s">
        <v>540</v>
      </c>
      <c r="B8" s="13">
        <f>COUNTIFS(Oranlar!AD3:AD310,"&gt;=-1",Oranlar!AD3:AD310,"&lt;=1")/COUNT(Oranlar!AD3:AD310)</f>
        <v>0.9935064935064936</v>
      </c>
    </row>
    <row r="9" spans="1:2">
      <c r="A9" t="s">
        <v>541</v>
      </c>
      <c r="B9" s="14">
        <f>AVERAGE(Oranlar!AA3:AA310)</f>
        <v>0.04195216090841655</v>
      </c>
    </row>
    <row r="10" spans="1:2">
      <c r="A10" t="s">
        <v>542</v>
      </c>
      <c r="B10" s="14">
        <f>MEDIAN(Oranlar!AA3:AA310)</f>
        <v>0.042229729729729826</v>
      </c>
    </row>
    <row r="11" spans="1:2">
      <c r="A11" t="s">
        <v>543</v>
      </c>
      <c r="B11" s="13">
        <f>AVERAGE(Oranlar!AG3:AG310)</f>
        <v>0.775974025974026</v>
      </c>
    </row>
    <row r="12" spans="1:2">
      <c r="A12" t="s">
        <v>544</v>
      </c>
      <c r="B12" s="13">
        <f>AVERAGE(Oranlar!AH3:AH310)</f>
        <v>0.7715231788079471</v>
      </c>
    </row>
    <row r="13" spans="1:2">
      <c r="A13" t="s">
        <v>545</v>
      </c>
      <c r="B13" s="16">
        <f>COUNTIF(Oranlar!Z3:Z310,0.5)</f>
        <v>6</v>
      </c>
    </row>
    <row r="14" spans="1:2">
      <c r="A14" t="s">
        <v>546</v>
      </c>
      <c r="B14" s="13">
        <f>AVERAGE(Oranlar!AE3:AE310)</f>
        <v>0.6136363636363636</v>
      </c>
    </row>
    <row r="15" spans="1:2">
      <c r="A15" t="s">
        <v>547</v>
      </c>
      <c r="B15" s="13">
        <f>COUNTIF(Oranlar!AI3:AI310,"Üst")/COUNTA(Oranlar!AI3:AI310)</f>
        <v>0.5357142857142857</v>
      </c>
    </row>
    <row r="16" spans="1:2">
      <c r="A16" t="s">
        <v>548</v>
      </c>
      <c r="B16" s="15">
        <f>SUMPRODUCT(ABS(Oranlar!AB3:AB310))/COUNT(Oranlar!AB3:AB310)</f>
        <v>1.5876623376623376</v>
      </c>
    </row>
    <row r="18" spans="1:1">
      <c r="A18" s="19" t="s"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30.7109375" customWidth="1"/>
    <col min="2" max="2" width="110.7109375" customWidth="1"/>
  </cols>
  <sheetData>
    <row r="1" spans="1:2">
      <c r="A1" s="18" t="s">
        <v>550</v>
      </c>
    </row>
    <row r="3" spans="1:2">
      <c r="A3" s="20" t="s">
        <v>551</v>
      </c>
      <c r="B3" s="19" t="s">
        <v>552</v>
      </c>
    </row>
    <row r="4" spans="1:2">
      <c r="A4" s="20" t="s">
        <v>553</v>
      </c>
      <c r="B4" s="19" t="s">
        <v>554</v>
      </c>
    </row>
    <row r="5" spans="1:2">
      <c r="A5" s="20" t="s">
        <v>555</v>
      </c>
      <c r="B5" s="19" t="s">
        <v>556</v>
      </c>
    </row>
    <row r="6" spans="1:2">
      <c r="A6" s="20"/>
      <c r="B6" s="19" t="s">
        <v>557</v>
      </c>
    </row>
    <row r="7" spans="1:2">
      <c r="A7" s="20" t="s">
        <v>558</v>
      </c>
      <c r="B7" s="19" t="s">
        <v>559</v>
      </c>
    </row>
    <row r="8" spans="1:2">
      <c r="A8" s="20" t="s">
        <v>560</v>
      </c>
      <c r="B8" s="19" t="s">
        <v>561</v>
      </c>
    </row>
    <row r="9" spans="1:2">
      <c r="A9" s="20" t="s">
        <v>562</v>
      </c>
      <c r="B9" s="19" t="s">
        <v>563</v>
      </c>
    </row>
    <row r="10" spans="1:2">
      <c r="A10" s="20" t="s">
        <v>564</v>
      </c>
      <c r="B10" s="19" t="s">
        <v>565</v>
      </c>
    </row>
    <row r="11" spans="1:2">
      <c r="A11" s="20" t="s">
        <v>566</v>
      </c>
      <c r="B11" s="19" t="s">
        <v>567</v>
      </c>
    </row>
    <row r="12" spans="1:2">
      <c r="A12" s="20" t="s">
        <v>568</v>
      </c>
      <c r="B12" s="19" t="s">
        <v>569</v>
      </c>
    </row>
    <row r="13" spans="1:2">
      <c r="A13" s="20"/>
      <c r="B13" s="19" t="s">
        <v>570</v>
      </c>
    </row>
    <row r="14" spans="1:2">
      <c r="A14" s="20"/>
      <c r="B14" s="19" t="s">
        <v>571</v>
      </c>
    </row>
    <row r="15" spans="1:2">
      <c r="A15" s="20" t="s">
        <v>572</v>
      </c>
      <c r="B15" s="19" t="s">
        <v>573</v>
      </c>
    </row>
    <row r="16" spans="1:2">
      <c r="A16" s="20"/>
      <c r="B16" s="19" t="s">
        <v>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3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1.7109375" customWidth="1"/>
    <col min="2" max="2" width="12.7109375" customWidth="1"/>
    <col min="3" max="50" width="11.7109375" customWidth="1"/>
  </cols>
  <sheetData>
    <row r="1" spans="1:50">
      <c r="A1" s="20" t="s">
        <v>621</v>
      </c>
    </row>
    <row r="2" spans="1:50" ht="66" customHeight="1">
      <c r="A2" s="6" t="s">
        <v>5</v>
      </c>
      <c r="B2" s="6" t="s">
        <v>0</v>
      </c>
      <c r="C2" s="6" t="s">
        <v>10</v>
      </c>
      <c r="D2" s="6" t="s">
        <v>9</v>
      </c>
      <c r="E2" s="6" t="s">
        <v>575</v>
      </c>
      <c r="F2" s="6" t="s">
        <v>576</v>
      </c>
      <c r="G2" s="6" t="s">
        <v>577</v>
      </c>
      <c r="H2" s="6" t="s">
        <v>578</v>
      </c>
      <c r="I2" s="6" t="s">
        <v>579</v>
      </c>
      <c r="J2" s="6" t="s">
        <v>580</v>
      </c>
      <c r="K2" s="6" t="s">
        <v>581</v>
      </c>
      <c r="L2" s="6" t="s">
        <v>582</v>
      </c>
      <c r="M2" s="6" t="s">
        <v>583</v>
      </c>
      <c r="N2" s="6" t="s">
        <v>584</v>
      </c>
      <c r="O2" s="6" t="s">
        <v>585</v>
      </c>
      <c r="P2" s="6" t="s">
        <v>586</v>
      </c>
      <c r="Q2" s="6" t="s">
        <v>587</v>
      </c>
      <c r="R2" s="6" t="s">
        <v>588</v>
      </c>
      <c r="S2" s="6" t="s">
        <v>589</v>
      </c>
      <c r="T2" s="6" t="s">
        <v>590</v>
      </c>
      <c r="U2" s="6" t="s">
        <v>591</v>
      </c>
      <c r="V2" s="6" t="s">
        <v>592</v>
      </c>
      <c r="W2" s="6" t="s">
        <v>593</v>
      </c>
      <c r="X2" s="6" t="s">
        <v>594</v>
      </c>
      <c r="Y2" s="6" t="s">
        <v>595</v>
      </c>
      <c r="Z2" s="6" t="s">
        <v>596</v>
      </c>
      <c r="AA2" s="6" t="s">
        <v>597</v>
      </c>
      <c r="AB2" s="6" t="s">
        <v>598</v>
      </c>
      <c r="AC2" s="6" t="s">
        <v>599</v>
      </c>
      <c r="AD2" s="6" t="s">
        <v>600</v>
      </c>
      <c r="AE2" s="6" t="s">
        <v>601</v>
      </c>
      <c r="AF2" s="6" t="s">
        <v>602</v>
      </c>
      <c r="AG2" s="6" t="s">
        <v>603</v>
      </c>
      <c r="AH2" s="6" t="s">
        <v>604</v>
      </c>
      <c r="AI2" s="6" t="s">
        <v>605</v>
      </c>
      <c r="AJ2" s="6" t="s">
        <v>606</v>
      </c>
      <c r="AK2" s="6" t="s">
        <v>607</v>
      </c>
      <c r="AL2" s="6" t="s">
        <v>608</v>
      </c>
      <c r="AM2" s="6" t="s">
        <v>609</v>
      </c>
      <c r="AN2" s="6" t="s">
        <v>610</v>
      </c>
      <c r="AO2" s="6" t="s">
        <v>611</v>
      </c>
      <c r="AP2" s="6" t="s">
        <v>612</v>
      </c>
      <c r="AQ2" s="6" t="s">
        <v>613</v>
      </c>
      <c r="AR2" s="6" t="s">
        <v>614</v>
      </c>
      <c r="AS2" s="6" t="s">
        <v>615</v>
      </c>
      <c r="AT2" s="6" t="s">
        <v>616</v>
      </c>
      <c r="AU2" s="6" t="s">
        <v>617</v>
      </c>
      <c r="AV2" s="6" t="s">
        <v>618</v>
      </c>
      <c r="AW2" s="6" t="s">
        <v>619</v>
      </c>
      <c r="AX2" s="6" t="s">
        <v>620</v>
      </c>
    </row>
    <row r="3" spans="1:50">
      <c r="A3" s="21">
        <f>Oranlar!A3</f>
        <v>46085</v>
      </c>
      <c r="B3" s="22" t="str">
        <f>Oranlar!C3&amp;" @ "&amp;Oranlar!D3</f>
        <v>UTA @ PHI</v>
      </c>
      <c r="C3" s="23">
        <f>Oranlar!F3</f>
        <v>106</v>
      </c>
      <c r="D3" s="23">
        <f>Oranlar!E3</f>
        <v>102</v>
      </c>
      <c r="E3" s="15">
        <f>C3-D3</f>
        <v>4</v>
      </c>
      <c r="F3" s="16">
        <f>C3+D3</f>
        <v>208</v>
      </c>
      <c r="G3" s="24">
        <v>0.62</v>
      </c>
      <c r="H3" s="10">
        <v>6.23</v>
      </c>
      <c r="I3" s="10">
        <v>2.9</v>
      </c>
      <c r="J3" s="10">
        <v>-15</v>
      </c>
      <c r="K3" s="10">
        <v>22</v>
      </c>
      <c r="L3" s="11">
        <v>231.76</v>
      </c>
      <c r="M3" s="11">
        <v>232.3</v>
      </c>
      <c r="N3" s="11">
        <v>205</v>
      </c>
      <c r="O3" s="11">
        <v>260</v>
      </c>
      <c r="P3" s="11">
        <v>117.1</v>
      </c>
      <c r="Q3" s="11">
        <v>116.78</v>
      </c>
      <c r="R3" s="25">
        <f>Oranlar!Y3</f>
        <v>0.7335423197492164</v>
      </c>
      <c r="S3" s="26">
        <f>-Oranlar!O3</f>
        <v>7.5</v>
      </c>
      <c r="T3" s="26">
        <f>-Oranlar!I3</f>
        <v>9.5</v>
      </c>
      <c r="U3" s="27">
        <f>Oranlar!V3</f>
        <v>238.5</v>
      </c>
      <c r="V3" s="27">
        <f>Oranlar!L3</f>
        <v>241.5</v>
      </c>
      <c r="W3" s="28">
        <f>(U3+S3)/2</f>
        <v>123.0</v>
      </c>
      <c r="X3" s="28">
        <f>(U3-S3)/2</f>
        <v>115.5</v>
      </c>
      <c r="Y3" s="16">
        <f>IF(G3=0.5,"",IF((G3&gt;0.5)=(E3&gt;0),1,0))</f>
        <v>1</v>
      </c>
      <c r="Z3" s="16">
        <f>IF(R3=0.5,"",IF((R3&gt;0.5)=(E3&gt;0),1,0))</f>
        <v>1</v>
      </c>
      <c r="AA3" s="29">
        <f>(G3-IF(E3&gt;0,1,0))^2</f>
        <v>0.1444</v>
      </c>
      <c r="AB3" s="29">
        <f>(R3-IF(E3&gt;0,1,0))^2</f>
        <v>0.07099969536462886</v>
      </c>
      <c r="AC3" s="28">
        <f>ABS(H3-E3)</f>
        <v>2.2300000000000004</v>
      </c>
      <c r="AD3" s="28">
        <f>ABS(I3-E3)</f>
        <v>1.1</v>
      </c>
      <c r="AE3" s="28">
        <f>ABS(S3-E3)</f>
        <v>3.5</v>
      </c>
      <c r="AF3" s="28">
        <f>ABS(L3-F3)</f>
        <v>23.75999999999999</v>
      </c>
      <c r="AG3" s="28">
        <f>ABS(M3-F3)</f>
        <v>24.30000000000001</v>
      </c>
      <c r="AH3" s="28">
        <f>ABS(U3-F3)</f>
        <v>30.5</v>
      </c>
      <c r="AI3" s="28">
        <f>ABS(P3-C3)</f>
        <v>11.099999999999994</v>
      </c>
      <c r="AJ3" s="28">
        <f>ABS(W3-C3)</f>
        <v>17.0</v>
      </c>
      <c r="AK3" s="28">
        <f>ABS(Q3-D3)</f>
        <v>14.780000000000001</v>
      </c>
      <c r="AL3" s="28">
        <f>ABS(X3-D3)</f>
        <v>13.5</v>
      </c>
      <c r="AM3" s="17" t="str">
        <f>IF(H3&gt;S3,"Ev",IF(H3&lt;S3,"Dep",""))</f>
        <v>Dep</v>
      </c>
      <c r="AN3" s="17" t="str">
        <f>IF(AM3="","",IF(E3=S3,"Push",IF((E3&gt;S3)=(AM3="Ev"),"Kazandı","Kaybetti")))</f>
        <v>Kazandı</v>
      </c>
      <c r="AO3" s="30">
        <f>IF(AM3="","",IF(AN3="Push",0,IF(AN3="Kazandı",IF(AM3="Ev",Oranlar!P3,Oranlar!Q3)-1,-1)))</f>
        <v>0.847457627118644</v>
      </c>
      <c r="AP3" s="17" t="str">
        <f>IF(L3&gt;U3,"Üst",IF(L3&lt;U3,"Alt",""))</f>
        <v>Alt</v>
      </c>
      <c r="AQ3" s="17" t="str">
        <f>IF(AP3="","",IF(F3=U3,"Push",IF((F3&gt;U3)=(AP3="Üst"),"Kazandı","Kaybetti")))</f>
        <v>Kazandı</v>
      </c>
      <c r="AR3" s="30">
        <f>IF(AP3="","",IF(AQ3="Push",0,IF(AQ3="Kazandı",IF(AP3="Üst",Oranlar!W3,Oranlar!X3)-1,-1)))</f>
        <v>0.8695652173913042</v>
      </c>
      <c r="AS3" s="17" t="str">
        <f>IF(G3*Oranlar!R3&gt;1,"Ev",IF((1-G3)*Oranlar!S3&gt;1,"Dep",""))</f>
        <v>Dep</v>
      </c>
      <c r="AT3" s="30">
        <f>IF(AS3="","",IF((AS3="Ev")=(E3&gt;0),IF(AS3="Ev",Oranlar!R3,Oranlar!S3)-1,-1))</f>
        <v>-1.0</v>
      </c>
      <c r="AU3" s="16">
        <f>IF(OR(H3=T3,S3=T3),"",IF((H3&gt;T3)=(S3&gt;T3),1,0))</f>
        <v>1</v>
      </c>
      <c r="AV3" s="16">
        <f>IF(OR(L3=V3,U3=V3),"",IF((L3&gt;V3)=(U3&gt;V3),1,0))</f>
        <v>1</v>
      </c>
      <c r="AW3" s="16">
        <f>IF(AND(E3&gt;=J3,E3&lt;=K3),1,0)</f>
        <v>1</v>
      </c>
      <c r="AX3" s="16">
        <f>IF(AND(F3&gt;=N3,F3&lt;=O3),1,0)</f>
        <v>1</v>
      </c>
    </row>
    <row r="4" spans="1:50">
      <c r="A4" s="21">
        <f>Oranlar!A4</f>
        <v>46085</v>
      </c>
      <c r="B4" s="22" t="str">
        <f>Oranlar!C4&amp;" @ "&amp;Oranlar!D4</f>
        <v>POR @ MEM</v>
      </c>
      <c r="C4" s="23">
        <f>Oranlar!F4</f>
        <v>114</v>
      </c>
      <c r="D4" s="23">
        <f>Oranlar!E4</f>
        <v>122</v>
      </c>
      <c r="E4" s="15">
        <f>C4-D4</f>
        <v>-8</v>
      </c>
      <c r="F4" s="16">
        <f>C4+D4</f>
        <v>236</v>
      </c>
      <c r="G4" s="24">
        <v>0.485</v>
      </c>
      <c r="H4" s="10">
        <v>-0.28</v>
      </c>
      <c r="I4" s="10">
        <v>-1</v>
      </c>
      <c r="J4" s="10">
        <v>-19</v>
      </c>
      <c r="K4" s="10">
        <v>18</v>
      </c>
      <c r="L4" s="11">
        <v>234.37</v>
      </c>
      <c r="M4" s="11">
        <v>235.9</v>
      </c>
      <c r="N4" s="11">
        <v>208</v>
      </c>
      <c r="O4" s="11">
        <v>263</v>
      </c>
      <c r="P4" s="11">
        <v>116.94</v>
      </c>
      <c r="Q4" s="11">
        <v>119.05</v>
      </c>
      <c r="R4" s="25">
        <f>Oranlar!Y4</f>
        <v>0.23409789548356588</v>
      </c>
      <c r="S4" s="26">
        <f>-Oranlar!O4</f>
        <v>-9.5</v>
      </c>
      <c r="T4" s="26">
        <f>-Oranlar!I4</f>
        <v>-7.5</v>
      </c>
      <c r="U4" s="27">
        <f>Oranlar!V4</f>
        <v>231.5</v>
      </c>
      <c r="V4" s="27">
        <f>Oranlar!L4</f>
        <v>236.5</v>
      </c>
      <c r="W4" s="28">
        <f>(U4+S4)/2</f>
        <v>111.0</v>
      </c>
      <c r="X4" s="28">
        <f>(U4-S4)/2</f>
        <v>120.5</v>
      </c>
      <c r="Y4" s="16">
        <f>IF(G4=0.5,"",IF((G4&gt;0.5)=(E4&gt;0),1,0))</f>
        <v>1</v>
      </c>
      <c r="Z4" s="16">
        <f>IF(R4=0.5,"",IF((R4&gt;0.5)=(E4&gt;0),1,0))</f>
        <v>1</v>
      </c>
      <c r="AA4" s="29">
        <f>(G4-IF(E4&gt;0,1,0))^2</f>
        <v>0.235225</v>
      </c>
      <c r="AB4" s="29">
        <f>(R4-IF(E4&gt;0,1,0))^2</f>
        <v>0.054801824669834534</v>
      </c>
      <c r="AC4" s="28">
        <f>ABS(H4-E4)</f>
        <v>7.72</v>
      </c>
      <c r="AD4" s="28">
        <f>ABS(I4-E4)</f>
        <v>7.0</v>
      </c>
      <c r="AE4" s="28">
        <f>ABS(S4-E4)</f>
        <v>1.5</v>
      </c>
      <c r="AF4" s="28">
        <f>ABS(L4-F4)</f>
        <v>1.6299999999999955</v>
      </c>
      <c r="AG4" s="28">
        <f>ABS(M4-F4)</f>
        <v>0.09999999999999432</v>
      </c>
      <c r="AH4" s="28">
        <f>ABS(U4-F4)</f>
        <v>4.5</v>
      </c>
      <c r="AI4" s="28">
        <f>ABS(P4-C4)</f>
        <v>2.9399999999999977</v>
      </c>
      <c r="AJ4" s="28">
        <f>ABS(W4-C4)</f>
        <v>3.0</v>
      </c>
      <c r="AK4" s="28">
        <f>ABS(Q4-D4)</f>
        <v>2.950000000000003</v>
      </c>
      <c r="AL4" s="28">
        <f>ABS(X4-D4)</f>
        <v>1.5</v>
      </c>
      <c r="AM4" s="17" t="str">
        <f>IF(H4&gt;S4,"Ev",IF(H4&lt;S4,"Dep",""))</f>
        <v>Ev</v>
      </c>
      <c r="AN4" s="17" t="str">
        <f>IF(AM4="","",IF(E4=S4,"Push",IF((E4&gt;S4)=(AM4="Ev"),"Kazandı","Kaybetti")))</f>
        <v>Kazandı</v>
      </c>
      <c r="AO4" s="30">
        <f>IF(AM4="","",IF(AN4="Push",0,IF(AN4="Kazandı",IF(AM4="Ev",Oranlar!P4,Oranlar!Q4)-1,-1)))</f>
        <v>0.925925925925926</v>
      </c>
      <c r="AP4" s="17" t="str">
        <f>IF(L4&gt;U4,"Üst",IF(L4&lt;U4,"Alt",""))</f>
        <v>Üst</v>
      </c>
      <c r="AQ4" s="17" t="str">
        <f>IF(AP4="","",IF(F4=U4,"Push",IF((F4&gt;U4)=(AP4="Üst"),"Kazandı","Kaybetti")))</f>
        <v>Kazandı</v>
      </c>
      <c r="AR4" s="30">
        <f>IF(AP4="","",IF(AQ4="Push",0,IF(AQ4="Kazandı",IF(AP4="Üst",Oranlar!W4,Oranlar!X4)-1,-1)))</f>
        <v>0.925925925925926</v>
      </c>
      <c r="AS4" s="17" t="str">
        <f>IF(G4*Oranlar!R4&gt;1,"Ev",IF((1-G4)*Oranlar!S4&gt;1,"Dep",""))</f>
        <v>Ev</v>
      </c>
      <c r="AT4" s="30">
        <f>IF(AS4="","",IF((AS4="Ev")=(E4&gt;0),IF(AS4="Ev",Oranlar!R4,Oranlar!S4)-1,-1))</f>
        <v>-1.0</v>
      </c>
      <c r="AU4" s="16">
        <f>IF(OR(H4=T4,S4=T4),"",IF((H4&gt;T4)=(S4&gt;T4),1,0))</f>
        <v>0</v>
      </c>
      <c r="AV4" s="16">
        <f>IF(OR(L4=V4,U4=V4),"",IF((L4&gt;V4)=(U4&gt;V4),1,0))</f>
        <v>1</v>
      </c>
      <c r="AW4" s="16">
        <f>IF(AND(E4&gt;=J4,E4&lt;=K4),1,0)</f>
        <v>1</v>
      </c>
      <c r="AX4" s="16">
        <f>IF(AND(F4&gt;=N4,F4&lt;=O4),1,0)</f>
        <v>1</v>
      </c>
    </row>
    <row r="5" spans="1:50">
      <c r="A5" s="21">
        <f>Oranlar!A5</f>
        <v>46085</v>
      </c>
      <c r="B5" s="22" t="str">
        <f>Oranlar!C5&amp;" @ "&amp;Oranlar!D5</f>
        <v>ATL @ MIL</v>
      </c>
      <c r="C5" s="23">
        <f>Oranlar!F5</f>
        <v>113</v>
      </c>
      <c r="D5" s="23">
        <f>Oranlar!E5</f>
        <v>131</v>
      </c>
      <c r="E5" s="15">
        <f>C5-D5</f>
        <v>-18</v>
      </c>
      <c r="F5" s="16">
        <f>C5+D5</f>
        <v>244</v>
      </c>
      <c r="G5" s="24">
        <v>0.426</v>
      </c>
      <c r="H5" s="10">
        <v>-8.24</v>
      </c>
      <c r="I5" s="10">
        <v>4.7</v>
      </c>
      <c r="J5" s="10">
        <v>-14</v>
      </c>
      <c r="K5" s="10">
        <v>23</v>
      </c>
      <c r="L5" s="11">
        <v>232.07</v>
      </c>
      <c r="M5" s="11">
        <v>229.9</v>
      </c>
      <c r="N5" s="11">
        <v>203</v>
      </c>
      <c r="O5" s="11">
        <v>257</v>
      </c>
      <c r="P5" s="11">
        <v>117.32</v>
      </c>
      <c r="Q5" s="11">
        <v>118.18</v>
      </c>
      <c r="R5" s="25">
        <f>Oranlar!Y5</f>
        <v>0.5108342361863489</v>
      </c>
      <c r="S5" s="26">
        <f>-Oranlar!O5</f>
        <v>1.5</v>
      </c>
      <c r="T5" s="26">
        <f>-Oranlar!I5</f>
        <v>1.5</v>
      </c>
      <c r="U5" s="27">
        <f>Oranlar!V5</f>
        <v>232.5</v>
      </c>
      <c r="V5" s="27">
        <f>Oranlar!L5</f>
        <v>230.5</v>
      </c>
      <c r="W5" s="28">
        <f>(U5+S5)/2</f>
        <v>117.0</v>
      </c>
      <c r="X5" s="28">
        <f>(U5-S5)/2</f>
        <v>115.5</v>
      </c>
      <c r="Y5" s="16">
        <f>IF(G5=0.5,"",IF((G5&gt;0.5)=(E5&gt;0),1,0))</f>
        <v>1</v>
      </c>
      <c r="Z5" s="16">
        <f>IF(R5=0.5,"",IF((R5&gt;0.5)=(E5&gt;0),1,0))</f>
        <v>0</v>
      </c>
      <c r="AA5" s="29">
        <f>(G5-IF(E5&gt;0,1,0))^2</f>
        <v>0.181476</v>
      </c>
      <c r="AB5" s="29">
        <f>(R5-IF(E5&gt;0,1,0))^2</f>
        <v>0.26095161686009055</v>
      </c>
      <c r="AC5" s="28">
        <f>ABS(H5-E5)</f>
        <v>9.76</v>
      </c>
      <c r="AD5" s="28">
        <f>ABS(I5-E5)</f>
        <v>22.7</v>
      </c>
      <c r="AE5" s="28">
        <f>ABS(S5-E5)</f>
        <v>19.5</v>
      </c>
      <c r="AF5" s="28">
        <f>ABS(L5-F5)</f>
        <v>11.930000000000007</v>
      </c>
      <c r="AG5" s="28">
        <f>ABS(M5-F5)</f>
        <v>14.099999999999994</v>
      </c>
      <c r="AH5" s="28">
        <f>ABS(U5-F5)</f>
        <v>11.5</v>
      </c>
      <c r="AI5" s="28">
        <f>ABS(P5-C5)</f>
        <v>4.319999999999993</v>
      </c>
      <c r="AJ5" s="28">
        <f>ABS(W5-C5)</f>
        <v>4.0</v>
      </c>
      <c r="AK5" s="28">
        <f>ABS(Q5-D5)</f>
        <v>12.819999999999993</v>
      </c>
      <c r="AL5" s="28">
        <f>ABS(X5-D5)</f>
        <v>15.5</v>
      </c>
      <c r="AM5" s="17" t="str">
        <f>IF(H5&gt;S5,"Ev",IF(H5&lt;S5,"Dep",""))</f>
        <v>Dep</v>
      </c>
      <c r="AN5" s="17" t="str">
        <f>IF(AM5="","",IF(E5=S5,"Push",IF((E5&gt;S5)=(AM5="Ev"),"Kazandı","Kaybetti")))</f>
        <v>Kazandı</v>
      </c>
      <c r="AO5" s="30">
        <f>IF(AM5="","",IF(AN5="Push",0,IF(AN5="Kazandı",IF(AM5="Ev",Oranlar!P5,Oranlar!Q5)-1,-1)))</f>
        <v>0.847457627118644</v>
      </c>
      <c r="AP5" s="17" t="str">
        <f>IF(L5&gt;U5,"Üst",IF(L5&lt;U5,"Alt",""))</f>
        <v>Alt</v>
      </c>
      <c r="AQ5" s="17" t="str">
        <f>IF(AP5="","",IF(F5=U5,"Push",IF((F5&gt;U5)=(AP5="Üst"),"Kazandı","Kaybetti")))</f>
        <v>Kaybetti</v>
      </c>
      <c r="AR5" s="30">
        <f>IF(AP5="","",IF(AQ5="Push",0,IF(AQ5="Kazandı",IF(AP5="Üst",Oranlar!W5,Oranlar!X5)-1,-1)))</f>
        <v>-1.0</v>
      </c>
      <c r="AS5" s="17" t="str">
        <f>IF(G5*Oranlar!R5&gt;1,"Ev",IF((1-G5)*Oranlar!S5&gt;1,"Dep",""))</f>
        <v>Dep</v>
      </c>
      <c r="AT5" s="30">
        <f>IF(AS5="","",IF((AS5="Ev")=(E5&gt;0),IF(AS5="Ev",Oranlar!R5,Oranlar!S5)-1,-1))</f>
        <v>0.9523809523809523</v>
      </c>
      <c r="AU5" s="16">
        <f>IF(OR(H5=T5,S5=T5),"",IF((H5&gt;T5)=(S5&gt;T5),1,0))</f>
        <v/>
      </c>
      <c r="AV5" s="16">
        <f>IF(OR(L5=V5,U5=V5),"",IF((L5&gt;V5)=(U5&gt;V5),1,0))</f>
        <v>1</v>
      </c>
      <c r="AW5" s="16">
        <f>IF(AND(E5&gt;=J5,E5&lt;=K5),1,0)</f>
        <v>0</v>
      </c>
      <c r="AX5" s="16">
        <f>IF(AND(F5&gt;=N5,F5&lt;=O5),1,0)</f>
        <v>1</v>
      </c>
    </row>
    <row r="6" spans="1:50">
      <c r="A6" s="21">
        <f>Oranlar!A6</f>
        <v>46085</v>
      </c>
      <c r="B6" s="22" t="str">
        <f>Oranlar!C6&amp;" @ "&amp;Oranlar!D6</f>
        <v>IND @ LAC</v>
      </c>
      <c r="C6" s="23">
        <f>Oranlar!F6</f>
        <v>130</v>
      </c>
      <c r="D6" s="23">
        <f>Oranlar!E6</f>
        <v>107</v>
      </c>
      <c r="E6" s="15">
        <f>C6-D6</f>
        <v>23</v>
      </c>
      <c r="F6" s="16">
        <f>C6+D6</f>
        <v>237</v>
      </c>
      <c r="G6" s="24">
        <v>0.749</v>
      </c>
      <c r="H6" s="10">
        <v>17.12</v>
      </c>
      <c r="I6" s="10">
        <v>7.8</v>
      </c>
      <c r="J6" s="10">
        <v>-10</v>
      </c>
      <c r="K6" s="10">
        <v>26</v>
      </c>
      <c r="L6" s="11">
        <v>225.8</v>
      </c>
      <c r="M6" s="11">
        <v>227.4</v>
      </c>
      <c r="N6" s="11">
        <v>200</v>
      </c>
      <c r="O6" s="11">
        <v>254</v>
      </c>
      <c r="P6" s="11">
        <v>120.09</v>
      </c>
      <c r="Q6" s="11">
        <v>109.24</v>
      </c>
      <c r="R6" s="25">
        <f>Oranlar!Y6</f>
        <v>0.8316498316498315</v>
      </c>
      <c r="S6" s="26">
        <f>-Oranlar!O6</f>
        <v>11.5</v>
      </c>
      <c r="T6" s="26">
        <f>-Oranlar!I6</f>
        <v>12.5</v>
      </c>
      <c r="U6" s="27">
        <f>Oranlar!V6</f>
        <v>230.5</v>
      </c>
      <c r="V6" s="27">
        <f>Oranlar!L6</f>
        <v>224.5</v>
      </c>
      <c r="W6" s="28">
        <f>(U6+S6)/2</f>
        <v>121.0</v>
      </c>
      <c r="X6" s="28">
        <f>(U6-S6)/2</f>
        <v>109.5</v>
      </c>
      <c r="Y6" s="16">
        <f>IF(G6=0.5,"",IF((G6&gt;0.5)=(E6&gt;0),1,0))</f>
        <v>1</v>
      </c>
      <c r="Z6" s="16">
        <f>IF(R6=0.5,"",IF((R6&gt;0.5)=(E6&gt;0),1,0))</f>
        <v>1</v>
      </c>
      <c r="AA6" s="29">
        <f>(G6-IF(E6&gt;0,1,0))^2</f>
        <v>0.063001</v>
      </c>
      <c r="AB6" s="29">
        <f>(R6-IF(E6&gt;0,1,0))^2</f>
        <v>0.028341779183530067</v>
      </c>
      <c r="AC6" s="28">
        <f>ABS(H6-E6)</f>
        <v>5.879999999999999</v>
      </c>
      <c r="AD6" s="28">
        <f>ABS(I6-E6)</f>
        <v>15.2</v>
      </c>
      <c r="AE6" s="28">
        <f>ABS(S6-E6)</f>
        <v>11.5</v>
      </c>
      <c r="AF6" s="28">
        <f>ABS(L6-F6)</f>
        <v>11.199999999999989</v>
      </c>
      <c r="AG6" s="28">
        <f>ABS(M6-F6)</f>
        <v>9.599999999999994</v>
      </c>
      <c r="AH6" s="28">
        <f>ABS(U6-F6)</f>
        <v>6.5</v>
      </c>
      <c r="AI6" s="28">
        <f>ABS(P6-C6)</f>
        <v>9.909999999999997</v>
      </c>
      <c r="AJ6" s="28">
        <f>ABS(W6-C6)</f>
        <v>9.0</v>
      </c>
      <c r="AK6" s="28">
        <f>ABS(Q6-D6)</f>
        <v>2.239999999999995</v>
      </c>
      <c r="AL6" s="28">
        <f>ABS(X6-D6)</f>
        <v>2.5</v>
      </c>
      <c r="AM6" s="17" t="str">
        <f>IF(H6&gt;S6,"Ev",IF(H6&lt;S6,"Dep",""))</f>
        <v>Ev</v>
      </c>
      <c r="AN6" s="17" t="str">
        <f>IF(AM6="","",IF(E6=S6,"Push",IF((E6&gt;S6)=(AM6="Ev"),"Kazandı","Kaybetti")))</f>
        <v>Kazandı</v>
      </c>
      <c r="AO6" s="30">
        <f>IF(AM6="","",IF(AN6="Push",0,IF(AN6="Kazandı",IF(AM6="Ev",Oranlar!P6,Oranlar!Q6)-1,-1)))</f>
        <v>0.9090909090909092</v>
      </c>
      <c r="AP6" s="17" t="str">
        <f>IF(L6&gt;U6,"Üst",IF(L6&lt;U6,"Alt",""))</f>
        <v>Alt</v>
      </c>
      <c r="AQ6" s="17" t="str">
        <f>IF(AP6="","",IF(F6=U6,"Push",IF((F6&gt;U6)=(AP6="Üst"),"Kazandı","Kaybetti")))</f>
        <v>Kaybetti</v>
      </c>
      <c r="AR6" s="30">
        <f>IF(AP6="","",IF(AQ6="Push",0,IF(AQ6="Kazandı",IF(AP6="Üst",Oranlar!W6,Oranlar!X6)-1,-1)))</f>
        <v>-1.0</v>
      </c>
      <c r="AS6" s="17" t="str">
        <f>IF(G6*Oranlar!R6&gt;1,"Ev",IF((1-G6)*Oranlar!S6&gt;1,"Dep",""))</f>
        <v>Dep</v>
      </c>
      <c r="AT6" s="30">
        <f>IF(AS6="","",IF((AS6="Ev")=(E6&gt;0),IF(AS6="Ev",Oranlar!R6,Oranlar!S6)-1,-1))</f>
        <v>-1.0</v>
      </c>
      <c r="AU6" s="16">
        <f>IF(OR(H6=T6,S6=T6),"",IF((H6&gt;T6)=(S6&gt;T6),1,0))</f>
        <v>0</v>
      </c>
      <c r="AV6" s="16">
        <f>IF(OR(L6=V6,U6=V6),"",IF((L6&gt;V6)=(U6&gt;V6),1,0))</f>
        <v>1</v>
      </c>
      <c r="AW6" s="16">
        <f>IF(AND(E6&gt;=J6,E6&lt;=K6),1,0)</f>
        <v>1</v>
      </c>
      <c r="AX6" s="16">
        <f>IF(AND(F6&gt;=N6,F6&lt;=O6),1,0)</f>
        <v>1</v>
      </c>
    </row>
    <row r="7" spans="1:50">
      <c r="A7" s="21">
        <f>Oranlar!A7</f>
        <v>46086</v>
      </c>
      <c r="B7" s="22" t="str">
        <f>Oranlar!C7&amp;" @ "&amp;Oranlar!D7</f>
        <v>DAL @ ORL</v>
      </c>
      <c r="C7" s="23">
        <f>Oranlar!F7</f>
        <v>115</v>
      </c>
      <c r="D7" s="23">
        <f>Oranlar!E7</f>
        <v>114</v>
      </c>
      <c r="E7" s="15">
        <f>C7-D7</f>
        <v>1</v>
      </c>
      <c r="F7" s="16">
        <f>C7+D7</f>
        <v>229</v>
      </c>
      <c r="G7" s="24">
        <v>0.665</v>
      </c>
      <c r="H7" s="10">
        <v>4.32</v>
      </c>
      <c r="I7" s="10">
        <v>5.7</v>
      </c>
      <c r="J7" s="10">
        <v>-12</v>
      </c>
      <c r="K7" s="10">
        <v>24</v>
      </c>
      <c r="L7" s="11">
        <v>226.13</v>
      </c>
      <c r="M7" s="11">
        <v>228.9</v>
      </c>
      <c r="N7" s="11">
        <v>202</v>
      </c>
      <c r="O7" s="11">
        <v>256</v>
      </c>
      <c r="P7" s="11">
        <v>116.84</v>
      </c>
      <c r="Q7" s="11">
        <v>110.89</v>
      </c>
      <c r="R7" s="25">
        <f>Oranlar!Y7</f>
        <v>0.7335423197492164</v>
      </c>
      <c r="S7" s="26">
        <f>-Oranlar!O7</f>
        <v>7.5</v>
      </c>
      <c r="T7" s="26">
        <f>-Oranlar!I7</f>
        <v>8.5</v>
      </c>
      <c r="U7" s="27">
        <f>Oranlar!V7</f>
        <v>230.5</v>
      </c>
      <c r="V7" s="27">
        <f>Oranlar!L7</f>
        <v>227.5</v>
      </c>
      <c r="W7" s="28">
        <f>(U7+S7)/2</f>
        <v>119.0</v>
      </c>
      <c r="X7" s="28">
        <f>(U7-S7)/2</f>
        <v>111.5</v>
      </c>
      <c r="Y7" s="16">
        <f>IF(G7=0.5,"",IF((G7&gt;0.5)=(E7&gt;0),1,0))</f>
        <v>1</v>
      </c>
      <c r="Z7" s="16">
        <f>IF(R7=0.5,"",IF((R7&gt;0.5)=(E7&gt;0),1,0))</f>
        <v>1</v>
      </c>
      <c r="AA7" s="29">
        <f>(G7-IF(E7&gt;0,1,0))^2</f>
        <v>0.11222499999999998</v>
      </c>
      <c r="AB7" s="29">
        <f>(R7-IF(E7&gt;0,1,0))^2</f>
        <v>0.07099969536462886</v>
      </c>
      <c r="AC7" s="28">
        <f>ABS(H7-E7)</f>
        <v>3.3200000000000003</v>
      </c>
      <c r="AD7" s="28">
        <f>ABS(I7-E7)</f>
        <v>4.7</v>
      </c>
      <c r="AE7" s="28">
        <f>ABS(S7-E7)</f>
        <v>6.5</v>
      </c>
      <c r="AF7" s="28">
        <f>ABS(L7-F7)</f>
        <v>2.8700000000000045</v>
      </c>
      <c r="AG7" s="28">
        <f>ABS(M7-F7)</f>
        <v>0.09999999999999432</v>
      </c>
      <c r="AH7" s="28">
        <f>ABS(U7-F7)</f>
        <v>1.5</v>
      </c>
      <c r="AI7" s="28">
        <f>ABS(P7-C7)</f>
        <v>1.8400000000000034</v>
      </c>
      <c r="AJ7" s="28">
        <f>ABS(W7-C7)</f>
        <v>4.0</v>
      </c>
      <c r="AK7" s="28">
        <f>ABS(Q7-D7)</f>
        <v>3.1099999999999994</v>
      </c>
      <c r="AL7" s="28">
        <f>ABS(X7-D7)</f>
        <v>2.5</v>
      </c>
      <c r="AM7" s="17" t="str">
        <f>IF(H7&gt;S7,"Ev",IF(H7&lt;S7,"Dep",""))</f>
        <v>Dep</v>
      </c>
      <c r="AN7" s="17" t="str">
        <f>IF(AM7="","",IF(E7=S7,"Push",IF((E7&gt;S7)=(AM7="Ev"),"Kazandı","Kaybetti")))</f>
        <v>Kazandı</v>
      </c>
      <c r="AO7" s="30">
        <f>IF(AM7="","",IF(AN7="Push",0,IF(AN7="Kazandı",IF(AM7="Ev",Oranlar!P7,Oranlar!Q7)-1,-1)))</f>
        <v>1.0</v>
      </c>
      <c r="AP7" s="17" t="str">
        <f>IF(L7&gt;U7,"Üst",IF(L7&lt;U7,"Alt",""))</f>
        <v>Alt</v>
      </c>
      <c r="AQ7" s="17" t="str">
        <f>IF(AP7="","",IF(F7=U7,"Push",IF((F7&gt;U7)=(AP7="Üst"),"Kazandı","Kaybetti")))</f>
        <v>Kazandı</v>
      </c>
      <c r="AR7" s="30">
        <f>IF(AP7="","",IF(AQ7="Push",0,IF(AQ7="Kazandı",IF(AP7="Üst",Oranlar!W7,Oranlar!X7)-1,-1)))</f>
        <v>0.8928571428571428</v>
      </c>
      <c r="AS7" s="17" t="str">
        <f>IF(G7*Oranlar!R7&gt;1,"Ev",IF((1-G7)*Oranlar!S7&gt;1,"Dep",""))</f>
        <v>Dep</v>
      </c>
      <c r="AT7" s="30">
        <f>IF(AS7="","",IF((AS7="Ev")=(E7&gt;0),IF(AS7="Ev",Oranlar!R7,Oranlar!S7)-1,-1))</f>
        <v>-1.0</v>
      </c>
      <c r="AU7" s="16">
        <f>IF(OR(H7=T7,S7=T7),"",IF((H7&gt;T7)=(S7&gt;T7),1,0))</f>
        <v>1</v>
      </c>
      <c r="AV7" s="16">
        <f>IF(OR(L7=V7,U7=V7),"",IF((L7&gt;V7)=(U7&gt;V7),1,0))</f>
        <v>0</v>
      </c>
      <c r="AW7" s="16">
        <f>IF(AND(E7&gt;=J7,E7&lt;=K7),1,0)</f>
        <v>1</v>
      </c>
      <c r="AX7" s="16">
        <f>IF(AND(F7&gt;=N7,F7&lt;=O7),1,0)</f>
        <v>1</v>
      </c>
    </row>
    <row r="8" spans="1:50">
      <c r="A8" s="21">
        <f>Oranlar!A8</f>
        <v>46086</v>
      </c>
      <c r="B8" s="22" t="str">
        <f>Oranlar!C8&amp;" @ "&amp;Oranlar!D8</f>
        <v>UTA @ WAS</v>
      </c>
      <c r="C8" s="23">
        <f>Oranlar!F8</f>
        <v>112</v>
      </c>
      <c r="D8" s="23">
        <f>Oranlar!E8</f>
        <v>122</v>
      </c>
      <c r="E8" s="15">
        <f>C8-D8</f>
        <v>-10</v>
      </c>
      <c r="F8" s="16">
        <f>C8+D8</f>
        <v>234</v>
      </c>
      <c r="G8" s="24">
        <v>0.447</v>
      </c>
      <c r="H8" s="10">
        <v>-0.7</v>
      </c>
      <c r="I8" s="10">
        <v>0.9</v>
      </c>
      <c r="J8" s="10">
        <v>-18</v>
      </c>
      <c r="K8" s="10">
        <v>20</v>
      </c>
      <c r="L8" s="11">
        <v>237.17</v>
      </c>
      <c r="M8" s="11">
        <v>235.6</v>
      </c>
      <c r="N8" s="11">
        <v>208</v>
      </c>
      <c r="O8" s="11">
        <v>263</v>
      </c>
      <c r="P8" s="11">
        <v>117.12</v>
      </c>
      <c r="Q8" s="11">
        <v>119.96</v>
      </c>
      <c r="R8" s="25">
        <f>Oranlar!Y8</f>
        <v>0.5996387718242023</v>
      </c>
      <c r="S8" s="26">
        <f>-Oranlar!O8</f>
        <v>3.5</v>
      </c>
      <c r="T8" s="26">
        <f>-Oranlar!I8</f>
        <v>2.5</v>
      </c>
      <c r="U8" s="27">
        <f>Oranlar!V8</f>
        <v>240.5</v>
      </c>
      <c r="V8" s="27">
        <f>Oranlar!L8</f>
        <v>242.5</v>
      </c>
      <c r="W8" s="28">
        <f>(U8+S8)/2</f>
        <v>122.0</v>
      </c>
      <c r="X8" s="28">
        <f>(U8-S8)/2</f>
        <v>118.5</v>
      </c>
      <c r="Y8" s="16">
        <f>IF(G8=0.5,"",IF((G8&gt;0.5)=(E8&gt;0),1,0))</f>
        <v>1</v>
      </c>
      <c r="Z8" s="16">
        <f>IF(R8=0.5,"",IF((R8&gt;0.5)=(E8&gt;0),1,0))</f>
        <v>0</v>
      </c>
      <c r="AA8" s="29">
        <f>(G8-IF(E8&gt;0,1,0))^2</f>
        <v>0.19980900000000001</v>
      </c>
      <c r="AB8" s="29">
        <f>(R8-IF(E8&gt;0,1,0))^2</f>
        <v>0.3595666566748378</v>
      </c>
      <c r="AC8" s="28">
        <f>ABS(H8-E8)</f>
        <v>9.3</v>
      </c>
      <c r="AD8" s="28">
        <f>ABS(I8-E8)</f>
        <v>10.9</v>
      </c>
      <c r="AE8" s="28">
        <f>ABS(S8-E8)</f>
        <v>13.5</v>
      </c>
      <c r="AF8" s="28">
        <f>ABS(L8-F8)</f>
        <v>3.1699999999999875</v>
      </c>
      <c r="AG8" s="28">
        <f>ABS(M8-F8)</f>
        <v>1.5999999999999943</v>
      </c>
      <c r="AH8" s="28">
        <f>ABS(U8-F8)</f>
        <v>6.5</v>
      </c>
      <c r="AI8" s="28">
        <f>ABS(P8-C8)</f>
        <v>5.1200000000000045</v>
      </c>
      <c r="AJ8" s="28">
        <f>ABS(W8-C8)</f>
        <v>10.0</v>
      </c>
      <c r="AK8" s="28">
        <f>ABS(Q8-D8)</f>
        <v>2.0400000000000063</v>
      </c>
      <c r="AL8" s="28">
        <f>ABS(X8-D8)</f>
        <v>3.5</v>
      </c>
      <c r="AM8" s="17" t="str">
        <f>IF(H8&gt;S8,"Ev",IF(H8&lt;S8,"Dep",""))</f>
        <v>Dep</v>
      </c>
      <c r="AN8" s="17" t="str">
        <f>IF(AM8="","",IF(E8=S8,"Push",IF((E8&gt;S8)=(AM8="Ev"),"Kazandı","Kaybetti")))</f>
        <v>Kazandı</v>
      </c>
      <c r="AO8" s="30">
        <f>IF(AM8="","",IF(AN8="Push",0,IF(AN8="Kazandı",IF(AM8="Ev",Oranlar!P8,Oranlar!Q8)-1,-1)))</f>
        <v>0.9523809523809523</v>
      </c>
      <c r="AP8" s="17" t="str">
        <f>IF(L8&gt;U8,"Üst",IF(L8&lt;U8,"Alt",""))</f>
        <v>Alt</v>
      </c>
      <c r="AQ8" s="17" t="str">
        <f>IF(AP8="","",IF(F8=U8,"Push",IF((F8&gt;U8)=(AP8="Üst"),"Kazandı","Kaybetti")))</f>
        <v>Kazandı</v>
      </c>
      <c r="AR8" s="30">
        <f>IF(AP8="","",IF(AQ8="Push",0,IF(AQ8="Kazandı",IF(AP8="Üst",Oranlar!W8,Oranlar!X8)-1,-1)))</f>
        <v>0.9090909090909092</v>
      </c>
      <c r="AS8" s="17" t="str">
        <f>IF(G8*Oranlar!R8&gt;1,"Ev",IF((1-G8)*Oranlar!S8&gt;1,"Dep",""))</f>
        <v>Dep</v>
      </c>
      <c r="AT8" s="30">
        <f>IF(AS8="","",IF((AS8="Ev")=(E8&gt;0),IF(AS8="Ev",Oranlar!R8,Oranlar!S8)-1,-1))</f>
        <v>1.4</v>
      </c>
      <c r="AU8" s="16">
        <f>IF(OR(H8=T8,S8=T8),"",IF((H8&gt;T8)=(S8&gt;T8),1,0))</f>
        <v>0</v>
      </c>
      <c r="AV8" s="16">
        <f>IF(OR(L8=V8,U8=V8),"",IF((L8&gt;V8)=(U8&gt;V8),1,0))</f>
        <v>1</v>
      </c>
      <c r="AW8" s="16">
        <f>IF(AND(E8&gt;=J8,E8&lt;=K8),1,0)</f>
        <v>1</v>
      </c>
      <c r="AX8" s="16">
        <f>IF(AND(F8&gt;=N8,F8&lt;=O8),1,0)</f>
        <v>1</v>
      </c>
    </row>
    <row r="9" spans="1:50">
      <c r="A9" s="21">
        <f>Oranlar!A9</f>
        <v>46086</v>
      </c>
      <c r="B9" s="22" t="str">
        <f>Oranlar!C9&amp;" @ "&amp;Oranlar!D9</f>
        <v>BKN @ MIA</v>
      </c>
      <c r="C9" s="23">
        <f>Oranlar!F9</f>
        <v>126</v>
      </c>
      <c r="D9" s="23">
        <f>Oranlar!E9</f>
        <v>110</v>
      </c>
      <c r="E9" s="15">
        <f>C9-D9</f>
        <v>16</v>
      </c>
      <c r="F9" s="16">
        <f>C9+D9</f>
        <v>236</v>
      </c>
      <c r="G9" s="24">
        <v>0.795</v>
      </c>
      <c r="H9" s="10">
        <v>8.859999999999999</v>
      </c>
      <c r="I9" s="10">
        <v>13.8</v>
      </c>
      <c r="J9" s="10">
        <v>-4</v>
      </c>
      <c r="K9" s="10">
        <v>32</v>
      </c>
      <c r="L9" s="11">
        <v>222.29</v>
      </c>
      <c r="M9" s="11">
        <v>224.9</v>
      </c>
      <c r="N9" s="11">
        <v>198</v>
      </c>
      <c r="O9" s="11">
        <v>252</v>
      </c>
      <c r="P9" s="11">
        <v>119.05</v>
      </c>
      <c r="Q9" s="11">
        <v>104.52</v>
      </c>
      <c r="R9" s="25">
        <f>Oranlar!Y9</f>
        <v>0.8524590163934427</v>
      </c>
      <c r="S9" s="26">
        <f>-Oranlar!O9</f>
        <v>12.5</v>
      </c>
      <c r="T9" s="26">
        <f>-Oranlar!I9</f>
        <v>13.5</v>
      </c>
      <c r="U9" s="27">
        <f>Oranlar!V9</f>
        <v>225.5</v>
      </c>
      <c r="V9" s="27">
        <f>Oranlar!L9</f>
        <v>225.5</v>
      </c>
      <c r="W9" s="28">
        <f>(U9+S9)/2</f>
        <v>119.0</v>
      </c>
      <c r="X9" s="28">
        <f>(U9-S9)/2</f>
        <v>106.5</v>
      </c>
      <c r="Y9" s="16">
        <f>IF(G9=0.5,"",IF((G9&gt;0.5)=(E9&gt;0),1,0))</f>
        <v>1</v>
      </c>
      <c r="Z9" s="16">
        <f>IF(R9=0.5,"",IF((R9&gt;0.5)=(E9&gt;0),1,0))</f>
        <v>1</v>
      </c>
      <c r="AA9" s="29">
        <f>(G9-IF(E9&gt;0,1,0))^2</f>
        <v>0.042024999999999986</v>
      </c>
      <c r="AB9" s="29">
        <f>(R9-IF(E9&gt;0,1,0))^2</f>
        <v>0.021768341843590416</v>
      </c>
      <c r="AC9" s="28">
        <f>ABS(H9-E9)</f>
        <v>7.140000000000001</v>
      </c>
      <c r="AD9" s="28">
        <f>ABS(I9-E9)</f>
        <v>2.1999999999999993</v>
      </c>
      <c r="AE9" s="28">
        <f>ABS(S9-E9)</f>
        <v>3.5</v>
      </c>
      <c r="AF9" s="28">
        <f>ABS(L9-F9)</f>
        <v>13.710000000000008</v>
      </c>
      <c r="AG9" s="28">
        <f>ABS(M9-F9)</f>
        <v>11.099999999999994</v>
      </c>
      <c r="AH9" s="28">
        <f>ABS(U9-F9)</f>
        <v>10.5</v>
      </c>
      <c r="AI9" s="28">
        <f>ABS(P9-C9)</f>
        <v>6.950000000000003</v>
      </c>
      <c r="AJ9" s="28">
        <f>ABS(W9-C9)</f>
        <v>7.0</v>
      </c>
      <c r="AK9" s="28">
        <f>ABS(Q9-D9)</f>
        <v>5.480000000000004</v>
      </c>
      <c r="AL9" s="28">
        <f>ABS(X9-D9)</f>
        <v>3.5</v>
      </c>
      <c r="AM9" s="17" t="str">
        <f>IF(H9&gt;S9,"Ev",IF(H9&lt;S9,"Dep",""))</f>
        <v>Dep</v>
      </c>
      <c r="AN9" s="17" t="str">
        <f>IF(AM9="","",IF(E9=S9,"Push",IF((E9&gt;S9)=(AM9="Ev"),"Kazandı","Kaybetti")))</f>
        <v>Kaybetti</v>
      </c>
      <c r="AO9" s="30">
        <f>IF(AM9="","",IF(AN9="Push",0,IF(AN9="Kazandı",IF(AM9="Ev",Oranlar!P9,Oranlar!Q9)-1,-1)))</f>
        <v>-1.0</v>
      </c>
      <c r="AP9" s="17" t="str">
        <f>IF(L9&gt;U9,"Üst",IF(L9&lt;U9,"Alt",""))</f>
        <v>Alt</v>
      </c>
      <c r="AQ9" s="17" t="str">
        <f>IF(AP9="","",IF(F9=U9,"Push",IF((F9&gt;U9)=(AP9="Üst"),"Kazandı","Kaybetti")))</f>
        <v>Kaybetti</v>
      </c>
      <c r="AR9" s="30">
        <f>IF(AP9="","",IF(AQ9="Push",0,IF(AQ9="Kazandı",IF(AP9="Üst",Oranlar!W9,Oranlar!X9)-1,-1)))</f>
        <v>-1.0</v>
      </c>
      <c r="AS9" s="17" t="str">
        <f>IF(G9*Oranlar!R9&gt;1,"Ev",IF((1-G9)*Oranlar!S9&gt;1,"Dep",""))</f>
        <v>Dep</v>
      </c>
      <c r="AT9" s="30">
        <f>IF(AS9="","",IF((AS9="Ev")=(E9&gt;0),IF(AS9="Ev",Oranlar!R9,Oranlar!S9)-1,-1))</f>
        <v>-1.0</v>
      </c>
      <c r="AU9" s="16">
        <f>IF(OR(H9=T9,S9=T9),"",IF((H9&gt;T9)=(S9&gt;T9),1,0))</f>
        <v>1</v>
      </c>
      <c r="AV9" s="16">
        <f>IF(OR(L9=V9,U9=V9),"",IF((L9&gt;V9)=(U9&gt;V9),1,0))</f>
        <v/>
      </c>
      <c r="AW9" s="16">
        <f>IF(AND(E9&gt;=J9,E9&lt;=K9),1,0)</f>
        <v>1</v>
      </c>
      <c r="AX9" s="16">
        <f>IF(AND(F9&gt;=N9,F9&lt;=O9),1,0)</f>
        <v>1</v>
      </c>
    </row>
    <row r="10" spans="1:50">
      <c r="A10" s="21">
        <f>Oranlar!A10</f>
        <v>46086</v>
      </c>
      <c r="B10" s="22" t="str">
        <f>Oranlar!C10&amp;" @ "&amp;Oranlar!D10</f>
        <v>GSW @ HOU</v>
      </c>
      <c r="C10" s="23">
        <f>Oranlar!F10</f>
        <v>113</v>
      </c>
      <c r="D10" s="23">
        <f>Oranlar!E10</f>
        <v>115</v>
      </c>
      <c r="E10" s="15">
        <f>C10-D10</f>
        <v>-2</v>
      </c>
      <c r="F10" s="16">
        <f>C10+D10</f>
        <v>228</v>
      </c>
      <c r="G10" s="24">
        <v>0.722</v>
      </c>
      <c r="H10" s="10">
        <v>5.74</v>
      </c>
      <c r="I10" s="10">
        <v>6.7</v>
      </c>
      <c r="J10" s="10">
        <v>-11</v>
      </c>
      <c r="K10" s="10">
        <v>25</v>
      </c>
      <c r="L10" s="11">
        <v>227.73</v>
      </c>
      <c r="M10" s="11">
        <v>225.4</v>
      </c>
      <c r="N10" s="11">
        <v>198</v>
      </c>
      <c r="O10" s="11">
        <v>252</v>
      </c>
      <c r="P10" s="11">
        <v>115.5</v>
      </c>
      <c r="Q10" s="11">
        <v>108.43</v>
      </c>
      <c r="R10" s="25">
        <f>Oranlar!Y10</f>
        <v>0.7659021045164341</v>
      </c>
      <c r="S10" s="26">
        <f>-Oranlar!O10</f>
        <v>9.5</v>
      </c>
      <c r="T10" s="26">
        <f>-Oranlar!I10</f>
        <v>8.5</v>
      </c>
      <c r="U10" s="27">
        <f>Oranlar!V10</f>
        <v>214.5</v>
      </c>
      <c r="V10" s="27">
        <f>Oranlar!L10</f>
        <v>214.5</v>
      </c>
      <c r="W10" s="28">
        <f>(U10+S10)/2</f>
        <v>112.0</v>
      </c>
      <c r="X10" s="28">
        <f>(U10-S10)/2</f>
        <v>102.5</v>
      </c>
      <c r="Y10" s="16">
        <f>IF(G10=0.5,"",IF((G10&gt;0.5)=(E10&gt;0),1,0))</f>
        <v>0</v>
      </c>
      <c r="Z10" s="16">
        <f>IF(R10=0.5,"",IF((R10&gt;0.5)=(E10&gt;0),1,0))</f>
        <v>0</v>
      </c>
      <c r="AA10" s="29">
        <f>(G10-IF(E10&gt;0,1,0))^2</f>
        <v>0.521284</v>
      </c>
      <c r="AB10" s="29">
        <f>(R10-IF(E10&gt;0,1,0))^2</f>
        <v>0.5866060337027028</v>
      </c>
      <c r="AC10" s="28">
        <f>ABS(H10-E10)</f>
        <v>7.74</v>
      </c>
      <c r="AD10" s="28">
        <f>ABS(I10-E10)</f>
        <v>8.7</v>
      </c>
      <c r="AE10" s="28">
        <f>ABS(S10-E10)</f>
        <v>11.5</v>
      </c>
      <c r="AF10" s="28">
        <f>ABS(L10-F10)</f>
        <v>0.27000000000001023</v>
      </c>
      <c r="AG10" s="28">
        <f>ABS(M10-F10)</f>
        <v>2.5999999999999943</v>
      </c>
      <c r="AH10" s="28">
        <f>ABS(U10-F10)</f>
        <v>13.5</v>
      </c>
      <c r="AI10" s="28">
        <f>ABS(P10-C10)</f>
        <v>2.5</v>
      </c>
      <c r="AJ10" s="28">
        <f>ABS(W10-C10)</f>
        <v>1.0</v>
      </c>
      <c r="AK10" s="28">
        <f>ABS(Q10-D10)</f>
        <v>6.569999999999993</v>
      </c>
      <c r="AL10" s="28">
        <f>ABS(X10-D10)</f>
        <v>12.5</v>
      </c>
      <c r="AM10" s="17" t="str">
        <f>IF(H10&gt;S10,"Ev",IF(H10&lt;S10,"Dep",""))</f>
        <v>Dep</v>
      </c>
      <c r="AN10" s="17" t="str">
        <f>IF(AM10="","",IF(E10=S10,"Push",IF((E10&gt;S10)=(AM10="Ev"),"Kazandı","Kaybetti")))</f>
        <v>Kazandı</v>
      </c>
      <c r="AO10" s="30">
        <f>IF(AM10="","",IF(AN10="Push",0,IF(AN10="Kazandı",IF(AM10="Ev",Oranlar!P10,Oranlar!Q10)-1,-1)))</f>
        <v>0.925925925925926</v>
      </c>
      <c r="AP10" s="17" t="str">
        <f>IF(L10&gt;U10,"Üst",IF(L10&lt;U10,"Alt",""))</f>
        <v>Üst</v>
      </c>
      <c r="AQ10" s="17" t="str">
        <f>IF(AP10="","",IF(F10=U10,"Push",IF((F10&gt;U10)=(AP10="Üst"),"Kazandı","Kaybetti")))</f>
        <v>Kazandı</v>
      </c>
      <c r="AR10" s="30">
        <f>IF(AP10="","",IF(AQ10="Push",0,IF(AQ10="Kazandı",IF(AP10="Üst",Oranlar!W10,Oranlar!X10)-1,-1)))</f>
        <v>0.9090909090909092</v>
      </c>
      <c r="AS10" s="17" t="str">
        <f>IF(G10*Oranlar!R10&gt;1,"Ev",IF((1-G10)*Oranlar!S10&gt;1,"Dep",""))</f>
        <v>Dep</v>
      </c>
      <c r="AT10" s="30">
        <f>IF(AS10="","",IF((AS10="Ev")=(E10&gt;0),IF(AS10="Ev",Oranlar!R10,Oranlar!S10)-1,-1))</f>
        <v>3.0999999999999996</v>
      </c>
      <c r="AU10" s="16">
        <f>IF(OR(H10=T10,S10=T10),"",IF((H10&gt;T10)=(S10&gt;T10),1,0))</f>
        <v>0</v>
      </c>
      <c r="AV10" s="16">
        <f>IF(OR(L10=V10,U10=V10),"",IF((L10&gt;V10)=(U10&gt;V10),1,0))</f>
        <v/>
      </c>
      <c r="AW10" s="16">
        <f>IF(AND(E10&gt;=J10,E10&lt;=K10),1,0)</f>
        <v>1</v>
      </c>
      <c r="AX10" s="16">
        <f>IF(AND(F10&gt;=N10,F10&lt;=O10),1,0)</f>
        <v>1</v>
      </c>
    </row>
    <row r="11" spans="1:50">
      <c r="A11" s="21">
        <f>Oranlar!A11</f>
        <v>46086</v>
      </c>
      <c r="B11" s="22" t="str">
        <f>Oranlar!C11&amp;" @ "&amp;Oranlar!D11</f>
        <v>TOR @ MIN</v>
      </c>
      <c r="C11" s="23">
        <f>Oranlar!F11</f>
        <v>115</v>
      </c>
      <c r="D11" s="23">
        <f>Oranlar!E11</f>
        <v>107</v>
      </c>
      <c r="E11" s="15">
        <f>C11-D11</f>
        <v>8</v>
      </c>
      <c r="F11" s="16">
        <f>C11+D11</f>
        <v>222</v>
      </c>
      <c r="G11" s="24">
        <v>0.742</v>
      </c>
      <c r="H11" s="10">
        <v>14.06</v>
      </c>
      <c r="I11" s="10">
        <v>6.5</v>
      </c>
      <c r="J11" s="10">
        <v>-12</v>
      </c>
      <c r="K11" s="10">
        <v>25</v>
      </c>
      <c r="L11" s="11">
        <v>224.72</v>
      </c>
      <c r="M11" s="11">
        <v>227.9</v>
      </c>
      <c r="N11" s="11">
        <v>201</v>
      </c>
      <c r="O11" s="11">
        <v>255</v>
      </c>
      <c r="P11" s="11">
        <v>116.91</v>
      </c>
      <c r="Q11" s="11">
        <v>107.4</v>
      </c>
      <c r="R11" s="25">
        <f>Oranlar!Y11</f>
        <v>0.6574752261956053</v>
      </c>
      <c r="S11" s="26">
        <f>-Oranlar!O11</f>
        <v>4.5</v>
      </c>
      <c r="T11" s="26">
        <f>-Oranlar!I11</f>
        <v>6.5</v>
      </c>
      <c r="U11" s="27">
        <f>Oranlar!V11</f>
        <v>226.5</v>
      </c>
      <c r="V11" s="27">
        <f>Oranlar!L11</f>
        <v>228.5</v>
      </c>
      <c r="W11" s="28">
        <f>(U11+S11)/2</f>
        <v>115.5</v>
      </c>
      <c r="X11" s="28">
        <f>(U11-S11)/2</f>
        <v>111.0</v>
      </c>
      <c r="Y11" s="16">
        <f>IF(G11=0.5,"",IF((G11&gt;0.5)=(E11&gt;0),1,0))</f>
        <v>1</v>
      </c>
      <c r="Z11" s="16">
        <f>IF(R11=0.5,"",IF((R11&gt;0.5)=(E11&gt;0),1,0))</f>
        <v>1</v>
      </c>
      <c r="AA11" s="29">
        <f>(G11-IF(E11&gt;0,1,0))^2</f>
        <v>0.066564</v>
      </c>
      <c r="AB11" s="29">
        <f>(R11-IF(E11&gt;0,1,0))^2</f>
        <v>0.11732322066975177</v>
      </c>
      <c r="AC11" s="28">
        <f>ABS(H11-E11)</f>
        <v>6.0600000000000005</v>
      </c>
      <c r="AD11" s="28">
        <f>ABS(I11-E11)</f>
        <v>1.5</v>
      </c>
      <c r="AE11" s="28">
        <f>ABS(S11-E11)</f>
        <v>3.5</v>
      </c>
      <c r="AF11" s="28">
        <f>ABS(L11-F11)</f>
        <v>2.719999999999999</v>
      </c>
      <c r="AG11" s="28">
        <f>ABS(M11-F11)</f>
        <v>5.900000000000006</v>
      </c>
      <c r="AH11" s="28">
        <f>ABS(U11-F11)</f>
        <v>4.5</v>
      </c>
      <c r="AI11" s="28">
        <f>ABS(P11-C11)</f>
        <v>1.9099999999999966</v>
      </c>
      <c r="AJ11" s="28">
        <f>ABS(W11-C11)</f>
        <v>0.5</v>
      </c>
      <c r="AK11" s="28">
        <f>ABS(Q11-D11)</f>
        <v>0.4000000000000057</v>
      </c>
      <c r="AL11" s="28">
        <f>ABS(X11-D11)</f>
        <v>4.0</v>
      </c>
      <c r="AM11" s="17" t="str">
        <f>IF(H11&gt;S11,"Ev",IF(H11&lt;S11,"Dep",""))</f>
        <v>Ev</v>
      </c>
      <c r="AN11" s="17" t="str">
        <f>IF(AM11="","",IF(E11=S11,"Push",IF((E11&gt;S11)=(AM11="Ev"),"Kazandı","Kaybetti")))</f>
        <v>Kazandı</v>
      </c>
      <c r="AO11" s="30">
        <f>IF(AM11="","",IF(AN11="Push",0,IF(AN11="Kazandı",IF(AM11="Ev",Oranlar!P11,Oranlar!Q11)-1,-1)))</f>
        <v>0.847457627118644</v>
      </c>
      <c r="AP11" s="17" t="str">
        <f>IF(L11&gt;U11,"Üst",IF(L11&lt;U11,"Alt",""))</f>
        <v>Alt</v>
      </c>
      <c r="AQ11" s="17" t="str">
        <f>IF(AP11="","",IF(F11=U11,"Push",IF((F11&gt;U11)=(AP11="Üst"),"Kazandı","Kaybetti")))</f>
        <v>Kazandı</v>
      </c>
      <c r="AR11" s="30">
        <f>IF(AP11="","",IF(AQ11="Push",0,IF(AQ11="Kazandı",IF(AP11="Üst",Oranlar!W11,Oranlar!X11)-1,-1)))</f>
        <v>0.8928571428571428</v>
      </c>
      <c r="AS11" s="17" t="str">
        <f>IF(G11*Oranlar!R11&gt;1,"Ev",IF((1-G11)*Oranlar!S11&gt;1,"Dep",""))</f>
        <v>Ev</v>
      </c>
      <c r="AT11" s="30">
        <f>IF(AS11="","",IF((AS11="Ev")=(E11&gt;0),IF(AS11="Ev",Oranlar!R11,Oranlar!S11)-1,-1))</f>
        <v>0.45871559633027514</v>
      </c>
      <c r="AU11" s="16">
        <f>IF(OR(H11=T11,S11=T11),"",IF((H11&gt;T11)=(S11&gt;T11),1,0))</f>
        <v>0</v>
      </c>
      <c r="AV11" s="16">
        <f>IF(OR(L11=V11,U11=V11),"",IF((L11&gt;V11)=(U11&gt;V11),1,0))</f>
        <v>1</v>
      </c>
      <c r="AW11" s="16">
        <f>IF(AND(E11&gt;=J11,E11&lt;=K11),1,0)</f>
        <v>1</v>
      </c>
      <c r="AX11" s="16">
        <f>IF(AND(F11&gt;=N11,F11&lt;=O11),1,0)</f>
        <v>1</v>
      </c>
    </row>
    <row r="12" spans="1:50">
      <c r="A12" s="21">
        <f>Oranlar!A12</f>
        <v>46086</v>
      </c>
      <c r="B12" s="22" t="str">
        <f>Oranlar!C12&amp;" @ "&amp;Oranlar!D12</f>
        <v>DET @ SAS</v>
      </c>
      <c r="C12" s="23">
        <f>Oranlar!F12</f>
        <v>121</v>
      </c>
      <c r="D12" s="23">
        <f>Oranlar!E12</f>
        <v>106</v>
      </c>
      <c r="E12" s="15">
        <f>C12-D12</f>
        <v>15</v>
      </c>
      <c r="F12" s="16">
        <f>C12+D12</f>
        <v>227</v>
      </c>
      <c r="G12" s="24">
        <v>0.675</v>
      </c>
      <c r="H12" s="10">
        <v>4.76</v>
      </c>
      <c r="I12" s="10">
        <v>5.6</v>
      </c>
      <c r="J12" s="10">
        <v>-13</v>
      </c>
      <c r="K12" s="10">
        <v>24</v>
      </c>
      <c r="L12" s="11">
        <v>225.33</v>
      </c>
      <c r="M12" s="11">
        <v>228.4</v>
      </c>
      <c r="N12" s="11">
        <v>201</v>
      </c>
      <c r="O12" s="11">
        <v>256</v>
      </c>
      <c r="P12" s="11">
        <v>115.21</v>
      </c>
      <c r="Q12" s="11">
        <v>111.57</v>
      </c>
      <c r="R12" s="25">
        <f>Oranlar!Y12</f>
        <v>0.5720596355604638</v>
      </c>
      <c r="S12" s="26">
        <f>-Oranlar!O12</f>
        <v>2.5</v>
      </c>
      <c r="T12" s="26">
        <f>-Oranlar!I12</f>
        <v>2.5</v>
      </c>
      <c r="U12" s="27">
        <f>Oranlar!V12</f>
        <v>227.5</v>
      </c>
      <c r="V12" s="27">
        <f>Oranlar!L12</f>
        <v>227.5</v>
      </c>
      <c r="W12" s="28">
        <f>(U12+S12)/2</f>
        <v>115.0</v>
      </c>
      <c r="X12" s="28">
        <f>(U12-S12)/2</f>
        <v>112.5</v>
      </c>
      <c r="Y12" s="16">
        <f>IF(G12=0.5,"",IF((G12&gt;0.5)=(E12&gt;0),1,0))</f>
        <v>1</v>
      </c>
      <c r="Z12" s="16">
        <f>IF(R12=0.5,"",IF((R12&gt;0.5)=(E12&gt;0),1,0))</f>
        <v>1</v>
      </c>
      <c r="AA12" s="29">
        <f>(G12-IF(E12&gt;0,1,0))^2</f>
        <v>0.10562499999999997</v>
      </c>
      <c r="AB12" s="29">
        <f>(R12-IF(E12&gt;0,1,0))^2</f>
        <v>0.18313295551664305</v>
      </c>
      <c r="AC12" s="28">
        <f>ABS(H12-E12)</f>
        <v>10.24</v>
      </c>
      <c r="AD12" s="28">
        <f>ABS(I12-E12)</f>
        <v>9.4</v>
      </c>
      <c r="AE12" s="28">
        <f>ABS(S12-E12)</f>
        <v>12.5</v>
      </c>
      <c r="AF12" s="28">
        <f>ABS(L12-F12)</f>
        <v>1.6699999999999875</v>
      </c>
      <c r="AG12" s="28">
        <f>ABS(M12-F12)</f>
        <v>1.4000000000000057</v>
      </c>
      <c r="AH12" s="28">
        <f>ABS(U12-F12)</f>
        <v>0.5</v>
      </c>
      <c r="AI12" s="28">
        <f>ABS(P12-C12)</f>
        <v>5.790000000000006</v>
      </c>
      <c r="AJ12" s="28">
        <f>ABS(W12-C12)</f>
        <v>6.0</v>
      </c>
      <c r="AK12" s="28">
        <f>ABS(Q12-D12)</f>
        <v>5.569999999999993</v>
      </c>
      <c r="AL12" s="28">
        <f>ABS(X12-D12)</f>
        <v>6.5</v>
      </c>
      <c r="AM12" s="17" t="str">
        <f>IF(H12&gt;S12,"Ev",IF(H12&lt;S12,"Dep",""))</f>
        <v>Ev</v>
      </c>
      <c r="AN12" s="17" t="str">
        <f>IF(AM12="","",IF(E12=S12,"Push",IF((E12&gt;S12)=(AM12="Ev"),"Kazandı","Kaybetti")))</f>
        <v>Kazandı</v>
      </c>
      <c r="AO12" s="30">
        <f>IF(AM12="","",IF(AN12="Push",0,IF(AN12="Kazandı",IF(AM12="Ev",Oranlar!P12,Oranlar!Q12)-1,-1)))</f>
        <v>0.8695652173913042</v>
      </c>
      <c r="AP12" s="17" t="str">
        <f>IF(L12&gt;U12,"Üst",IF(L12&lt;U12,"Alt",""))</f>
        <v>Alt</v>
      </c>
      <c r="AQ12" s="17" t="str">
        <f>IF(AP12="","",IF(F12=U12,"Push",IF((F12&gt;U12)=(AP12="Üst"),"Kazandı","Kaybetti")))</f>
        <v>Kazandı</v>
      </c>
      <c r="AR12" s="30">
        <f>IF(AP12="","",IF(AQ12="Push",0,IF(AQ12="Kazandı",IF(AP12="Üst",Oranlar!W12,Oranlar!X12)-1,-1)))</f>
        <v>0.9090909090909092</v>
      </c>
      <c r="AS12" s="17" t="str">
        <f>IF(G12*Oranlar!R12&gt;1,"Ev",IF((1-G12)*Oranlar!S12&gt;1,"Dep",""))</f>
        <v>Ev</v>
      </c>
      <c r="AT12" s="30">
        <f>IF(AS12="","",IF((AS12="Ev")=(E12&gt;0),IF(AS12="Ev",Oranlar!R12,Oranlar!S12)-1,-1))</f>
        <v>0.6756756756756757</v>
      </c>
      <c r="AU12" s="16">
        <f>IF(OR(H12=T12,S12=T12),"",IF((H12&gt;T12)=(S12&gt;T12),1,0))</f>
        <v/>
      </c>
      <c r="AV12" s="16">
        <f>IF(OR(L12=V12,U12=V12),"",IF((L12&gt;V12)=(U12&gt;V12),1,0))</f>
        <v/>
      </c>
      <c r="AW12" s="16">
        <f>IF(AND(E12&gt;=J12,E12&lt;=K12),1,0)</f>
        <v>1</v>
      </c>
      <c r="AX12" s="16">
        <f>IF(AND(F12&gt;=N12,F12&lt;=O12),1,0)</f>
        <v>1</v>
      </c>
    </row>
    <row r="13" spans="1:50">
      <c r="A13" s="21">
        <f>Oranlar!A13</f>
        <v>46086</v>
      </c>
      <c r="B13" s="22" t="str">
        <f>Oranlar!C13&amp;" @ "&amp;Oranlar!D13</f>
        <v>CHI @ PHX</v>
      </c>
      <c r="C13" s="23">
        <f>Oranlar!F13</f>
        <v>103</v>
      </c>
      <c r="D13" s="23">
        <f>Oranlar!E13</f>
        <v>105</v>
      </c>
      <c r="E13" s="15">
        <f>C13-D13</f>
        <v>-2</v>
      </c>
      <c r="F13" s="16">
        <f>C13+D13</f>
        <v>208</v>
      </c>
      <c r="G13" s="24">
        <v>0.6879999999999999</v>
      </c>
      <c r="H13" s="10">
        <v>5.93</v>
      </c>
      <c r="I13" s="10">
        <v>7.4</v>
      </c>
      <c r="J13" s="10">
        <v>-11</v>
      </c>
      <c r="K13" s="10">
        <v>26</v>
      </c>
      <c r="L13" s="11">
        <v>222.77</v>
      </c>
      <c r="M13" s="11">
        <v>225.5</v>
      </c>
      <c r="N13" s="11">
        <v>198</v>
      </c>
      <c r="O13" s="11">
        <v>253</v>
      </c>
      <c r="P13" s="11">
        <v>115.67</v>
      </c>
      <c r="Q13" s="11">
        <v>106.87</v>
      </c>
      <c r="R13" s="25">
        <f>Oranlar!Y13</f>
        <v>0.8223350253807106</v>
      </c>
      <c r="S13" s="26">
        <f>-Oranlar!O13</f>
        <v>10.5</v>
      </c>
      <c r="T13" s="26">
        <f>-Oranlar!I13</f>
        <v>10.5</v>
      </c>
      <c r="U13" s="27">
        <f>Oranlar!V13</f>
        <v>224.5</v>
      </c>
      <c r="V13" s="27">
        <f>Oranlar!L13</f>
        <v>225.5</v>
      </c>
      <c r="W13" s="28">
        <f>(U13+S13)/2</f>
        <v>117.5</v>
      </c>
      <c r="X13" s="28">
        <f>(U13-S13)/2</f>
        <v>107.0</v>
      </c>
      <c r="Y13" s="16">
        <f>IF(G13=0.5,"",IF((G13&gt;0.5)=(E13&gt;0),1,0))</f>
        <v>0</v>
      </c>
      <c r="Z13" s="16">
        <f>IF(R13=0.5,"",IF((R13&gt;0.5)=(E13&gt;0),1,0))</f>
        <v>0</v>
      </c>
      <c r="AA13" s="29">
        <f>(G13-IF(E13&gt;0,1,0))^2</f>
        <v>0.47334399999999993</v>
      </c>
      <c r="AB13" s="29">
        <f>(R13-IF(E13&gt;0,1,0))^2</f>
        <v>0.6762348939678939</v>
      </c>
      <c r="AC13" s="28">
        <f>ABS(H13-E13)</f>
        <v>7.93</v>
      </c>
      <c r="AD13" s="28">
        <f>ABS(I13-E13)</f>
        <v>9.4</v>
      </c>
      <c r="AE13" s="28">
        <f>ABS(S13-E13)</f>
        <v>12.5</v>
      </c>
      <c r="AF13" s="28">
        <f>ABS(L13-F13)</f>
        <v>14.77000000000001</v>
      </c>
      <c r="AG13" s="28">
        <f>ABS(M13-F13)</f>
        <v>17.5</v>
      </c>
      <c r="AH13" s="28">
        <f>ABS(U13-F13)</f>
        <v>16.5</v>
      </c>
      <c r="AI13" s="28">
        <f>ABS(P13-C13)</f>
        <v>12.670000000000002</v>
      </c>
      <c r="AJ13" s="28">
        <f>ABS(W13-C13)</f>
        <v>14.5</v>
      </c>
      <c r="AK13" s="28">
        <f>ABS(Q13-D13)</f>
        <v>1.8700000000000045</v>
      </c>
      <c r="AL13" s="28">
        <f>ABS(X13-D13)</f>
        <v>2.0</v>
      </c>
      <c r="AM13" s="17" t="str">
        <f>IF(H13&gt;S13,"Ev",IF(H13&lt;S13,"Dep",""))</f>
        <v>Dep</v>
      </c>
      <c r="AN13" s="17" t="str">
        <f>IF(AM13="","",IF(E13=S13,"Push",IF((E13&gt;S13)=(AM13="Ev"),"Kazandı","Kaybetti")))</f>
        <v>Kazandı</v>
      </c>
      <c r="AO13" s="30">
        <f>IF(AM13="","",IF(AN13="Push",0,IF(AN13="Kazandı",IF(AM13="Ev",Oranlar!P13,Oranlar!Q13)-1,-1)))</f>
        <v>0.9803921568627452</v>
      </c>
      <c r="AP13" s="17" t="str">
        <f>IF(L13&gt;U13,"Üst",IF(L13&lt;U13,"Alt",""))</f>
        <v>Alt</v>
      </c>
      <c r="AQ13" s="17" t="str">
        <f>IF(AP13="","",IF(F13=U13,"Push",IF((F13&gt;U13)=(AP13="Üst"),"Kazandı","Kaybetti")))</f>
        <v>Kazandı</v>
      </c>
      <c r="AR13" s="30">
        <f>IF(AP13="","",IF(AQ13="Push",0,IF(AQ13="Kazandı",IF(AP13="Üst",Oranlar!W13,Oranlar!X13)-1,-1)))</f>
        <v>0.9523809523809523</v>
      </c>
      <c r="AS13" s="17" t="str">
        <f>IF(G13*Oranlar!R13&gt;1,"Ev",IF((1-G13)*Oranlar!S13&gt;1,"Dep",""))</f>
        <v>Dep</v>
      </c>
      <c r="AT13" s="30">
        <f>IF(AS13="","",IF((AS13="Ev")=(E13&gt;0),IF(AS13="Ev",Oranlar!R13,Oranlar!S13)-1,-1))</f>
        <v>4.4</v>
      </c>
      <c r="AU13" s="16">
        <f>IF(OR(H13=T13,S13=T13),"",IF((H13&gt;T13)=(S13&gt;T13),1,0))</f>
        <v/>
      </c>
      <c r="AV13" s="16">
        <f>IF(OR(L13=V13,U13=V13),"",IF((L13&gt;V13)=(U13&gt;V13),1,0))</f>
        <v>1</v>
      </c>
      <c r="AW13" s="16">
        <f>IF(AND(E13&gt;=J13,E13&lt;=K13),1,0)</f>
        <v>1</v>
      </c>
      <c r="AX13" s="16">
        <f>IF(AND(F13&gt;=N13,F13&lt;=O13),1,0)</f>
        <v>1</v>
      </c>
    </row>
    <row r="14" spans="1:50">
      <c r="A14" s="21">
        <f>Oranlar!A14</f>
        <v>46086</v>
      </c>
      <c r="B14" s="22" t="str">
        <f>Oranlar!C14&amp;" @ "&amp;Oranlar!D14</f>
        <v>LAL @ DEN</v>
      </c>
      <c r="C14" s="23">
        <f>Oranlar!F14</f>
        <v>120</v>
      </c>
      <c r="D14" s="23">
        <f>Oranlar!E14</f>
        <v>113</v>
      </c>
      <c r="E14" s="15">
        <f>C14-D14</f>
        <v>7</v>
      </c>
      <c r="F14" s="16">
        <f>C14+D14</f>
        <v>233</v>
      </c>
      <c r="G14" s="24">
        <v>0.5610000000000001</v>
      </c>
      <c r="H14" s="10">
        <v>1.55</v>
      </c>
      <c r="I14" s="10">
        <v>3.3</v>
      </c>
      <c r="J14" s="10">
        <v>-15</v>
      </c>
      <c r="K14" s="10">
        <v>22</v>
      </c>
      <c r="L14" s="11">
        <v>233.69</v>
      </c>
      <c r="M14" s="11">
        <v>229.3</v>
      </c>
      <c r="N14" s="11">
        <v>202</v>
      </c>
      <c r="O14" s="11">
        <v>257</v>
      </c>
      <c r="P14" s="11">
        <v>117.26</v>
      </c>
      <c r="Q14" s="11">
        <v>115.81</v>
      </c>
      <c r="R14" s="25">
        <f>Oranlar!Y14</f>
        <v>0.6037569709421778</v>
      </c>
      <c r="S14" s="26">
        <f>-Oranlar!O14</f>
        <v>3.5</v>
      </c>
      <c r="T14" s="26">
        <f>-Oranlar!I14</f>
        <v>4.5</v>
      </c>
      <c r="U14" s="27">
        <f>Oranlar!V14</f>
        <v>240.5</v>
      </c>
      <c r="V14" s="27">
        <f>Oranlar!L14</f>
        <v>238.5</v>
      </c>
      <c r="W14" s="28">
        <f>(U14+S14)/2</f>
        <v>122.0</v>
      </c>
      <c r="X14" s="28">
        <f>(U14-S14)/2</f>
        <v>118.5</v>
      </c>
      <c r="Y14" s="16">
        <f>IF(G14=0.5,"",IF((G14&gt;0.5)=(E14&gt;0),1,0))</f>
        <v>1</v>
      </c>
      <c r="Z14" s="16">
        <f>IF(R14=0.5,"",IF((R14&gt;0.5)=(E14&gt;0),1,0))</f>
        <v>1</v>
      </c>
      <c r="AA14" s="29">
        <f>(G14-IF(E14&gt;0,1,0))^2</f>
        <v>0.19272099999999995</v>
      </c>
      <c r="AB14" s="29">
        <f>(R14-IF(E14&gt;0,1,0))^2</f>
        <v>0.15700853807691809</v>
      </c>
      <c r="AC14" s="28">
        <f>ABS(H14-E14)</f>
        <v>5.45</v>
      </c>
      <c r="AD14" s="28">
        <f>ABS(I14-E14)</f>
        <v>3.7</v>
      </c>
      <c r="AE14" s="28">
        <f>ABS(S14-E14)</f>
        <v>3.5</v>
      </c>
      <c r="AF14" s="28">
        <f>ABS(L14-F14)</f>
        <v>0.6899999999999977</v>
      </c>
      <c r="AG14" s="28">
        <f>ABS(M14-F14)</f>
        <v>3.6999999999999886</v>
      </c>
      <c r="AH14" s="28">
        <f>ABS(U14-F14)</f>
        <v>7.5</v>
      </c>
      <c r="AI14" s="28">
        <f>ABS(P14-C14)</f>
        <v>2.739999999999995</v>
      </c>
      <c r="AJ14" s="28">
        <f>ABS(W14-C14)</f>
        <v>2.0</v>
      </c>
      <c r="AK14" s="28">
        <f>ABS(Q14-D14)</f>
        <v>2.8100000000000023</v>
      </c>
      <c r="AL14" s="28">
        <f>ABS(X14-D14)</f>
        <v>5.5</v>
      </c>
      <c r="AM14" s="17" t="str">
        <f>IF(H14&gt;S14,"Ev",IF(H14&lt;S14,"Dep",""))</f>
        <v>Dep</v>
      </c>
      <c r="AN14" s="17" t="str">
        <f>IF(AM14="","",IF(E14=S14,"Push",IF((E14&gt;S14)=(AM14="Ev"),"Kazandı","Kaybetti")))</f>
        <v>Kaybetti</v>
      </c>
      <c r="AO14" s="30">
        <f>IF(AM14="","",IF(AN14="Push",0,IF(AN14="Kazandı",IF(AM14="Ev",Oranlar!P14,Oranlar!Q14)-1,-1)))</f>
        <v>-1.0</v>
      </c>
      <c r="AP14" s="17" t="str">
        <f>IF(L14&gt;U14,"Üst",IF(L14&lt;U14,"Alt",""))</f>
        <v>Alt</v>
      </c>
      <c r="AQ14" s="17" t="str">
        <f>IF(AP14="","",IF(F14=U14,"Push",IF((F14&gt;U14)=(AP14="Üst"),"Kazandı","Kaybetti")))</f>
        <v>Kazandı</v>
      </c>
      <c r="AR14" s="30">
        <f>IF(AP14="","",IF(AQ14="Push",0,IF(AQ14="Kazandı",IF(AP14="Üst",Oranlar!W14,Oranlar!X14)-1,-1)))</f>
        <v>0.8928571428571428</v>
      </c>
      <c r="AS14" s="17" t="str">
        <f>IF(G14*Oranlar!R14&gt;1,"Ev",IF((1-G14)*Oranlar!S14&gt;1,"Dep",""))</f>
        <v>Dep</v>
      </c>
      <c r="AT14" s="30">
        <f>IF(AS14="","",IF((AS14="Ev")=(E14&gt;0),IF(AS14="Ev",Oranlar!R14,Oranlar!S14)-1,-1))</f>
        <v>-1.0</v>
      </c>
      <c r="AU14" s="16">
        <f>IF(OR(H14=T14,S14=T14),"",IF((H14&gt;T14)=(S14&gt;T14),1,0))</f>
        <v>1</v>
      </c>
      <c r="AV14" s="16">
        <f>IF(OR(L14=V14,U14=V14),"",IF((L14&gt;V14)=(U14&gt;V14),1,0))</f>
        <v>0</v>
      </c>
      <c r="AW14" s="16">
        <f>IF(AND(E14&gt;=J14,E14&lt;=K14),1,0)</f>
        <v>1</v>
      </c>
      <c r="AX14" s="16">
        <f>IF(AND(F14&gt;=N14,F14&lt;=O14),1,0)</f>
        <v>1</v>
      </c>
    </row>
    <row r="15" spans="1:50">
      <c r="A15" s="21">
        <f>Oranlar!A15</f>
        <v>46086</v>
      </c>
      <c r="B15" s="22" t="str">
        <f>Oranlar!C15&amp;" @ "&amp;Oranlar!D15</f>
        <v>NOP @ SAC</v>
      </c>
      <c r="C15" s="23">
        <f>Oranlar!F15</f>
        <v>123</v>
      </c>
      <c r="D15" s="23">
        <f>Oranlar!E15</f>
        <v>133</v>
      </c>
      <c r="E15" s="15">
        <f>C15-D15</f>
        <v>-10</v>
      </c>
      <c r="F15" s="16">
        <f>C15+D15</f>
        <v>256</v>
      </c>
      <c r="G15" s="24">
        <v>0.365</v>
      </c>
      <c r="H15" s="10">
        <v>-3.19</v>
      </c>
      <c r="I15" s="10">
        <v>-3.8</v>
      </c>
      <c r="J15" s="10">
        <v>-23</v>
      </c>
      <c r="K15" s="10">
        <v>15</v>
      </c>
      <c r="L15" s="11">
        <v>239.28</v>
      </c>
      <c r="M15" s="11">
        <v>242.2</v>
      </c>
      <c r="N15" s="11">
        <v>214</v>
      </c>
      <c r="O15" s="11">
        <v>270</v>
      </c>
      <c r="P15" s="11">
        <v>116.45</v>
      </c>
      <c r="Q15" s="11">
        <v>122.27</v>
      </c>
      <c r="R15" s="25">
        <f>Oranlar!Y15</f>
        <v>0.30423004792665137</v>
      </c>
      <c r="S15" s="26">
        <f>-Oranlar!O15</f>
        <v>-6.5</v>
      </c>
      <c r="T15" s="26">
        <f>-Oranlar!I15</f>
        <v>-4.5</v>
      </c>
      <c r="U15" s="27">
        <f>Oranlar!V15</f>
        <v>236.5</v>
      </c>
      <c r="V15" s="27">
        <f>Oranlar!L15</f>
        <v>231.5</v>
      </c>
      <c r="W15" s="28">
        <f>(U15+S15)/2</f>
        <v>115.0</v>
      </c>
      <c r="X15" s="28">
        <f>(U15-S15)/2</f>
        <v>121.5</v>
      </c>
      <c r="Y15" s="16">
        <f>IF(G15=0.5,"",IF((G15&gt;0.5)=(E15&gt;0),1,0))</f>
        <v>1</v>
      </c>
      <c r="Z15" s="16">
        <f>IF(R15=0.5,"",IF((R15&gt;0.5)=(E15&gt;0),1,0))</f>
        <v>1</v>
      </c>
      <c r="AA15" s="29">
        <f>(G15-IF(E15&gt;0,1,0))^2</f>
        <v>0.13322499999999998</v>
      </c>
      <c r="AB15" s="29">
        <f>(R15-IF(E15&gt;0,1,0))^2</f>
        <v>0.09255592206145259</v>
      </c>
      <c r="AC15" s="28">
        <f>ABS(H15-E15)</f>
        <v>6.8100000000000005</v>
      </c>
      <c r="AD15" s="28">
        <f>ABS(I15-E15)</f>
        <v>6.2</v>
      </c>
      <c r="AE15" s="28">
        <f>ABS(S15-E15)</f>
        <v>3.5</v>
      </c>
      <c r="AF15" s="28">
        <f>ABS(L15-F15)</f>
        <v>16.72</v>
      </c>
      <c r="AG15" s="28">
        <f>ABS(M15-F15)</f>
        <v>13.800000000000011</v>
      </c>
      <c r="AH15" s="28">
        <f>ABS(U15-F15)</f>
        <v>19.5</v>
      </c>
      <c r="AI15" s="28">
        <f>ABS(P15-C15)</f>
        <v>6.549999999999997</v>
      </c>
      <c r="AJ15" s="28">
        <f>ABS(W15-C15)</f>
        <v>8.0</v>
      </c>
      <c r="AK15" s="28">
        <f>ABS(Q15-D15)</f>
        <v>10.730000000000004</v>
      </c>
      <c r="AL15" s="28">
        <f>ABS(X15-D15)</f>
        <v>11.5</v>
      </c>
      <c r="AM15" s="17" t="str">
        <f>IF(H15&gt;S15,"Ev",IF(H15&lt;S15,"Dep",""))</f>
        <v>Ev</v>
      </c>
      <c r="AN15" s="17" t="str">
        <f>IF(AM15="","",IF(E15=S15,"Push",IF((E15&gt;S15)=(AM15="Ev"),"Kazandı","Kaybetti")))</f>
        <v>Kaybetti</v>
      </c>
      <c r="AO15" s="30">
        <f>IF(AM15="","",IF(AN15="Push",0,IF(AN15="Kazandı",IF(AM15="Ev",Oranlar!P15,Oranlar!Q15)-1,-1)))</f>
        <v>-1.0</v>
      </c>
      <c r="AP15" s="17" t="str">
        <f>IF(L15&gt;U15,"Üst",IF(L15&lt;U15,"Alt",""))</f>
        <v>Üst</v>
      </c>
      <c r="AQ15" s="17" t="str">
        <f>IF(AP15="","",IF(F15=U15,"Push",IF((F15&gt;U15)=(AP15="Üst"),"Kazandı","Kaybetti")))</f>
        <v>Kazandı</v>
      </c>
      <c r="AR15" s="30">
        <f>IF(AP15="","",IF(AQ15="Push",0,IF(AQ15="Kazandı",IF(AP15="Üst",Oranlar!W15,Oranlar!X15)-1,-1)))</f>
        <v>0.9523809523809523</v>
      </c>
      <c r="AS15" s="17" t="str">
        <f>IF(G15*Oranlar!R15&gt;1,"Ev",IF((1-G15)*Oranlar!S15&gt;1,"Dep",""))</f>
        <v>Ev</v>
      </c>
      <c r="AT15" s="30">
        <f>IF(AS15="","",IF((AS15="Ev")=(E15&gt;0),IF(AS15="Ev",Oranlar!R15,Oranlar!S15)-1,-1))</f>
        <v>-1.0</v>
      </c>
      <c r="AU15" s="16">
        <f>IF(OR(H15=T15,S15=T15),"",IF((H15&gt;T15)=(S15&gt;T15),1,0))</f>
        <v>0</v>
      </c>
      <c r="AV15" s="16">
        <f>IF(OR(L15=V15,U15=V15),"",IF((L15&gt;V15)=(U15&gt;V15),1,0))</f>
        <v>1</v>
      </c>
      <c r="AW15" s="16">
        <f>IF(AND(E15&gt;=J15,E15&lt;=K15),1,0)</f>
        <v>1</v>
      </c>
      <c r="AX15" s="16">
        <f>IF(AND(F15&gt;=N15,F15&lt;=O15),1,0)</f>
        <v>1</v>
      </c>
    </row>
    <row r="16" spans="1:50">
      <c r="A16" s="21">
        <f>Oranlar!A16</f>
        <v>46087</v>
      </c>
      <c r="B16" s="22" t="str">
        <f>Oranlar!C16&amp;" @ "&amp;Oranlar!D16</f>
        <v>DAL @ BOS</v>
      </c>
      <c r="C16" s="23">
        <f>Oranlar!F16</f>
        <v>120</v>
      </c>
      <c r="D16" s="23">
        <f>Oranlar!E16</f>
        <v>100</v>
      </c>
      <c r="E16" s="15">
        <f>C16-D16</f>
        <v>20</v>
      </c>
      <c r="F16" s="16">
        <f>C16+D16</f>
        <v>220</v>
      </c>
      <c r="G16" s="24">
        <v>0.8110000000000001</v>
      </c>
      <c r="H16" s="10">
        <v>9.35</v>
      </c>
      <c r="I16" s="10">
        <v>9.4</v>
      </c>
      <c r="J16" s="10">
        <v>-9</v>
      </c>
      <c r="K16" s="10">
        <v>28</v>
      </c>
      <c r="L16" s="11">
        <v>223.66</v>
      </c>
      <c r="M16" s="11">
        <v>225.8</v>
      </c>
      <c r="N16" s="11">
        <v>199</v>
      </c>
      <c r="O16" s="11">
        <v>253</v>
      </c>
      <c r="P16" s="11">
        <v>117.19</v>
      </c>
      <c r="Q16" s="11">
        <v>106.65</v>
      </c>
      <c r="R16" s="25">
        <f>Oranlar!Y16</f>
        <v>0.8869565217391304</v>
      </c>
      <c r="S16" s="26">
        <f>-Oranlar!O16</f>
        <v>15.5</v>
      </c>
      <c r="T16" s="26">
        <f>-Oranlar!I16</f>
        <v>15.5</v>
      </c>
      <c r="U16" s="27">
        <f>Oranlar!V16</f>
        <v>226.5</v>
      </c>
      <c r="V16" s="27">
        <f>Oranlar!L16</f>
        <v>225.5</v>
      </c>
      <c r="W16" s="28">
        <f>(U16+S16)/2</f>
        <v>121.0</v>
      </c>
      <c r="X16" s="28">
        <f>(U16-S16)/2</f>
        <v>105.5</v>
      </c>
      <c r="Y16" s="16">
        <f>IF(G16=0.5,"",IF((G16&gt;0.5)=(E16&gt;0),1,0))</f>
        <v>1</v>
      </c>
      <c r="Z16" s="16">
        <f>IF(R16=0.5,"",IF((R16&gt;0.5)=(E16&gt;0),1,0))</f>
        <v>1</v>
      </c>
      <c r="AA16" s="29">
        <f>(G16-IF(E16&gt;0,1,0))^2</f>
        <v>0.03572099999999998</v>
      </c>
      <c r="AB16" s="29">
        <f>(R16-IF(E16&gt;0,1,0))^2</f>
        <v>0.012778827977315693</v>
      </c>
      <c r="AC16" s="28">
        <f>ABS(H16-E16)</f>
        <v>10.65</v>
      </c>
      <c r="AD16" s="28">
        <f>ABS(I16-E16)</f>
        <v>10.6</v>
      </c>
      <c r="AE16" s="28">
        <f>ABS(S16-E16)</f>
        <v>4.5</v>
      </c>
      <c r="AF16" s="28">
        <f>ABS(L16-F16)</f>
        <v>3.6599999999999966</v>
      </c>
      <c r="AG16" s="28">
        <f>ABS(M16-F16)</f>
        <v>5.800000000000011</v>
      </c>
      <c r="AH16" s="28">
        <f>ABS(U16-F16)</f>
        <v>6.5</v>
      </c>
      <c r="AI16" s="28">
        <f>ABS(P16-C16)</f>
        <v>2.8100000000000023</v>
      </c>
      <c r="AJ16" s="28">
        <f>ABS(W16-C16)</f>
        <v>1.0</v>
      </c>
      <c r="AK16" s="28">
        <f>ABS(Q16-D16)</f>
        <v>6.650000000000006</v>
      </c>
      <c r="AL16" s="28">
        <f>ABS(X16-D16)</f>
        <v>5.5</v>
      </c>
      <c r="AM16" s="17" t="str">
        <f>IF(H16&gt;S16,"Ev",IF(H16&lt;S16,"Dep",""))</f>
        <v>Dep</v>
      </c>
      <c r="AN16" s="17" t="str">
        <f>IF(AM16="","",IF(E16=S16,"Push",IF((E16&gt;S16)=(AM16="Ev"),"Kazandı","Kaybetti")))</f>
        <v>Kaybetti</v>
      </c>
      <c r="AO16" s="30">
        <f>IF(AM16="","",IF(AN16="Push",0,IF(AN16="Kazandı",IF(AM16="Ev",Oranlar!P16,Oranlar!Q16)-1,-1)))</f>
        <v>-1.0</v>
      </c>
      <c r="AP16" s="17" t="str">
        <f>IF(L16&gt;U16,"Üst",IF(L16&lt;U16,"Alt",""))</f>
        <v>Alt</v>
      </c>
      <c r="AQ16" s="17" t="str">
        <f>IF(AP16="","",IF(F16=U16,"Push",IF((F16&gt;U16)=(AP16="Üst"),"Kazandı","Kaybetti")))</f>
        <v>Kazandı</v>
      </c>
      <c r="AR16" s="30">
        <f>IF(AP16="","",IF(AQ16="Push",0,IF(AQ16="Kazandı",IF(AP16="Üst",Oranlar!W16,Oranlar!X16)-1,-1)))</f>
        <v>0.925925925925926</v>
      </c>
      <c r="AS16" s="17" t="str">
        <f>IF(G16*Oranlar!R16&gt;1,"Ev",IF((1-G16)*Oranlar!S16&gt;1,"Dep",""))</f>
        <v>Dep</v>
      </c>
      <c r="AT16" s="30">
        <f>IF(AS16="","",IF((AS16="Ev")=(E16&gt;0),IF(AS16="Ev",Oranlar!R16,Oranlar!S16)-1,-1))</f>
        <v>-1.0</v>
      </c>
      <c r="AU16" s="16">
        <f>IF(OR(H16=T16,S16=T16),"",IF((H16&gt;T16)=(S16&gt;T16),1,0))</f>
        <v/>
      </c>
      <c r="AV16" s="16">
        <f>IF(OR(L16=V16,U16=V16),"",IF((L16&gt;V16)=(U16&gt;V16),1,0))</f>
        <v>0</v>
      </c>
      <c r="AW16" s="16">
        <f>IF(AND(E16&gt;=J16,E16&lt;=K16),1,0)</f>
        <v>1</v>
      </c>
      <c r="AX16" s="16">
        <f>IF(AND(F16&gt;=N16,F16&lt;=O16),1,0)</f>
        <v>1</v>
      </c>
    </row>
    <row r="17" spans="1:50">
      <c r="A17" s="21">
        <f>Oranlar!A17</f>
        <v>46087</v>
      </c>
      <c r="B17" s="22" t="str">
        <f>Oranlar!C17&amp;" @ "&amp;Oranlar!D17</f>
        <v>MIA @ CHA</v>
      </c>
      <c r="C17" s="23">
        <f>Oranlar!F17</f>
        <v>120</v>
      </c>
      <c r="D17" s="23">
        <f>Oranlar!E17</f>
        <v>128</v>
      </c>
      <c r="E17" s="15">
        <f>C17-D17</f>
        <v>-8</v>
      </c>
      <c r="F17" s="16">
        <f>C17+D17</f>
        <v>248</v>
      </c>
      <c r="G17" s="24">
        <v>0.55</v>
      </c>
      <c r="H17" s="10">
        <v>0.77</v>
      </c>
      <c r="I17" s="10">
        <v>8.199999999999999</v>
      </c>
      <c r="J17" s="10">
        <v>-10</v>
      </c>
      <c r="K17" s="10">
        <v>27</v>
      </c>
      <c r="L17" s="11">
        <v>228</v>
      </c>
      <c r="M17" s="11">
        <v>229.2</v>
      </c>
      <c r="N17" s="11">
        <v>202</v>
      </c>
      <c r="O17" s="11">
        <v>256</v>
      </c>
      <c r="P17" s="11">
        <v>115.8</v>
      </c>
      <c r="Q17" s="11">
        <v>111.84</v>
      </c>
      <c r="R17" s="25">
        <f>Oranlar!Y17</f>
        <v>0.7179705215419501</v>
      </c>
      <c r="S17" s="26">
        <f>-Oranlar!O17</f>
        <v>7.5</v>
      </c>
      <c r="T17" s="26">
        <f>-Oranlar!I17</f>
        <v>6.5</v>
      </c>
      <c r="U17" s="27">
        <f>Oranlar!V17</f>
        <v>229.5</v>
      </c>
      <c r="V17" s="27">
        <f>Oranlar!L17</f>
        <v>230.5</v>
      </c>
      <c r="W17" s="28">
        <f>(U17+S17)/2</f>
        <v>118.5</v>
      </c>
      <c r="X17" s="28">
        <f>(U17-S17)/2</f>
        <v>111.0</v>
      </c>
      <c r="Y17" s="16">
        <f>IF(G17=0.5,"",IF((G17&gt;0.5)=(E17&gt;0),1,0))</f>
        <v>0</v>
      </c>
      <c r="Z17" s="16">
        <f>IF(R17=0.5,"",IF((R17&gt;0.5)=(E17&gt;0),1,0))</f>
        <v>0</v>
      </c>
      <c r="AA17" s="29">
        <f>(G17-IF(E17&gt;0,1,0))^2</f>
        <v>0.30250000000000005</v>
      </c>
      <c r="AB17" s="29">
        <f>(R17-IF(E17&gt;0,1,0))^2</f>
        <v>0.5154816698032197</v>
      </c>
      <c r="AC17" s="28">
        <f>ABS(H17-E17)</f>
        <v>8.77</v>
      </c>
      <c r="AD17" s="28">
        <f>ABS(I17-E17)</f>
        <v>16.2</v>
      </c>
      <c r="AE17" s="28">
        <f>ABS(S17-E17)</f>
        <v>15.5</v>
      </c>
      <c r="AF17" s="28">
        <f>ABS(L17-F17)</f>
        <v>20.0</v>
      </c>
      <c r="AG17" s="28">
        <f>ABS(M17-F17)</f>
        <v>18.80000000000001</v>
      </c>
      <c r="AH17" s="28">
        <f>ABS(U17-F17)</f>
        <v>18.5</v>
      </c>
      <c r="AI17" s="28">
        <f>ABS(P17-C17)</f>
        <v>4.200000000000003</v>
      </c>
      <c r="AJ17" s="28">
        <f>ABS(W17-C17)</f>
        <v>1.5</v>
      </c>
      <c r="AK17" s="28">
        <f>ABS(Q17-D17)</f>
        <v>16.159999999999997</v>
      </c>
      <c r="AL17" s="28">
        <f>ABS(X17-D17)</f>
        <v>17.0</v>
      </c>
      <c r="AM17" s="17" t="str">
        <f>IF(H17&gt;S17,"Ev",IF(H17&lt;S17,"Dep",""))</f>
        <v>Dep</v>
      </c>
      <c r="AN17" s="17" t="str">
        <f>IF(AM17="","",IF(E17=S17,"Push",IF((E17&gt;S17)=(AM17="Ev"),"Kazandı","Kaybetti")))</f>
        <v>Kazandı</v>
      </c>
      <c r="AO17" s="30">
        <f>IF(AM17="","",IF(AN17="Push",0,IF(AN17="Kazandı",IF(AM17="Ev",Oranlar!P17,Oranlar!Q17)-1,-1)))</f>
        <v>0.8928571428571428</v>
      </c>
      <c r="AP17" s="17" t="str">
        <f>IF(L17&gt;U17,"Üst",IF(L17&lt;U17,"Alt",""))</f>
        <v>Alt</v>
      </c>
      <c r="AQ17" s="17" t="str">
        <f>IF(AP17="","",IF(F17=U17,"Push",IF((F17&gt;U17)=(AP17="Üst"),"Kazandı","Kaybetti")))</f>
        <v>Kaybetti</v>
      </c>
      <c r="AR17" s="30">
        <f>IF(AP17="","",IF(AQ17="Push",0,IF(AQ17="Kazandı",IF(AP17="Üst",Oranlar!W17,Oranlar!X17)-1,-1)))</f>
        <v>-1.0</v>
      </c>
      <c r="AS17" s="17" t="str">
        <f>IF(G17*Oranlar!R17&gt;1,"Ev",IF((1-G17)*Oranlar!S17&gt;1,"Dep",""))</f>
        <v>Dep</v>
      </c>
      <c r="AT17" s="30">
        <f>IF(AS17="","",IF((AS17="Ev")=(E17&gt;0),IF(AS17="Ev",Oranlar!R17,Oranlar!S17)-1,-1))</f>
        <v>2.4</v>
      </c>
      <c r="AU17" s="16">
        <f>IF(OR(H17=T17,S17=T17),"",IF((H17&gt;T17)=(S17&gt;T17),1,0))</f>
        <v>0</v>
      </c>
      <c r="AV17" s="16">
        <f>IF(OR(L17=V17,U17=V17),"",IF((L17&gt;V17)=(U17&gt;V17),1,0))</f>
        <v>1</v>
      </c>
      <c r="AW17" s="16">
        <f>IF(AND(E17&gt;=J17,E17&lt;=K17),1,0)</f>
        <v>1</v>
      </c>
      <c r="AX17" s="16">
        <f>IF(AND(F17&gt;=N17,F17&lt;=O17),1,0)</f>
        <v>1</v>
      </c>
    </row>
    <row r="18" spans="1:50">
      <c r="A18" s="21">
        <f>Oranlar!A18</f>
        <v>46087</v>
      </c>
      <c r="B18" s="22" t="str">
        <f>Oranlar!C18&amp;" @ "&amp;Oranlar!D18</f>
        <v>POR @ HOU</v>
      </c>
      <c r="C18" s="23">
        <f>Oranlar!F18</f>
        <v>106</v>
      </c>
      <c r="D18" s="23">
        <f>Oranlar!E18</f>
        <v>99</v>
      </c>
      <c r="E18" s="15">
        <f>C18-D18</f>
        <v>7</v>
      </c>
      <c r="F18" s="16">
        <f>C18+D18</f>
        <v>205</v>
      </c>
      <c r="G18" s="24">
        <v>0.666</v>
      </c>
      <c r="H18" s="10">
        <v>3.67</v>
      </c>
      <c r="I18" s="10">
        <v>5.4</v>
      </c>
      <c r="J18" s="10">
        <v>-13</v>
      </c>
      <c r="K18" s="10">
        <v>24</v>
      </c>
      <c r="L18" s="11">
        <v>228.41</v>
      </c>
      <c r="M18" s="11">
        <v>230.4</v>
      </c>
      <c r="N18" s="11">
        <v>203</v>
      </c>
      <c r="O18" s="11">
        <v>258</v>
      </c>
      <c r="P18" s="11">
        <v>118.23</v>
      </c>
      <c r="Q18" s="11">
        <v>112.76</v>
      </c>
      <c r="R18" s="25">
        <f>Oranlar!Y18</f>
        <v>0.6957699520733487</v>
      </c>
      <c r="S18" s="26">
        <f>-Oranlar!O18</f>
        <v>6.5</v>
      </c>
      <c r="T18" s="26">
        <f>-Oranlar!I18</f>
        <v>7.5</v>
      </c>
      <c r="U18" s="27">
        <f>Oranlar!V18</f>
        <v>220.5</v>
      </c>
      <c r="V18" s="27">
        <f>Oranlar!L18</f>
        <v>223.5</v>
      </c>
      <c r="W18" s="28">
        <f>(U18+S18)/2</f>
        <v>113.5</v>
      </c>
      <c r="X18" s="28">
        <f>(U18-S18)/2</f>
        <v>107.0</v>
      </c>
      <c r="Y18" s="16">
        <f>IF(G18=0.5,"",IF((G18&gt;0.5)=(E18&gt;0),1,0))</f>
        <v>1</v>
      </c>
      <c r="Z18" s="16">
        <f>IF(R18=0.5,"",IF((R18&gt;0.5)=(E18&gt;0),1,0))</f>
        <v>1</v>
      </c>
      <c r="AA18" s="29">
        <f>(G18-IF(E18&gt;0,1,0))^2</f>
        <v>0.11155599999999997</v>
      </c>
      <c r="AB18" s="29">
        <f>(R18-IF(E18&gt;0,1,0))^2</f>
        <v>0.09255592206145255</v>
      </c>
      <c r="AC18" s="28">
        <f>ABS(H18-E18)</f>
        <v>3.33</v>
      </c>
      <c r="AD18" s="28">
        <f>ABS(I18-E18)</f>
        <v>1.5999999999999996</v>
      </c>
      <c r="AE18" s="28">
        <f>ABS(S18-E18)</f>
        <v>0.5</v>
      </c>
      <c r="AF18" s="28">
        <f>ABS(L18-F18)</f>
        <v>23.409999999999997</v>
      </c>
      <c r="AG18" s="28">
        <f>ABS(M18-F18)</f>
        <v>25.400000000000006</v>
      </c>
      <c r="AH18" s="28">
        <f>ABS(U18-F18)</f>
        <v>15.5</v>
      </c>
      <c r="AI18" s="28">
        <f>ABS(P18-C18)</f>
        <v>12.230000000000004</v>
      </c>
      <c r="AJ18" s="28">
        <f>ABS(W18-C18)</f>
        <v>7.5</v>
      </c>
      <c r="AK18" s="28">
        <f>ABS(Q18-D18)</f>
        <v>13.760000000000005</v>
      </c>
      <c r="AL18" s="28">
        <f>ABS(X18-D18)</f>
        <v>8.0</v>
      </c>
      <c r="AM18" s="17" t="str">
        <f>IF(H18&gt;S18,"Ev",IF(H18&lt;S18,"Dep",""))</f>
        <v>Dep</v>
      </c>
      <c r="AN18" s="17" t="str">
        <f>IF(AM18="","",IF(E18=S18,"Push",IF((E18&gt;S18)=(AM18="Ev"),"Kazandı","Kaybetti")))</f>
        <v>Kaybetti</v>
      </c>
      <c r="AO18" s="30">
        <f>IF(AM18="","",IF(AN18="Push",0,IF(AN18="Kazandı",IF(AM18="Ev",Oranlar!P18,Oranlar!Q18)-1,-1)))</f>
        <v>-1.0</v>
      </c>
      <c r="AP18" s="17" t="str">
        <f>IF(L18&gt;U18,"Üst",IF(L18&lt;U18,"Alt",""))</f>
        <v>Üst</v>
      </c>
      <c r="AQ18" s="17" t="str">
        <f>IF(AP18="","",IF(F18=U18,"Push",IF((F18&gt;U18)=(AP18="Üst"),"Kazandı","Kaybetti")))</f>
        <v>Kaybetti</v>
      </c>
      <c r="AR18" s="30">
        <f>IF(AP18="","",IF(AQ18="Push",0,IF(AQ18="Kazandı",IF(AP18="Üst",Oranlar!W18,Oranlar!X18)-1,-1)))</f>
        <v>-1.0</v>
      </c>
      <c r="AS18" s="17" t="str">
        <f>IF(G18*Oranlar!R18&gt;1,"Ev",IF((1-G18)*Oranlar!S18&gt;1,"Dep",""))</f>
        <v>Dep</v>
      </c>
      <c r="AT18" s="30">
        <f>IF(AS18="","",IF((AS18="Ev")=(E18&gt;0),IF(AS18="Ev",Oranlar!R18,Oranlar!S18)-1,-1))</f>
        <v>-1.0</v>
      </c>
      <c r="AU18" s="16">
        <f>IF(OR(H18=T18,S18=T18),"",IF((H18&gt;T18)=(S18&gt;T18),1,0))</f>
        <v>1</v>
      </c>
      <c r="AV18" s="16">
        <f>IF(OR(L18=V18,U18=V18),"",IF((L18&gt;V18)=(U18&gt;V18),1,0))</f>
        <v>0</v>
      </c>
      <c r="AW18" s="16">
        <f>IF(AND(E18&gt;=J18,E18&lt;=K18),1,0)</f>
        <v>1</v>
      </c>
      <c r="AX18" s="16">
        <f>IF(AND(F18&gt;=N18,F18&lt;=O18),1,0)</f>
        <v>1</v>
      </c>
    </row>
    <row r="19" spans="1:50">
      <c r="A19" s="21">
        <f>Oranlar!A19</f>
        <v>46087</v>
      </c>
      <c r="B19" s="22" t="str">
        <f>Oranlar!C19&amp;" @ "&amp;Oranlar!D19</f>
        <v>NYK @ DEN</v>
      </c>
      <c r="C19" s="23">
        <f>Oranlar!F19</f>
        <v>103</v>
      </c>
      <c r="D19" s="23">
        <f>Oranlar!E19</f>
        <v>142</v>
      </c>
      <c r="E19" s="15">
        <f>C19-D19</f>
        <v>-39</v>
      </c>
      <c r="F19" s="16">
        <f>C19+D19</f>
        <v>245</v>
      </c>
      <c r="G19" s="24">
        <v>0.611</v>
      </c>
      <c r="H19" s="10">
        <v>3.27</v>
      </c>
      <c r="I19" s="10">
        <v>6.6</v>
      </c>
      <c r="J19" s="10">
        <v>-12</v>
      </c>
      <c r="K19" s="10">
        <v>25</v>
      </c>
      <c r="L19" s="11">
        <v>227.98</v>
      </c>
      <c r="M19" s="11">
        <v>230.5</v>
      </c>
      <c r="N19" s="11">
        <v>203</v>
      </c>
      <c r="O19" s="11">
        <v>258</v>
      </c>
      <c r="P19" s="11">
        <v>115.32</v>
      </c>
      <c r="Q19" s="11">
        <v>113.05</v>
      </c>
      <c r="R19" s="25">
        <f>Oranlar!Y19</f>
        <v>0.5108342361863489</v>
      </c>
      <c r="S19" s="26">
        <f>-Oranlar!O19</f>
        <v>1.5</v>
      </c>
      <c r="T19" s="26">
        <f>-Oranlar!I19</f>
        <v>-1.5</v>
      </c>
      <c r="U19" s="27">
        <f>Oranlar!V19</f>
        <v>229.5</v>
      </c>
      <c r="V19" s="27">
        <f>Oranlar!L19</f>
        <v>232.5</v>
      </c>
      <c r="W19" s="28">
        <f>(U19+S19)/2</f>
        <v>115.5</v>
      </c>
      <c r="X19" s="28">
        <f>(U19-S19)/2</f>
        <v>114.0</v>
      </c>
      <c r="Y19" s="16">
        <f>IF(G19=0.5,"",IF((G19&gt;0.5)=(E19&gt;0),1,0))</f>
        <v>0</v>
      </c>
      <c r="Z19" s="16">
        <f>IF(R19=0.5,"",IF((R19&gt;0.5)=(E19&gt;0),1,0))</f>
        <v>0</v>
      </c>
      <c r="AA19" s="29">
        <f>(G19-IF(E19&gt;0,1,0))^2</f>
        <v>0.37332099999999996</v>
      </c>
      <c r="AB19" s="29">
        <f>(R19-IF(E19&gt;0,1,0))^2</f>
        <v>0.26095161686009055</v>
      </c>
      <c r="AC19" s="28">
        <f>ABS(H19-E19)</f>
        <v>42.27</v>
      </c>
      <c r="AD19" s="28">
        <f>ABS(I19-E19)</f>
        <v>45.6</v>
      </c>
      <c r="AE19" s="28">
        <f>ABS(S19-E19)</f>
        <v>40.5</v>
      </c>
      <c r="AF19" s="28">
        <f>ABS(L19-F19)</f>
        <v>17.02000000000001</v>
      </c>
      <c r="AG19" s="28">
        <f>ABS(M19-F19)</f>
        <v>14.5</v>
      </c>
      <c r="AH19" s="28">
        <f>ABS(U19-F19)</f>
        <v>15.5</v>
      </c>
      <c r="AI19" s="28">
        <f>ABS(P19-C19)</f>
        <v>12.319999999999993</v>
      </c>
      <c r="AJ19" s="28">
        <f>ABS(W19-C19)</f>
        <v>12.5</v>
      </c>
      <c r="AK19" s="28">
        <f>ABS(Q19-D19)</f>
        <v>28.950000000000003</v>
      </c>
      <c r="AL19" s="28">
        <f>ABS(X19-D19)</f>
        <v>28.0</v>
      </c>
      <c r="AM19" s="17" t="str">
        <f>IF(H19&gt;S19,"Ev",IF(H19&lt;S19,"Dep",""))</f>
        <v>Ev</v>
      </c>
      <c r="AN19" s="17" t="str">
        <f>IF(AM19="","",IF(E19=S19,"Push",IF((E19&gt;S19)=(AM19="Ev"),"Kazandı","Kaybetti")))</f>
        <v>Kaybetti</v>
      </c>
      <c r="AO19" s="30">
        <f>IF(AM19="","",IF(AN19="Push",0,IF(AN19="Kazandı",IF(AM19="Ev",Oranlar!P19,Oranlar!Q19)-1,-1)))</f>
        <v>-1.0</v>
      </c>
      <c r="AP19" s="17" t="str">
        <f>IF(L19&gt;U19,"Üst",IF(L19&lt;U19,"Alt",""))</f>
        <v>Alt</v>
      </c>
      <c r="AQ19" s="17" t="str">
        <f>IF(AP19="","",IF(F19=U19,"Push",IF((F19&gt;U19)=(AP19="Üst"),"Kazandı","Kaybetti")))</f>
        <v>Kaybetti</v>
      </c>
      <c r="AR19" s="30">
        <f>IF(AP19="","",IF(AQ19="Push",0,IF(AQ19="Kazandı",IF(AP19="Üst",Oranlar!W19,Oranlar!X19)-1,-1)))</f>
        <v>-1.0</v>
      </c>
      <c r="AS19" s="17" t="str">
        <f>IF(G19*Oranlar!R19&gt;1,"Ev",IF((1-G19)*Oranlar!S19&gt;1,"Dep",""))</f>
        <v>Ev</v>
      </c>
      <c r="AT19" s="30">
        <f>IF(AS19="","",IF((AS19="Ev")=(E19&gt;0),IF(AS19="Ev",Oranlar!R19,Oranlar!S19)-1,-1))</f>
        <v>-1.0</v>
      </c>
      <c r="AU19" s="16">
        <f>IF(OR(H19=T19,S19=T19),"",IF((H19&gt;T19)=(S19&gt;T19),1,0))</f>
        <v>1</v>
      </c>
      <c r="AV19" s="16">
        <f>IF(OR(L19=V19,U19=V19),"",IF((L19&gt;V19)=(U19&gt;V19),1,0))</f>
        <v>1</v>
      </c>
      <c r="AW19" s="16">
        <f>IF(AND(E19&gt;=J19,E19&lt;=K19),1,0)</f>
        <v>0</v>
      </c>
      <c r="AX19" s="16">
        <f>IF(AND(F19&gt;=N19,F19&lt;=O19),1,0)</f>
        <v>1</v>
      </c>
    </row>
    <row r="20" spans="1:50">
      <c r="A20" s="21">
        <f>Oranlar!A20</f>
        <v>46087</v>
      </c>
      <c r="B20" s="22" t="str">
        <f>Oranlar!C20&amp;" @ "&amp;Oranlar!D20</f>
        <v>NOP @ PHX</v>
      </c>
      <c r="C20" s="23">
        <f>Oranlar!F20</f>
        <v>118</v>
      </c>
      <c r="D20" s="23">
        <f>Oranlar!E20</f>
        <v>116</v>
      </c>
      <c r="E20" s="15">
        <f>C20-D20</f>
        <v>2</v>
      </c>
      <c r="F20" s="16">
        <f>C20+D20</f>
        <v>234</v>
      </c>
      <c r="G20" s="24">
        <v>0.591</v>
      </c>
      <c r="H20" s="10">
        <v>4.13</v>
      </c>
      <c r="I20" s="10">
        <v>6.1</v>
      </c>
      <c r="J20" s="10">
        <v>-12</v>
      </c>
      <c r="K20" s="10">
        <v>25</v>
      </c>
      <c r="L20" s="11">
        <v>228.38</v>
      </c>
      <c r="M20" s="11">
        <v>230.9</v>
      </c>
      <c r="N20" s="11">
        <v>203</v>
      </c>
      <c r="O20" s="11">
        <v>258</v>
      </c>
      <c r="P20" s="11">
        <v>117.92</v>
      </c>
      <c r="Q20" s="11">
        <v>112.94</v>
      </c>
      <c r="R20" s="25">
        <f>Oranlar!Y20</f>
        <v>0.6092362344582594</v>
      </c>
      <c r="S20" s="26">
        <f>-Oranlar!O20</f>
        <v>3.5</v>
      </c>
      <c r="T20" s="26">
        <f>-Oranlar!I20</f>
        <v>5.5</v>
      </c>
      <c r="U20" s="27">
        <f>Oranlar!V20</f>
        <v>228.5</v>
      </c>
      <c r="V20" s="27">
        <f>Oranlar!L20</f>
        <v>225.5</v>
      </c>
      <c r="W20" s="28">
        <f>(U20+S20)/2</f>
        <v>116.0</v>
      </c>
      <c r="X20" s="28">
        <f>(U20-S20)/2</f>
        <v>112.5</v>
      </c>
      <c r="Y20" s="16">
        <f>IF(G20=0.5,"",IF((G20&gt;0.5)=(E20&gt;0),1,0))</f>
        <v>1</v>
      </c>
      <c r="Z20" s="16">
        <f>IF(R20=0.5,"",IF((R20&gt;0.5)=(E20&gt;0),1,0))</f>
        <v>1</v>
      </c>
      <c r="AA20" s="29">
        <f>(G20-IF(E20&gt;0,1,0))^2</f>
        <v>0.167281</v>
      </c>
      <c r="AB20" s="29">
        <f>(R20-IF(E20&gt;0,1,0))^2</f>
        <v>0.15269632046036044</v>
      </c>
      <c r="AC20" s="28">
        <f>ABS(H20-E20)</f>
        <v>2.13</v>
      </c>
      <c r="AD20" s="28">
        <f>ABS(I20-E20)</f>
        <v>4.1</v>
      </c>
      <c r="AE20" s="28">
        <f>ABS(S20-E20)</f>
        <v>1.5</v>
      </c>
      <c r="AF20" s="28">
        <f>ABS(L20-F20)</f>
        <v>5.6200000000000045</v>
      </c>
      <c r="AG20" s="28">
        <f>ABS(M20-F20)</f>
        <v>3.0999999999999943</v>
      </c>
      <c r="AH20" s="28">
        <f>ABS(U20-F20)</f>
        <v>5.5</v>
      </c>
      <c r="AI20" s="28">
        <f>ABS(P20-C20)</f>
        <v>0.0799999999999983</v>
      </c>
      <c r="AJ20" s="28">
        <f>ABS(W20-C20)</f>
        <v>2.0</v>
      </c>
      <c r="AK20" s="28">
        <f>ABS(Q20-D20)</f>
        <v>3.0600000000000023</v>
      </c>
      <c r="AL20" s="28">
        <f>ABS(X20-D20)</f>
        <v>3.5</v>
      </c>
      <c r="AM20" s="17" t="str">
        <f>IF(H20&gt;S20,"Ev",IF(H20&lt;S20,"Dep",""))</f>
        <v>Ev</v>
      </c>
      <c r="AN20" s="17" t="str">
        <f>IF(AM20="","",IF(E20=S20,"Push",IF((E20&gt;S20)=(AM20="Ev"),"Kazandı","Kaybetti")))</f>
        <v>Kaybetti</v>
      </c>
      <c r="AO20" s="30">
        <f>IF(AM20="","",IF(AN20="Push",0,IF(AN20="Kazandı",IF(AM20="Ev",Oranlar!P20,Oranlar!Q20)-1,-1)))</f>
        <v>-1.0</v>
      </c>
      <c r="AP20" s="17" t="str">
        <f>IF(L20&gt;U20,"Üst",IF(L20&lt;U20,"Alt",""))</f>
        <v>Alt</v>
      </c>
      <c r="AQ20" s="17" t="str">
        <f>IF(AP20="","",IF(F20=U20,"Push",IF((F20&gt;U20)=(AP20="Üst"),"Kazandı","Kaybetti")))</f>
        <v>Kaybetti</v>
      </c>
      <c r="AR20" s="30">
        <f>IF(AP20="","",IF(AQ20="Push",0,IF(AQ20="Kazandı",IF(AP20="Üst",Oranlar!W20,Oranlar!X20)-1,-1)))</f>
        <v>-1.0</v>
      </c>
      <c r="AS20" s="17" t="str">
        <f>IF(G20*Oranlar!R20&gt;1,"Ev",IF((1-G20)*Oranlar!S20&gt;1,"Dep",""))</f>
        <v>Dep</v>
      </c>
      <c r="AT20" s="30">
        <f>IF(AS20="","",IF((AS20="Ev")=(E20&gt;0),IF(AS20="Ev",Oranlar!R20,Oranlar!S20)-1,-1))</f>
        <v>-1.0</v>
      </c>
      <c r="AU20" s="16">
        <f>IF(OR(H20=T20,S20=T20),"",IF((H20&gt;T20)=(S20&gt;T20),1,0))</f>
        <v>1</v>
      </c>
      <c r="AV20" s="16">
        <f>IF(OR(L20=V20,U20=V20),"",IF((L20&gt;V20)=(U20&gt;V20),1,0))</f>
        <v>1</v>
      </c>
      <c r="AW20" s="16">
        <f>IF(AND(E20&gt;=J20,E20&lt;=K20),1,0)</f>
        <v>1</v>
      </c>
      <c r="AX20" s="16">
        <f>IF(AND(F20&gt;=N20,F20&lt;=O20),1,0)</f>
        <v>1</v>
      </c>
    </row>
    <row r="21" spans="1:50">
      <c r="A21" s="21">
        <f>Oranlar!A21</f>
        <v>46087</v>
      </c>
      <c r="B21" s="22" t="str">
        <f>Oranlar!C21&amp;" @ "&amp;Oranlar!D21</f>
        <v>LAC @ SAS</v>
      </c>
      <c r="C21" s="23">
        <f>Oranlar!F21</f>
        <v>116</v>
      </c>
      <c r="D21" s="23">
        <f>Oranlar!E21</f>
        <v>112</v>
      </c>
      <c r="E21" s="15">
        <f>C21-D21</f>
        <v>4</v>
      </c>
      <c r="F21" s="16">
        <f>C21+D21</f>
        <v>228</v>
      </c>
      <c r="G21" s="24">
        <v>0.667</v>
      </c>
      <c r="H21" s="10">
        <v>3.27</v>
      </c>
      <c r="I21" s="10">
        <v>7.3</v>
      </c>
      <c r="J21" s="10">
        <v>-11</v>
      </c>
      <c r="K21" s="10">
        <v>26</v>
      </c>
      <c r="L21" s="11">
        <v>222.99</v>
      </c>
      <c r="M21" s="11">
        <v>225.9</v>
      </c>
      <c r="N21" s="11">
        <v>199</v>
      </c>
      <c r="O21" s="11">
        <v>253</v>
      </c>
      <c r="P21" s="11">
        <v>115.08</v>
      </c>
      <c r="Q21" s="11">
        <v>109.81</v>
      </c>
      <c r="R21" s="25">
        <f>Oranlar!Y21</f>
        <v>0.705033164260632</v>
      </c>
      <c r="S21" s="26">
        <f>-Oranlar!O21</f>
        <v>7.5</v>
      </c>
      <c r="T21" s="26">
        <f>-Oranlar!I21</f>
        <v>8.5</v>
      </c>
      <c r="U21" s="27">
        <f>Oranlar!V21</f>
        <v>221.5</v>
      </c>
      <c r="V21" s="27">
        <f>Oranlar!L21</f>
        <v>223.5</v>
      </c>
      <c r="W21" s="28">
        <f>(U21+S21)/2</f>
        <v>114.5</v>
      </c>
      <c r="X21" s="28">
        <f>(U21-S21)/2</f>
        <v>107.0</v>
      </c>
      <c r="Y21" s="16">
        <f>IF(G21=0.5,"",IF((G21&gt;0.5)=(E21&gt;0),1,0))</f>
        <v>1</v>
      </c>
      <c r="Z21" s="16">
        <f>IF(R21=0.5,"",IF((R21&gt;0.5)=(E21&gt;0),1,0))</f>
        <v>1</v>
      </c>
      <c r="AA21" s="29">
        <f>(G21-IF(E21&gt;0,1,0))^2</f>
        <v>0.11088899999999997</v>
      </c>
      <c r="AB21" s="29">
        <f>(R21-IF(E21&gt;0,1,0))^2</f>
        <v>0.0870054341860953</v>
      </c>
      <c r="AC21" s="28">
        <f>ABS(H21-E21)</f>
        <v>0.73</v>
      </c>
      <c r="AD21" s="28">
        <f>ABS(I21-E21)</f>
        <v>3.3</v>
      </c>
      <c r="AE21" s="28">
        <f>ABS(S21-E21)</f>
        <v>3.5</v>
      </c>
      <c r="AF21" s="28">
        <f>ABS(L21-F21)</f>
        <v>5.009999999999991</v>
      </c>
      <c r="AG21" s="28">
        <f>ABS(M21-F21)</f>
        <v>2.0999999999999943</v>
      </c>
      <c r="AH21" s="28">
        <f>ABS(U21-F21)</f>
        <v>6.5</v>
      </c>
      <c r="AI21" s="28">
        <f>ABS(P21-C21)</f>
        <v>0.9200000000000017</v>
      </c>
      <c r="AJ21" s="28">
        <f>ABS(W21-C21)</f>
        <v>1.5</v>
      </c>
      <c r="AK21" s="28">
        <f>ABS(Q21-D21)</f>
        <v>2.1899999999999977</v>
      </c>
      <c r="AL21" s="28">
        <f>ABS(X21-D21)</f>
        <v>5.0</v>
      </c>
      <c r="AM21" s="17" t="str">
        <f>IF(H21&gt;S21,"Ev",IF(H21&lt;S21,"Dep",""))</f>
        <v>Dep</v>
      </c>
      <c r="AN21" s="17" t="str">
        <f>IF(AM21="","",IF(E21=S21,"Push",IF((E21&gt;S21)=(AM21="Ev"),"Kazandı","Kaybetti")))</f>
        <v>Kazandı</v>
      </c>
      <c r="AO21" s="30">
        <f>IF(AM21="","",IF(AN21="Push",0,IF(AN21="Kazandı",IF(AM21="Ev",Oranlar!P21,Oranlar!Q21)-1,-1)))</f>
        <v>0.8695652173913042</v>
      </c>
      <c r="AP21" s="17" t="str">
        <f>IF(L21&gt;U21,"Üst",IF(L21&lt;U21,"Alt",""))</f>
        <v>Üst</v>
      </c>
      <c r="AQ21" s="17" t="str">
        <f>IF(AP21="","",IF(F21=U21,"Push",IF((F21&gt;U21)=(AP21="Üst"),"Kazandı","Kaybetti")))</f>
        <v>Kazandı</v>
      </c>
      <c r="AR21" s="30">
        <f>IF(AP21="","",IF(AQ21="Push",0,IF(AQ21="Kazandı",IF(AP21="Üst",Oranlar!W21,Oranlar!X21)-1,-1)))</f>
        <v>0.925925925925926</v>
      </c>
      <c r="AS21" s="17" t="str">
        <f>IF(G21*Oranlar!R21&gt;1,"Ev",IF((1-G21)*Oranlar!S21&gt;1,"Dep",""))</f>
        <v>Dep</v>
      </c>
      <c r="AT21" s="30">
        <f>IF(AS21="","",IF((AS21="Ev")=(E21&gt;0),IF(AS21="Ev",Oranlar!R21,Oranlar!S21)-1,-1))</f>
        <v>-1.0</v>
      </c>
      <c r="AU21" s="16">
        <f>IF(OR(H21=T21,S21=T21),"",IF((H21&gt;T21)=(S21&gt;T21),1,0))</f>
        <v>1</v>
      </c>
      <c r="AV21" s="16">
        <f>IF(OR(L21=V21,U21=V21),"",IF((L21&gt;V21)=(U21&gt;V21),1,0))</f>
        <v>1</v>
      </c>
      <c r="AW21" s="16">
        <f>IF(AND(E21&gt;=J21,E21&lt;=K21),1,0)</f>
        <v>1</v>
      </c>
      <c r="AX21" s="16">
        <f>IF(AND(F21&gt;=N21,F21&lt;=O21),1,0)</f>
        <v>1</v>
      </c>
    </row>
    <row r="22" spans="1:50">
      <c r="A22" s="21">
        <f>Oranlar!A22</f>
        <v>46087</v>
      </c>
      <c r="B22" s="22" t="str">
        <f>Oranlar!C22&amp;" @ "&amp;Oranlar!D22</f>
        <v>IND @ LAL</v>
      </c>
      <c r="C22" s="23">
        <f>Oranlar!F22</f>
        <v>128</v>
      </c>
      <c r="D22" s="23">
        <f>Oranlar!E22</f>
        <v>117</v>
      </c>
      <c r="E22" s="15">
        <f>C22-D22</f>
        <v>11</v>
      </c>
      <c r="F22" s="16">
        <f>C22+D22</f>
        <v>245</v>
      </c>
      <c r="G22" s="24">
        <v>0.727</v>
      </c>
      <c r="H22" s="10">
        <v>10.61</v>
      </c>
      <c r="I22" s="10">
        <v>8.300000000000001</v>
      </c>
      <c r="J22" s="10">
        <v>-10</v>
      </c>
      <c r="K22" s="10">
        <v>27</v>
      </c>
      <c r="L22" s="11">
        <v>229.66</v>
      </c>
      <c r="M22" s="11">
        <v>230.7</v>
      </c>
      <c r="N22" s="11">
        <v>203</v>
      </c>
      <c r="O22" s="11">
        <v>258</v>
      </c>
      <c r="P22" s="11">
        <v>119.64</v>
      </c>
      <c r="Q22" s="11">
        <v>111.98</v>
      </c>
      <c r="R22" s="25">
        <f>Oranlar!Y22</f>
        <v>0.771505376344086</v>
      </c>
      <c r="S22" s="26">
        <f>-Oranlar!O22</f>
        <v>9.5</v>
      </c>
      <c r="T22" s="26">
        <f>-Oranlar!I22</f>
        <v>10.5</v>
      </c>
      <c r="U22" s="27">
        <f>Oranlar!V22</f>
        <v>235.5</v>
      </c>
      <c r="V22" s="27">
        <f>Oranlar!L22</f>
        <v>235.5</v>
      </c>
      <c r="W22" s="28">
        <f>(U22+S22)/2</f>
        <v>122.5</v>
      </c>
      <c r="X22" s="28">
        <f>(U22-S22)/2</f>
        <v>113.0</v>
      </c>
      <c r="Y22" s="16">
        <f>IF(G22=0.5,"",IF((G22&gt;0.5)=(E22&gt;0),1,0))</f>
        <v>1</v>
      </c>
      <c r="Z22" s="16">
        <f>IF(R22=0.5,"",IF((R22&gt;0.5)=(E22&gt;0),1,0))</f>
        <v>1</v>
      </c>
      <c r="AA22" s="29">
        <f>(G22-IF(E22&gt;0,1,0))^2</f>
        <v>0.07452900000000001</v>
      </c>
      <c r="AB22" s="29">
        <f>(R22-IF(E22&gt;0,1,0))^2</f>
        <v>0.052209793039657774</v>
      </c>
      <c r="AC22" s="28">
        <f>ABS(H22-E22)</f>
        <v>0.39000000000000057</v>
      </c>
      <c r="AD22" s="28">
        <f>ABS(I22-E22)</f>
        <v>2.6999999999999993</v>
      </c>
      <c r="AE22" s="28">
        <f>ABS(S22-E22)</f>
        <v>1.5</v>
      </c>
      <c r="AF22" s="28">
        <f>ABS(L22-F22)</f>
        <v>15.340000000000003</v>
      </c>
      <c r="AG22" s="28">
        <f>ABS(M22-F22)</f>
        <v>14.300000000000011</v>
      </c>
      <c r="AH22" s="28">
        <f>ABS(U22-F22)</f>
        <v>9.5</v>
      </c>
      <c r="AI22" s="28">
        <f>ABS(P22-C22)</f>
        <v>8.36</v>
      </c>
      <c r="AJ22" s="28">
        <f>ABS(W22-C22)</f>
        <v>5.5</v>
      </c>
      <c r="AK22" s="28">
        <f>ABS(Q22-D22)</f>
        <v>5.019999999999996</v>
      </c>
      <c r="AL22" s="28">
        <f>ABS(X22-D22)</f>
        <v>4.0</v>
      </c>
      <c r="AM22" s="17" t="str">
        <f>IF(H22&gt;S22,"Ev",IF(H22&lt;S22,"Dep",""))</f>
        <v>Ev</v>
      </c>
      <c r="AN22" s="17" t="str">
        <f>IF(AM22="","",IF(E22=S22,"Push",IF((E22&gt;S22)=(AM22="Ev"),"Kazandı","Kaybetti")))</f>
        <v>Kazandı</v>
      </c>
      <c r="AO22" s="30">
        <f>IF(AM22="","",IF(AN22="Push",0,IF(AN22="Kazandı",IF(AM22="Ev",Oranlar!P22,Oranlar!Q22)-1,-1)))</f>
        <v>0.9803921568627452</v>
      </c>
      <c r="AP22" s="17" t="str">
        <f>IF(L22&gt;U22,"Üst",IF(L22&lt;U22,"Alt",""))</f>
        <v>Alt</v>
      </c>
      <c r="AQ22" s="17" t="str">
        <f>IF(AP22="","",IF(F22=U22,"Push",IF((F22&gt;U22)=(AP22="Üst"),"Kazandı","Kaybetti")))</f>
        <v>Kaybetti</v>
      </c>
      <c r="AR22" s="30">
        <f>IF(AP22="","",IF(AQ22="Push",0,IF(AQ22="Kazandı",IF(AP22="Üst",Oranlar!W22,Oranlar!X22)-1,-1)))</f>
        <v>-1.0</v>
      </c>
      <c r="AS22" s="17" t="str">
        <f>IF(G22*Oranlar!R22&gt;1,"Ev",IF((1-G22)*Oranlar!S22&gt;1,"Dep",""))</f>
        <v>Dep</v>
      </c>
      <c r="AT22" s="30">
        <f>IF(AS22="","",IF((AS22="Ev")=(E22&gt;0),IF(AS22="Ev",Oranlar!R22,Oranlar!S22)-1,-1))</f>
        <v>-1.0</v>
      </c>
      <c r="AU22" s="16">
        <f>IF(OR(H22=T22,S22=T22),"",IF((H22&gt;T22)=(S22&gt;T22),1,0))</f>
        <v>0</v>
      </c>
      <c r="AV22" s="16">
        <f>IF(OR(L22=V22,U22=V22),"",IF((L22&gt;V22)=(U22&gt;V22),1,0))</f>
        <v/>
      </c>
      <c r="AW22" s="16">
        <f>IF(AND(E22&gt;=J22,E22&lt;=K22),1,0)</f>
        <v>1</v>
      </c>
      <c r="AX22" s="16">
        <f>IF(AND(F22&gt;=N22,F22&lt;=O22),1,0)</f>
        <v>1</v>
      </c>
    </row>
    <row r="23" spans="1:50">
      <c r="A23" s="21">
        <f>Oranlar!A23</f>
        <v>46088</v>
      </c>
      <c r="B23" s="22" t="str">
        <f>Oranlar!C23&amp;" @ "&amp;Oranlar!D23</f>
        <v>ORL @ MIN</v>
      </c>
      <c r="C23" s="23">
        <f>Oranlar!F23</f>
        <v>92</v>
      </c>
      <c r="D23" s="23">
        <f>Oranlar!E23</f>
        <v>119</v>
      </c>
      <c r="E23" s="15">
        <f>C23-D23</f>
        <v>-27</v>
      </c>
      <c r="F23" s="16">
        <f>C23+D23</f>
        <v>211</v>
      </c>
      <c r="G23" s="24">
        <v>0.6820000000000001</v>
      </c>
      <c r="H23" s="10">
        <v>7.8</v>
      </c>
      <c r="I23" s="10">
        <v>8.9</v>
      </c>
      <c r="J23" s="10">
        <v>-9</v>
      </c>
      <c r="K23" s="10">
        <v>27</v>
      </c>
      <c r="L23" s="11">
        <v>226.79</v>
      </c>
      <c r="M23" s="11">
        <v>225.8</v>
      </c>
      <c r="N23" s="11">
        <v>199</v>
      </c>
      <c r="O23" s="11">
        <v>253</v>
      </c>
      <c r="P23" s="11">
        <v>116.61</v>
      </c>
      <c r="Q23" s="11">
        <v>109.3</v>
      </c>
      <c r="R23" s="25">
        <f>Oranlar!Y23</f>
        <v>0.6957699520733487</v>
      </c>
      <c r="S23" s="26">
        <f>-Oranlar!O23</f>
        <v>6.5</v>
      </c>
      <c r="T23" s="26">
        <f>-Oranlar!I23</f>
        <v>7.5</v>
      </c>
      <c r="U23" s="27">
        <f>Oranlar!V23</f>
        <v>224.5</v>
      </c>
      <c r="V23" s="27">
        <f>Oranlar!L23</f>
        <v>226.5</v>
      </c>
      <c r="W23" s="28">
        <f>(U23+S23)/2</f>
        <v>115.5</v>
      </c>
      <c r="X23" s="28">
        <f>(U23-S23)/2</f>
        <v>109.0</v>
      </c>
      <c r="Y23" s="16">
        <f>IF(G23=0.5,"",IF((G23&gt;0.5)=(E23&gt;0),1,0))</f>
        <v>0</v>
      </c>
      <c r="Z23" s="16">
        <f>IF(R23=0.5,"",IF((R23&gt;0.5)=(E23&gt;0),1,0))</f>
        <v>0</v>
      </c>
      <c r="AA23" s="29">
        <f>(G23-IF(E23&gt;0,1,0))^2</f>
        <v>0.4651240000000001</v>
      </c>
      <c r="AB23" s="29">
        <f>(R23-IF(E23&gt;0,1,0))^2</f>
        <v>0.48409582620814995</v>
      </c>
      <c r="AC23" s="28">
        <f>ABS(H23-E23)</f>
        <v>34.8</v>
      </c>
      <c r="AD23" s="28">
        <f>ABS(I23-E23)</f>
        <v>35.9</v>
      </c>
      <c r="AE23" s="28">
        <f>ABS(S23-E23)</f>
        <v>33.5</v>
      </c>
      <c r="AF23" s="28">
        <f>ABS(L23-F23)</f>
        <v>15.789999999999992</v>
      </c>
      <c r="AG23" s="28">
        <f>ABS(M23-F23)</f>
        <v>14.800000000000011</v>
      </c>
      <c r="AH23" s="28">
        <f>ABS(U23-F23)</f>
        <v>13.5</v>
      </c>
      <c r="AI23" s="28">
        <f>ABS(P23-C23)</f>
        <v>24.61</v>
      </c>
      <c r="AJ23" s="28">
        <f>ABS(W23-C23)</f>
        <v>23.5</v>
      </c>
      <c r="AK23" s="28">
        <f>ABS(Q23-D23)</f>
        <v>9.700000000000003</v>
      </c>
      <c r="AL23" s="28">
        <f>ABS(X23-D23)</f>
        <v>10.0</v>
      </c>
      <c r="AM23" s="17" t="str">
        <f>IF(H23&gt;S23,"Ev",IF(H23&lt;S23,"Dep",""))</f>
        <v>Ev</v>
      </c>
      <c r="AN23" s="17" t="str">
        <f>IF(AM23="","",IF(E23=S23,"Push",IF((E23&gt;S23)=(AM23="Ev"),"Kazandı","Kaybetti")))</f>
        <v>Kaybetti</v>
      </c>
      <c r="AO23" s="30">
        <f>IF(AM23="","",IF(AN23="Push",0,IF(AN23="Kazandı",IF(AM23="Ev",Oranlar!P23,Oranlar!Q23)-1,-1)))</f>
        <v>-1.0</v>
      </c>
      <c r="AP23" s="17" t="str">
        <f>IF(L23&gt;U23,"Üst",IF(L23&lt;U23,"Alt",""))</f>
        <v>Üst</v>
      </c>
      <c r="AQ23" s="17" t="str">
        <f>IF(AP23="","",IF(F23=U23,"Push",IF((F23&gt;U23)=(AP23="Üst"),"Kazandı","Kaybetti")))</f>
        <v>Kaybetti</v>
      </c>
      <c r="AR23" s="30">
        <f>IF(AP23="","",IF(AQ23="Push",0,IF(AQ23="Kazandı",IF(AP23="Üst",Oranlar!W23,Oranlar!X23)-1,-1)))</f>
        <v>-1.0</v>
      </c>
      <c r="AS23" s="17" t="str">
        <f>IF(G23*Oranlar!R23&gt;1,"Ev",IF((1-G23)*Oranlar!S23&gt;1,"Dep",""))</f>
        <v>Dep</v>
      </c>
      <c r="AT23" s="30">
        <f>IF(AS23="","",IF((AS23="Ev")=(E23&gt;0),IF(AS23="Ev",Oranlar!R23,Oranlar!S23)-1,-1))</f>
        <v>2.15</v>
      </c>
      <c r="AU23" s="16">
        <f>IF(OR(H23=T23,S23=T23),"",IF((H23&gt;T23)=(S23&gt;T23),1,0))</f>
        <v>0</v>
      </c>
      <c r="AV23" s="16">
        <f>IF(OR(L23=V23,U23=V23),"",IF((L23&gt;V23)=(U23&gt;V23),1,0))</f>
        <v>0</v>
      </c>
      <c r="AW23" s="16">
        <f>IF(AND(E23&gt;=J23,E23&lt;=K23),1,0)</f>
        <v>0</v>
      </c>
      <c r="AX23" s="16">
        <f>IF(AND(F23&gt;=N23,F23&lt;=O23),1,0)</f>
        <v>1</v>
      </c>
    </row>
    <row r="24" spans="1:50">
      <c r="A24" s="21">
        <f>Oranlar!A24</f>
        <v>46088</v>
      </c>
      <c r="B24" s="22" t="str">
        <f>Oranlar!C24&amp;" @ "&amp;Oranlar!D24</f>
        <v>BKN @ DET</v>
      </c>
      <c r="C24" s="23">
        <f>Oranlar!F24</f>
        <v>105</v>
      </c>
      <c r="D24" s="23">
        <f>Oranlar!E24</f>
        <v>107</v>
      </c>
      <c r="E24" s="15">
        <f>C24-D24</f>
        <v>-2</v>
      </c>
      <c r="F24" s="16">
        <f>C24+D24</f>
        <v>212</v>
      </c>
      <c r="G24" s="24">
        <v>0.757</v>
      </c>
      <c r="H24" s="10">
        <v>8.380000000000001</v>
      </c>
      <c r="I24" s="10">
        <v>14.4</v>
      </c>
      <c r="J24" s="10">
        <v>-3</v>
      </c>
      <c r="K24" s="10">
        <v>32</v>
      </c>
      <c r="L24" s="11">
        <v>221.2</v>
      </c>
      <c r="M24" s="11">
        <v>216.7</v>
      </c>
      <c r="N24" s="11">
        <v>190</v>
      </c>
      <c r="O24" s="11">
        <v>243</v>
      </c>
      <c r="P24" s="11">
        <v>116.56</v>
      </c>
      <c r="Q24" s="11">
        <v>101.99</v>
      </c>
      <c r="R24" s="25">
        <f>Oranlar!Y24</f>
        <v>0.8524590163934427</v>
      </c>
      <c r="S24" s="26">
        <f>-Oranlar!O24</f>
        <v>13.5</v>
      </c>
      <c r="T24" s="26">
        <f>-Oranlar!I24</f>
        <v>13.5</v>
      </c>
      <c r="U24" s="27">
        <f>Oranlar!V24</f>
        <v>214.5</v>
      </c>
      <c r="V24" s="27">
        <f>Oranlar!L24</f>
        <v>214.5</v>
      </c>
      <c r="W24" s="28">
        <f>(U24+S24)/2</f>
        <v>114.0</v>
      </c>
      <c r="X24" s="28">
        <f>(U24-S24)/2</f>
        <v>100.5</v>
      </c>
      <c r="Y24" s="16">
        <f>IF(G24=0.5,"",IF((G24&gt;0.5)=(E24&gt;0),1,0))</f>
        <v>0</v>
      </c>
      <c r="Z24" s="16">
        <f>IF(R24=0.5,"",IF((R24&gt;0.5)=(E24&gt;0),1,0))</f>
        <v>0</v>
      </c>
      <c r="AA24" s="29">
        <f>(G24-IF(E24&gt;0,1,0))^2</f>
        <v>0.573049</v>
      </c>
      <c r="AB24" s="29">
        <f>(R24-IF(E24&gt;0,1,0))^2</f>
        <v>0.7266863746304758</v>
      </c>
      <c r="AC24" s="28">
        <f>ABS(H24-E24)</f>
        <v>10.38</v>
      </c>
      <c r="AD24" s="28">
        <f>ABS(I24-E24)</f>
        <v>16.4</v>
      </c>
      <c r="AE24" s="28">
        <f>ABS(S24-E24)</f>
        <v>15.5</v>
      </c>
      <c r="AF24" s="28">
        <f>ABS(L24-F24)</f>
        <v>9.199999999999989</v>
      </c>
      <c r="AG24" s="28">
        <f>ABS(M24-F24)</f>
        <v>4.699999999999989</v>
      </c>
      <c r="AH24" s="28">
        <f>ABS(U24-F24)</f>
        <v>2.5</v>
      </c>
      <c r="AI24" s="28">
        <f>ABS(P24-C24)</f>
        <v>11.560000000000002</v>
      </c>
      <c r="AJ24" s="28">
        <f>ABS(W24-C24)</f>
        <v>9.0</v>
      </c>
      <c r="AK24" s="28">
        <f>ABS(Q24-D24)</f>
        <v>5.010000000000005</v>
      </c>
      <c r="AL24" s="28">
        <f>ABS(X24-D24)</f>
        <v>6.5</v>
      </c>
      <c r="AM24" s="17" t="str">
        <f>IF(H24&gt;S24,"Ev",IF(H24&lt;S24,"Dep",""))</f>
        <v>Dep</v>
      </c>
      <c r="AN24" s="17" t="str">
        <f>IF(AM24="","",IF(E24=S24,"Push",IF((E24&gt;S24)=(AM24="Ev"),"Kazandı","Kaybetti")))</f>
        <v>Kazandı</v>
      </c>
      <c r="AO24" s="30">
        <f>IF(AM24="","",IF(AN24="Push",0,IF(AN24="Kazandı",IF(AM24="Ev",Oranlar!P24,Oranlar!Q24)-1,-1)))</f>
        <v>0.9090909090909092</v>
      </c>
      <c r="AP24" s="17" t="str">
        <f>IF(L24&gt;U24,"Üst",IF(L24&lt;U24,"Alt",""))</f>
        <v>Üst</v>
      </c>
      <c r="AQ24" s="17" t="str">
        <f>IF(AP24="","",IF(F24=U24,"Push",IF((F24&gt;U24)=(AP24="Üst"),"Kazandı","Kaybetti")))</f>
        <v>Kaybetti</v>
      </c>
      <c r="AR24" s="30">
        <f>IF(AP24="","",IF(AQ24="Push",0,IF(AQ24="Kazandı",IF(AP24="Üst",Oranlar!W24,Oranlar!X24)-1,-1)))</f>
        <v>-1.0</v>
      </c>
      <c r="AS24" s="17" t="str">
        <f>IF(G24*Oranlar!R24&gt;1,"Ev",IF((1-G24)*Oranlar!S24&gt;1,"Dep",""))</f>
        <v>Dep</v>
      </c>
      <c r="AT24" s="30">
        <f>IF(AS24="","",IF((AS24="Ev")=(E24&gt;0),IF(AS24="Ev",Oranlar!R24,Oranlar!S24)-1,-1))</f>
        <v>5.5</v>
      </c>
      <c r="AU24" s="16">
        <f>IF(OR(H24=T24,S24=T24),"",IF((H24&gt;T24)=(S24&gt;T24),1,0))</f>
        <v/>
      </c>
      <c r="AV24" s="16">
        <f>IF(OR(L24=V24,U24=V24),"",IF((L24&gt;V24)=(U24&gt;V24),1,0))</f>
        <v/>
      </c>
      <c r="AW24" s="16">
        <f>IF(AND(E24&gt;=J24,E24&lt;=K24),1,0)</f>
        <v>1</v>
      </c>
      <c r="AX24" s="16">
        <f>IF(AND(F24&gt;=N24,F24&lt;=O24),1,0)</f>
        <v>1</v>
      </c>
    </row>
    <row r="25" spans="1:50">
      <c r="A25" s="21">
        <f>Oranlar!A25</f>
        <v>46088</v>
      </c>
      <c r="B25" s="22" t="str">
        <f>Oranlar!C25&amp;" @ "&amp;Oranlar!D25</f>
        <v>PHI @ ATL</v>
      </c>
      <c r="C25" s="23">
        <f>Oranlar!F25</f>
        <v>125</v>
      </c>
      <c r="D25" s="23">
        <f>Oranlar!E25</f>
        <v>116</v>
      </c>
      <c r="E25" s="15">
        <f>C25-D25</f>
        <v>9</v>
      </c>
      <c r="F25" s="16">
        <f>C25+D25</f>
        <v>241</v>
      </c>
      <c r="G25" s="24">
        <v>0.627</v>
      </c>
      <c r="H25" s="10">
        <v>3.36</v>
      </c>
      <c r="I25" s="10">
        <v>4.3</v>
      </c>
      <c r="J25" s="10">
        <v>-14</v>
      </c>
      <c r="K25" s="10">
        <v>23</v>
      </c>
      <c r="L25" s="11">
        <v>230.65</v>
      </c>
      <c r="M25" s="11">
        <v>230</v>
      </c>
      <c r="N25" s="11">
        <v>203</v>
      </c>
      <c r="O25" s="11">
        <v>257</v>
      </c>
      <c r="P25" s="11">
        <v>116.86</v>
      </c>
      <c r="Q25" s="11">
        <v>112.33</v>
      </c>
      <c r="R25" s="25">
        <f>Oranlar!Y25</f>
        <v>0.705033164260632</v>
      </c>
      <c r="S25" s="26">
        <f>-Oranlar!O25</f>
        <v>6.5</v>
      </c>
      <c r="T25" s="26">
        <f>-Oranlar!I25</f>
        <v>4.5</v>
      </c>
      <c r="U25" s="27">
        <f>Oranlar!V25</f>
        <v>234.5</v>
      </c>
      <c r="V25" s="27">
        <f>Oranlar!L25</f>
        <v>232.5</v>
      </c>
      <c r="W25" s="28">
        <f>(U25+S25)/2</f>
        <v>120.5</v>
      </c>
      <c r="X25" s="28">
        <f>(U25-S25)/2</f>
        <v>114.0</v>
      </c>
      <c r="Y25" s="16">
        <f>IF(G25=0.5,"",IF((G25&gt;0.5)=(E25&gt;0),1,0))</f>
        <v>1</v>
      </c>
      <c r="Z25" s="16">
        <f>IF(R25=0.5,"",IF((R25&gt;0.5)=(E25&gt;0),1,0))</f>
        <v>1</v>
      </c>
      <c r="AA25" s="29">
        <f>(G25-IF(E25&gt;0,1,0))^2</f>
        <v>0.139129</v>
      </c>
      <c r="AB25" s="29">
        <f>(R25-IF(E25&gt;0,1,0))^2</f>
        <v>0.0870054341860953</v>
      </c>
      <c r="AC25" s="28">
        <f>ABS(H25-E25)</f>
        <v>5.640000000000001</v>
      </c>
      <c r="AD25" s="28">
        <f>ABS(I25-E25)</f>
        <v>4.7</v>
      </c>
      <c r="AE25" s="28">
        <f>ABS(S25-E25)</f>
        <v>2.5</v>
      </c>
      <c r="AF25" s="28">
        <f>ABS(L25-F25)</f>
        <v>10.349999999999994</v>
      </c>
      <c r="AG25" s="28">
        <f>ABS(M25-F25)</f>
        <v>11.0</v>
      </c>
      <c r="AH25" s="28">
        <f>ABS(U25-F25)</f>
        <v>6.5</v>
      </c>
      <c r="AI25" s="28">
        <f>ABS(P25-C25)</f>
        <v>8.14</v>
      </c>
      <c r="AJ25" s="28">
        <f>ABS(W25-C25)</f>
        <v>4.5</v>
      </c>
      <c r="AK25" s="28">
        <f>ABS(Q25-D25)</f>
        <v>3.6700000000000017</v>
      </c>
      <c r="AL25" s="28">
        <f>ABS(X25-D25)</f>
        <v>2.0</v>
      </c>
      <c r="AM25" s="17" t="str">
        <f>IF(H25&gt;S25,"Ev",IF(H25&lt;S25,"Dep",""))</f>
        <v>Dep</v>
      </c>
      <c r="AN25" s="17" t="str">
        <f>IF(AM25="","",IF(E25=S25,"Push",IF((E25&gt;S25)=(AM25="Ev"),"Kazandı","Kaybetti")))</f>
        <v>Kaybetti</v>
      </c>
      <c r="AO25" s="30">
        <f>IF(AM25="","",IF(AN25="Push",0,IF(AN25="Kazandı",IF(AM25="Ev",Oranlar!P25,Oranlar!Q25)-1,-1)))</f>
        <v>-1.0</v>
      </c>
      <c r="AP25" s="17" t="str">
        <f>IF(L25&gt;U25,"Üst",IF(L25&lt;U25,"Alt",""))</f>
        <v>Alt</v>
      </c>
      <c r="AQ25" s="17" t="str">
        <f>IF(AP25="","",IF(F25=U25,"Push",IF((F25&gt;U25)=(AP25="Üst"),"Kazandı","Kaybetti")))</f>
        <v>Kaybetti</v>
      </c>
      <c r="AR25" s="30">
        <f>IF(AP25="","",IF(AQ25="Push",0,IF(AQ25="Kazandı",IF(AP25="Üst",Oranlar!W25,Oranlar!X25)-1,-1)))</f>
        <v>-1.0</v>
      </c>
      <c r="AS25" s="17" t="str">
        <f>IF(G25*Oranlar!R25&gt;1,"Ev",IF((1-G25)*Oranlar!S25&gt;1,"Dep",""))</f>
        <v>Dep</v>
      </c>
      <c r="AT25" s="30">
        <f>IF(AS25="","",IF((AS25="Ev")=(E25&gt;0),IF(AS25="Ev",Oranlar!R25,Oranlar!S25)-1,-1))</f>
        <v>-1.0</v>
      </c>
      <c r="AU25" s="16">
        <f>IF(OR(H25=T25,S25=T25),"",IF((H25&gt;T25)=(S25&gt;T25),1,0))</f>
        <v>0</v>
      </c>
      <c r="AV25" s="16">
        <f>IF(OR(L25=V25,U25=V25),"",IF((L25&gt;V25)=(U25&gt;V25),1,0))</f>
        <v>0</v>
      </c>
      <c r="AW25" s="16">
        <f>IF(AND(E25&gt;=J25,E25&lt;=K25),1,0)</f>
        <v>1</v>
      </c>
      <c r="AX25" s="16">
        <f>IF(AND(F25&gt;=N25,F25&lt;=O25),1,0)</f>
        <v>1</v>
      </c>
    </row>
    <row r="26" spans="1:50">
      <c r="A26" s="21">
        <f>Oranlar!A26</f>
        <v>46088</v>
      </c>
      <c r="B26" s="22" t="str">
        <f>Oranlar!C26&amp;" @ "&amp;Oranlar!D26</f>
        <v>LAC @ MEM</v>
      </c>
      <c r="C26" s="23">
        <f>Oranlar!F26</f>
        <v>120</v>
      </c>
      <c r="D26" s="23">
        <f>Oranlar!E26</f>
        <v>123</v>
      </c>
      <c r="E26" s="15">
        <f>C26-D26</f>
        <v>-3</v>
      </c>
      <c r="F26" s="16">
        <f>C26+D26</f>
        <v>243</v>
      </c>
      <c r="G26" s="24">
        <v>0.438</v>
      </c>
      <c r="H26" s="10">
        <v>-1.27</v>
      </c>
      <c r="I26" s="10">
        <v>-1.8</v>
      </c>
      <c r="J26" s="10">
        <v>-20</v>
      </c>
      <c r="K26" s="10">
        <v>17</v>
      </c>
      <c r="L26" s="11">
        <v>228.63</v>
      </c>
      <c r="M26" s="11">
        <v>232.8</v>
      </c>
      <c r="N26" s="11">
        <v>205</v>
      </c>
      <c r="O26" s="11">
        <v>260</v>
      </c>
      <c r="P26" s="11">
        <v>113.81</v>
      </c>
      <c r="Q26" s="11">
        <v>114.83</v>
      </c>
      <c r="R26" s="25">
        <f>Oranlar!Y26</f>
        <v>0.27792074112197634</v>
      </c>
      <c r="S26" s="26">
        <f>-Oranlar!O26</f>
        <v>-7.5</v>
      </c>
      <c r="T26" s="26">
        <f>-Oranlar!I26</f>
        <v>-6.5</v>
      </c>
      <c r="U26" s="27">
        <f>Oranlar!V26</f>
        <v>229.5</v>
      </c>
      <c r="V26" s="27">
        <f>Oranlar!L26</f>
        <v>227.5</v>
      </c>
      <c r="W26" s="28">
        <f>(U26+S26)/2</f>
        <v>111.0</v>
      </c>
      <c r="X26" s="28">
        <f>(U26-S26)/2</f>
        <v>118.5</v>
      </c>
      <c r="Y26" s="16">
        <f>IF(G26=0.5,"",IF((G26&gt;0.5)=(E26&gt;0),1,0))</f>
        <v>1</v>
      </c>
      <c r="Z26" s="16">
        <f>IF(R26=0.5,"",IF((R26&gt;0.5)=(E26&gt;0),1,0))</f>
        <v>1</v>
      </c>
      <c r="AA26" s="29">
        <f>(G26-IF(E26&gt;0,1,0))^2</f>
        <v>0.191844</v>
      </c>
      <c r="AB26" s="29">
        <f>(R26-IF(E26&gt;0,1,0))^2</f>
        <v>0.07723993834578859</v>
      </c>
      <c r="AC26" s="28">
        <f>ABS(H26-E26)</f>
        <v>1.73</v>
      </c>
      <c r="AD26" s="28">
        <f>ABS(I26-E26)</f>
        <v>1.2</v>
      </c>
      <c r="AE26" s="28">
        <f>ABS(S26-E26)</f>
        <v>4.5</v>
      </c>
      <c r="AF26" s="28">
        <f>ABS(L26-F26)</f>
        <v>14.370000000000005</v>
      </c>
      <c r="AG26" s="28">
        <f>ABS(M26-F26)</f>
        <v>10.199999999999989</v>
      </c>
      <c r="AH26" s="28">
        <f>ABS(U26-F26)</f>
        <v>13.5</v>
      </c>
      <c r="AI26" s="28">
        <f>ABS(P26-C26)</f>
        <v>6.189999999999998</v>
      </c>
      <c r="AJ26" s="28">
        <f>ABS(W26-C26)</f>
        <v>9.0</v>
      </c>
      <c r="AK26" s="28">
        <f>ABS(Q26-D26)</f>
        <v>8.170000000000002</v>
      </c>
      <c r="AL26" s="28">
        <f>ABS(X26-D26)</f>
        <v>4.5</v>
      </c>
      <c r="AM26" s="17" t="str">
        <f>IF(H26&gt;S26,"Ev",IF(H26&lt;S26,"Dep",""))</f>
        <v>Ev</v>
      </c>
      <c r="AN26" s="17" t="str">
        <f>IF(AM26="","",IF(E26=S26,"Push",IF((E26&gt;S26)=(AM26="Ev"),"Kazandı","Kaybetti")))</f>
        <v>Kazandı</v>
      </c>
      <c r="AO26" s="30">
        <f>IF(AM26="","",IF(AN26="Push",0,IF(AN26="Kazandı",IF(AM26="Ev",Oranlar!P26,Oranlar!Q26)-1,-1)))</f>
        <v>0.925925925925926</v>
      </c>
      <c r="AP26" s="17" t="str">
        <f>IF(L26&gt;U26,"Üst",IF(L26&lt;U26,"Alt",""))</f>
        <v>Alt</v>
      </c>
      <c r="AQ26" s="17" t="str">
        <f>IF(AP26="","",IF(F26=U26,"Push",IF((F26&gt;U26)=(AP26="Üst"),"Kazandı","Kaybetti")))</f>
        <v>Kaybetti</v>
      </c>
      <c r="AR26" s="30">
        <f>IF(AP26="","",IF(AQ26="Push",0,IF(AQ26="Kazandı",IF(AP26="Üst",Oranlar!W26,Oranlar!X26)-1,-1)))</f>
        <v>-1.0</v>
      </c>
      <c r="AS26" s="17" t="str">
        <f>IF(G26*Oranlar!R26&gt;1,"Ev",IF((1-G26)*Oranlar!S26&gt;1,"Dep",""))</f>
        <v>Ev</v>
      </c>
      <c r="AT26" s="30">
        <f>IF(AS26="","",IF((AS26="Ev")=(E26&gt;0),IF(AS26="Ev",Oranlar!R26,Oranlar!S26)-1,-1))</f>
        <v>-1.0</v>
      </c>
      <c r="AU26" s="16">
        <f>IF(OR(H26=T26,S26=T26),"",IF((H26&gt;T26)=(S26&gt;T26),1,0))</f>
        <v>0</v>
      </c>
      <c r="AV26" s="16">
        <f>IF(OR(L26=V26,U26=V26),"",IF((L26&gt;V26)=(U26&gt;V26),1,0))</f>
        <v>1</v>
      </c>
      <c r="AW26" s="16">
        <f>IF(AND(E26&gt;=J26,E26&lt;=K26),1,0)</f>
        <v>1</v>
      </c>
      <c r="AX26" s="16">
        <f>IF(AND(F26&gt;=N26,F26&lt;=O26),1,0)</f>
        <v>1</v>
      </c>
    </row>
    <row r="27" spans="1:50">
      <c r="A27" s="21">
        <f>Oranlar!A27</f>
        <v>46088</v>
      </c>
      <c r="B27" s="22" t="str">
        <f>Oranlar!C27&amp;" @ "&amp;Oranlar!D27</f>
        <v>UTA @ MIL</v>
      </c>
      <c r="C27" s="23">
        <f>Oranlar!F27</f>
        <v>113</v>
      </c>
      <c r="D27" s="23">
        <f>Oranlar!E27</f>
        <v>99</v>
      </c>
      <c r="E27" s="15">
        <f>C27-D27</f>
        <v>14</v>
      </c>
      <c r="F27" s="16">
        <f>C27+D27</f>
        <v>212</v>
      </c>
      <c r="G27" s="24">
        <v>0.6830000000000001</v>
      </c>
      <c r="H27" s="10">
        <v>7.74</v>
      </c>
      <c r="I27" s="10">
        <v>10</v>
      </c>
      <c r="J27" s="10">
        <v>-8</v>
      </c>
      <c r="K27" s="10">
        <v>29</v>
      </c>
      <c r="L27" s="11">
        <v>230.81</v>
      </c>
      <c r="M27" s="11">
        <v>228.9</v>
      </c>
      <c r="N27" s="11">
        <v>202</v>
      </c>
      <c r="O27" s="11">
        <v>256</v>
      </c>
      <c r="P27" s="11">
        <v>117.52</v>
      </c>
      <c r="Q27" s="11">
        <v>111.87</v>
      </c>
      <c r="R27" s="25">
        <f>Oranlar!Y27</f>
        <v>0.7819063004846527</v>
      </c>
      <c r="S27" s="26">
        <f>-Oranlar!O27</f>
        <v>9.5</v>
      </c>
      <c r="T27" s="26">
        <f>-Oranlar!I27</f>
        <v>9.5</v>
      </c>
      <c r="U27" s="27">
        <f>Oranlar!V27</f>
        <v>230.5</v>
      </c>
      <c r="V27" s="27">
        <f>Oranlar!L27</f>
        <v>234.5</v>
      </c>
      <c r="W27" s="28">
        <f>(U27+S27)/2</f>
        <v>120.0</v>
      </c>
      <c r="X27" s="28">
        <f>(U27-S27)/2</f>
        <v>110.5</v>
      </c>
      <c r="Y27" s="16">
        <f>IF(G27=0.5,"",IF((G27&gt;0.5)=(E27&gt;0),1,0))</f>
        <v>1</v>
      </c>
      <c r="Z27" s="16">
        <f>IF(R27=0.5,"",IF((R27&gt;0.5)=(E27&gt;0),1,0))</f>
        <v>1</v>
      </c>
      <c r="AA27" s="29">
        <f>(G27-IF(E27&gt;0,1,0))^2</f>
        <v>0.10048899999999997</v>
      </c>
      <c r="AB27" s="29">
        <f>(R27-IF(E27&gt;0,1,0))^2</f>
        <v>0.0475648617682906</v>
      </c>
      <c r="AC27" s="28">
        <f>ABS(H27-E27)</f>
        <v>6.26</v>
      </c>
      <c r="AD27" s="28">
        <f>ABS(I27-E27)</f>
        <v>4.0</v>
      </c>
      <c r="AE27" s="28">
        <f>ABS(S27-E27)</f>
        <v>4.5</v>
      </c>
      <c r="AF27" s="28">
        <f>ABS(L27-F27)</f>
        <v>18.810000000000002</v>
      </c>
      <c r="AG27" s="28">
        <f>ABS(M27-F27)</f>
        <v>16.900000000000006</v>
      </c>
      <c r="AH27" s="28">
        <f>ABS(U27-F27)</f>
        <v>18.5</v>
      </c>
      <c r="AI27" s="28">
        <f>ABS(P27-C27)</f>
        <v>4.519999999999996</v>
      </c>
      <c r="AJ27" s="28">
        <f>ABS(W27-C27)</f>
        <v>7.0</v>
      </c>
      <c r="AK27" s="28">
        <f>ABS(Q27-D27)</f>
        <v>12.870000000000005</v>
      </c>
      <c r="AL27" s="28">
        <f>ABS(X27-D27)</f>
        <v>11.5</v>
      </c>
      <c r="AM27" s="17" t="str">
        <f>IF(H27&gt;S27,"Ev",IF(H27&lt;S27,"Dep",""))</f>
        <v>Dep</v>
      </c>
      <c r="AN27" s="17" t="str">
        <f>IF(AM27="","",IF(E27=S27,"Push",IF((E27&gt;S27)=(AM27="Ev"),"Kazandı","Kaybetti")))</f>
        <v>Kaybetti</v>
      </c>
      <c r="AO27" s="30">
        <f>IF(AM27="","",IF(AN27="Push",0,IF(AN27="Kazandı",IF(AM27="Ev",Oranlar!P27,Oranlar!Q27)-1,-1)))</f>
        <v>-1.0</v>
      </c>
      <c r="AP27" s="17" t="str">
        <f>IF(L27&gt;U27,"Üst",IF(L27&lt;U27,"Alt",""))</f>
        <v>Üst</v>
      </c>
      <c r="AQ27" s="17" t="str">
        <f>IF(AP27="","",IF(F27=U27,"Push",IF((F27&gt;U27)=(AP27="Üst"),"Kazandı","Kaybetti")))</f>
        <v>Kaybetti</v>
      </c>
      <c r="AR27" s="30">
        <f>IF(AP27="","",IF(AQ27="Push",0,IF(AQ27="Kazandı",IF(AP27="Üst",Oranlar!W27,Oranlar!X27)-1,-1)))</f>
        <v>-1.0</v>
      </c>
      <c r="AS27" s="17" t="str">
        <f>IF(G27*Oranlar!R27&gt;1,"Ev",IF((1-G27)*Oranlar!S27&gt;1,"Dep",""))</f>
        <v>Dep</v>
      </c>
      <c r="AT27" s="30">
        <f>IF(AS27="","",IF((AS27="Ev")=(E27&gt;0),IF(AS27="Ev",Oranlar!R27,Oranlar!S27)-1,-1))</f>
        <v>-1.0</v>
      </c>
      <c r="AU27" s="16">
        <f>IF(OR(H27=T27,S27=T27),"",IF((H27&gt;T27)=(S27&gt;T27),1,0))</f>
        <v/>
      </c>
      <c r="AV27" s="16">
        <f>IF(OR(L27=V27,U27=V27),"",IF((L27&gt;V27)=(U27&gt;V27),1,0))</f>
        <v>1</v>
      </c>
      <c r="AW27" s="16">
        <f>IF(AND(E27&gt;=J27,E27&lt;=K27),1,0)</f>
        <v>1</v>
      </c>
      <c r="AX27" s="16">
        <f>IF(AND(F27&gt;=N27,F27&lt;=O27),1,0)</f>
        <v>1</v>
      </c>
    </row>
    <row r="28" spans="1:50">
      <c r="A28" s="21">
        <f>Oranlar!A28</f>
        <v>46088</v>
      </c>
      <c r="B28" s="22" t="str">
        <f>Oranlar!C28&amp;" @ "&amp;Oranlar!D28</f>
        <v>GSW @ OKC</v>
      </c>
      <c r="C28" s="23">
        <f>Oranlar!F28</f>
        <v>104</v>
      </c>
      <c r="D28" s="23">
        <f>Oranlar!E28</f>
        <v>97</v>
      </c>
      <c r="E28" s="15">
        <f>C28-D28</f>
        <v>7</v>
      </c>
      <c r="F28" s="16">
        <f>C28+D28</f>
        <v>201</v>
      </c>
      <c r="G28" s="24">
        <v>0.6850000000000001</v>
      </c>
      <c r="H28" s="10">
        <v>5.1</v>
      </c>
      <c r="I28" s="10">
        <v>10.1</v>
      </c>
      <c r="J28" s="10">
        <v>-8</v>
      </c>
      <c r="K28" s="10">
        <v>29</v>
      </c>
      <c r="L28" s="11">
        <v>227.22</v>
      </c>
      <c r="M28" s="11">
        <v>225.7</v>
      </c>
      <c r="N28" s="11">
        <v>199</v>
      </c>
      <c r="O28" s="11">
        <v>252</v>
      </c>
      <c r="P28" s="11">
        <v>115.83</v>
      </c>
      <c r="Q28" s="11">
        <v>108.3</v>
      </c>
      <c r="R28" s="25">
        <f>Oranlar!Y28</f>
        <v>0.827123695976155</v>
      </c>
      <c r="S28" s="26">
        <f>-Oranlar!O28</f>
        <v>11.5</v>
      </c>
      <c r="T28" s="26">
        <f>-Oranlar!I28</f>
        <v>15.5</v>
      </c>
      <c r="U28" s="27">
        <f>Oranlar!V28</f>
        <v>219.5</v>
      </c>
      <c r="V28" s="27">
        <f>Oranlar!L28</f>
        <v>219.5</v>
      </c>
      <c r="W28" s="28">
        <f>(U28+S28)/2</f>
        <v>115.5</v>
      </c>
      <c r="X28" s="28">
        <f>(U28-S28)/2</f>
        <v>104.0</v>
      </c>
      <c r="Y28" s="16">
        <f>IF(G28=0.5,"",IF((G28&gt;0.5)=(E28&gt;0),1,0))</f>
        <v>1</v>
      </c>
      <c r="Z28" s="16">
        <f>IF(R28=0.5,"",IF((R28&gt;0.5)=(E28&gt;0),1,0))</f>
        <v>1</v>
      </c>
      <c r="AA28" s="29">
        <f>(G28-IF(E28&gt;0,1,0))^2</f>
        <v>0.09922499999999997</v>
      </c>
      <c r="AB28" s="29">
        <f>(R28-IF(E28&gt;0,1,0))^2</f>
        <v>0.029886216492944893</v>
      </c>
      <c r="AC28" s="28">
        <f>ABS(H28-E28)</f>
        <v>1.9000000000000004</v>
      </c>
      <c r="AD28" s="28">
        <f>ABS(I28-E28)</f>
        <v>3.0999999999999996</v>
      </c>
      <c r="AE28" s="28">
        <f>ABS(S28-E28)</f>
        <v>4.5</v>
      </c>
      <c r="AF28" s="28">
        <f>ABS(L28-F28)</f>
        <v>26.22</v>
      </c>
      <c r="AG28" s="28">
        <f>ABS(M28-F28)</f>
        <v>24.69999999999999</v>
      </c>
      <c r="AH28" s="28">
        <f>ABS(U28-F28)</f>
        <v>18.5</v>
      </c>
      <c r="AI28" s="28">
        <f>ABS(P28-C28)</f>
        <v>11.829999999999998</v>
      </c>
      <c r="AJ28" s="28">
        <f>ABS(W28-C28)</f>
        <v>11.5</v>
      </c>
      <c r="AK28" s="28">
        <f>ABS(Q28-D28)</f>
        <v>11.299999999999997</v>
      </c>
      <c r="AL28" s="28">
        <f>ABS(X28-D28)</f>
        <v>7.0</v>
      </c>
      <c r="AM28" s="17" t="str">
        <f>IF(H28&gt;S28,"Ev",IF(H28&lt;S28,"Dep",""))</f>
        <v>Dep</v>
      </c>
      <c r="AN28" s="17" t="str">
        <f>IF(AM28="","",IF(E28=S28,"Push",IF((E28&gt;S28)=(AM28="Ev"),"Kazandı","Kaybetti")))</f>
        <v>Kazandı</v>
      </c>
      <c r="AO28" s="30">
        <f>IF(AM28="","",IF(AN28="Push",0,IF(AN28="Kazandı",IF(AM28="Ev",Oranlar!P28,Oranlar!Q28)-1,-1)))</f>
        <v>0.9523809523809523</v>
      </c>
      <c r="AP28" s="17" t="str">
        <f>IF(L28&gt;U28,"Üst",IF(L28&lt;U28,"Alt",""))</f>
        <v>Üst</v>
      </c>
      <c r="AQ28" s="17" t="str">
        <f>IF(AP28="","",IF(F28=U28,"Push",IF((F28&gt;U28)=(AP28="Üst"),"Kazandı","Kaybetti")))</f>
        <v>Kaybetti</v>
      </c>
      <c r="AR28" s="30">
        <f>IF(AP28="","",IF(AQ28="Push",0,IF(AQ28="Kazandı",IF(AP28="Üst",Oranlar!W28,Oranlar!X28)-1,-1)))</f>
        <v>-1.0</v>
      </c>
      <c r="AS28" s="17" t="str">
        <f>IF(G28*Oranlar!R28&gt;1,"Ev",IF((1-G28)*Oranlar!S28&gt;1,"Dep",""))</f>
        <v>Dep</v>
      </c>
      <c r="AT28" s="30">
        <f>IF(AS28="","",IF((AS28="Ev")=(E28&gt;0),IF(AS28="Ev",Oranlar!R28,Oranlar!S28)-1,-1))</f>
        <v>-1.0</v>
      </c>
      <c r="AU28" s="16">
        <f>IF(OR(H28=T28,S28=T28),"",IF((H28&gt;T28)=(S28&gt;T28),1,0))</f>
        <v>1</v>
      </c>
      <c r="AV28" s="16">
        <f>IF(OR(L28=V28,U28=V28),"",IF((L28&gt;V28)=(U28&gt;V28),1,0))</f>
        <v/>
      </c>
      <c r="AW28" s="16">
        <f>IF(AND(E28&gt;=J28,E28&lt;=K28),1,0)</f>
        <v>1</v>
      </c>
      <c r="AX28" s="16">
        <f>IF(AND(F28&gt;=N28,F28&lt;=O28),1,0)</f>
        <v>1</v>
      </c>
    </row>
    <row r="29" spans="1:50">
      <c r="A29" s="21">
        <f>Oranlar!A29</f>
        <v>46089</v>
      </c>
      <c r="B29" s="22" t="str">
        <f>Oranlar!C29&amp;" @ "&amp;Oranlar!D29</f>
        <v>BOS @ CLE</v>
      </c>
      <c r="C29" s="23">
        <f>Oranlar!F29</f>
        <v>98</v>
      </c>
      <c r="D29" s="23">
        <f>Oranlar!E29</f>
        <v>109</v>
      </c>
      <c r="E29" s="15">
        <f>C29-D29</f>
        <v>-11</v>
      </c>
      <c r="F29" s="16">
        <f>C29+D29</f>
        <v>207</v>
      </c>
      <c r="G29" s="24">
        <v>0.392</v>
      </c>
      <c r="H29" s="10">
        <v>-2.75</v>
      </c>
      <c r="I29" s="10">
        <v>-2.7</v>
      </c>
      <c r="J29" s="10">
        <v>-21</v>
      </c>
      <c r="K29" s="10">
        <v>16</v>
      </c>
      <c r="L29" s="11">
        <v>224.07</v>
      </c>
      <c r="M29" s="11">
        <v>226.6</v>
      </c>
      <c r="N29" s="11">
        <v>199</v>
      </c>
      <c r="O29" s="11">
        <v>254</v>
      </c>
      <c r="P29" s="11">
        <v>110.84</v>
      </c>
      <c r="Q29" s="11">
        <v>115.16</v>
      </c>
      <c r="R29" s="25">
        <f>Oranlar!Y29</f>
        <v>0.5217391304347826</v>
      </c>
      <c r="S29" s="26">
        <f>-Oranlar!O29</f>
        <v>1.5</v>
      </c>
      <c r="T29" s="26">
        <f>-Oranlar!I29</f>
        <v>-1.5</v>
      </c>
      <c r="U29" s="27">
        <f>Oranlar!V29</f>
        <v>224.5</v>
      </c>
      <c r="V29" s="27">
        <f>Oranlar!L29</f>
        <v>225.5</v>
      </c>
      <c r="W29" s="28">
        <f>(U29+S29)/2</f>
        <v>113.0</v>
      </c>
      <c r="X29" s="28">
        <f>(U29-S29)/2</f>
        <v>111.5</v>
      </c>
      <c r="Y29" s="16">
        <f>IF(G29=0.5,"",IF((G29&gt;0.5)=(E29&gt;0),1,0))</f>
        <v>1</v>
      </c>
      <c r="Z29" s="16">
        <f>IF(R29=0.5,"",IF((R29&gt;0.5)=(E29&gt;0),1,0))</f>
        <v>0</v>
      </c>
      <c r="AA29" s="29">
        <f>(G29-IF(E29&gt;0,1,0))^2</f>
        <v>0.15366400000000002</v>
      </c>
      <c r="AB29" s="29">
        <f>(R29-IF(E29&gt;0,1,0))^2</f>
        <v>0.2722117202268431</v>
      </c>
      <c r="AC29" s="28">
        <f>ABS(H29-E29)</f>
        <v>8.25</v>
      </c>
      <c r="AD29" s="28">
        <f>ABS(I29-E29)</f>
        <v>8.3</v>
      </c>
      <c r="AE29" s="28">
        <f>ABS(S29-E29)</f>
        <v>12.5</v>
      </c>
      <c r="AF29" s="28">
        <f>ABS(L29-F29)</f>
        <v>17.069999999999993</v>
      </c>
      <c r="AG29" s="28">
        <f>ABS(M29-F29)</f>
        <v>19.599999999999994</v>
      </c>
      <c r="AH29" s="28">
        <f>ABS(U29-F29)</f>
        <v>17.5</v>
      </c>
      <c r="AI29" s="28">
        <f>ABS(P29-C29)</f>
        <v>12.840000000000003</v>
      </c>
      <c r="AJ29" s="28">
        <f>ABS(W29-C29)</f>
        <v>15.0</v>
      </c>
      <c r="AK29" s="28">
        <f>ABS(Q29-D29)</f>
        <v>6.159999999999997</v>
      </c>
      <c r="AL29" s="28">
        <f>ABS(X29-D29)</f>
        <v>2.5</v>
      </c>
      <c r="AM29" s="17" t="str">
        <f>IF(H29&gt;S29,"Ev",IF(H29&lt;S29,"Dep",""))</f>
        <v>Dep</v>
      </c>
      <c r="AN29" s="17" t="str">
        <f>IF(AM29="","",IF(E29=S29,"Push",IF((E29&gt;S29)=(AM29="Ev"),"Kazandı","Kaybetti")))</f>
        <v>Kazandı</v>
      </c>
      <c r="AO29" s="30">
        <f>IF(AM29="","",IF(AN29="Push",0,IF(AN29="Kazandı",IF(AM29="Ev",Oranlar!P29,Oranlar!Q29)-1,-1)))</f>
        <v>0.8928571428571428</v>
      </c>
      <c r="AP29" s="17" t="str">
        <f>IF(L29&gt;U29,"Üst",IF(L29&lt;U29,"Alt",""))</f>
        <v>Alt</v>
      </c>
      <c r="AQ29" s="17" t="str">
        <f>IF(AP29="","",IF(F29=U29,"Push",IF((F29&gt;U29)=(AP29="Üst"),"Kazandı","Kaybetti")))</f>
        <v>Kazandı</v>
      </c>
      <c r="AR29" s="30">
        <f>IF(AP29="","",IF(AQ29="Push",0,IF(AQ29="Kazandı",IF(AP29="Üst",Oranlar!W29,Oranlar!X29)-1,-1)))</f>
        <v>0.8695652173913042</v>
      </c>
      <c r="AS29" s="17" t="str">
        <f>IF(G29*Oranlar!R29&gt;1,"Ev",IF((1-G29)*Oranlar!S29&gt;1,"Dep",""))</f>
        <v>Dep</v>
      </c>
      <c r="AT29" s="30">
        <f>IF(AS29="","",IF((AS29="Ev")=(E29&gt;0),IF(AS29="Ev",Oranlar!R29,Oranlar!S29)-1,-1))</f>
        <v>1.0</v>
      </c>
      <c r="AU29" s="16">
        <f>IF(OR(H29=T29,S29=T29),"",IF((H29&gt;T29)=(S29&gt;T29),1,0))</f>
        <v>0</v>
      </c>
      <c r="AV29" s="16">
        <f>IF(OR(L29=V29,U29=V29),"",IF((L29&gt;V29)=(U29&gt;V29),1,0))</f>
        <v>1</v>
      </c>
      <c r="AW29" s="16">
        <f>IF(AND(E29&gt;=J29,E29&lt;=K29),1,0)</f>
        <v>1</v>
      </c>
      <c r="AX29" s="16">
        <f>IF(AND(F29&gt;=N29,F29&lt;=O29),1,0)</f>
        <v>1</v>
      </c>
    </row>
    <row r="30" spans="1:50">
      <c r="A30" s="21">
        <f>Oranlar!A30</f>
        <v>46089</v>
      </c>
      <c r="B30" s="22" t="str">
        <f>Oranlar!C30&amp;" @ "&amp;Oranlar!D30</f>
        <v>NYK @ LAL</v>
      </c>
      <c r="C30" s="23">
        <f>Oranlar!F30</f>
        <v>110</v>
      </c>
      <c r="D30" s="23">
        <f>Oranlar!E30</f>
        <v>97</v>
      </c>
      <c r="E30" s="15">
        <f>C30-D30</f>
        <v>13</v>
      </c>
      <c r="F30" s="16">
        <f>C30+D30</f>
        <v>207</v>
      </c>
      <c r="G30" s="24">
        <v>0.431</v>
      </c>
      <c r="H30" s="10">
        <v>-1.8</v>
      </c>
      <c r="I30" s="10">
        <v>-2.8</v>
      </c>
      <c r="J30" s="10">
        <v>-21</v>
      </c>
      <c r="K30" s="10">
        <v>15</v>
      </c>
      <c r="L30" s="11">
        <v>222.39</v>
      </c>
      <c r="M30" s="11">
        <v>223.8</v>
      </c>
      <c r="N30" s="11">
        <v>197</v>
      </c>
      <c r="O30" s="11">
        <v>251</v>
      </c>
      <c r="P30" s="11">
        <v>110.36</v>
      </c>
      <c r="Q30" s="11">
        <v>114.26</v>
      </c>
      <c r="R30" s="25">
        <f>Oranlar!Y30</f>
        <v>0.36309581830587784</v>
      </c>
      <c r="S30" s="26">
        <f>-Oranlar!O30</f>
        <v>-5.5</v>
      </c>
      <c r="T30" s="26">
        <f>-Oranlar!I30</f>
        <v>-3.5</v>
      </c>
      <c r="U30" s="27">
        <f>Oranlar!V30</f>
        <v>226.5</v>
      </c>
      <c r="V30" s="27">
        <f>Oranlar!L30</f>
        <v>228.5</v>
      </c>
      <c r="W30" s="28">
        <f>(U30+S30)/2</f>
        <v>110.5</v>
      </c>
      <c r="X30" s="28">
        <f>(U30-S30)/2</f>
        <v>116.0</v>
      </c>
      <c r="Y30" s="16">
        <f>IF(G30=0.5,"",IF((G30&gt;0.5)=(E30&gt;0),1,0))</f>
        <v>0</v>
      </c>
      <c r="Z30" s="16">
        <f>IF(R30=0.5,"",IF((R30&gt;0.5)=(E30&gt;0),1,0))</f>
        <v>0</v>
      </c>
      <c r="AA30" s="29">
        <f>(G30-IF(E30&gt;0,1,0))^2</f>
        <v>0.32376099999999997</v>
      </c>
      <c r="AB30" s="29">
        <f>(R30-IF(E30&gt;0,1,0))^2</f>
        <v>0.4056469366594593</v>
      </c>
      <c r="AC30" s="28">
        <f>ABS(H30-E30)</f>
        <v>14.8</v>
      </c>
      <c r="AD30" s="28">
        <f>ABS(I30-E30)</f>
        <v>15.8</v>
      </c>
      <c r="AE30" s="28">
        <f>ABS(S30-E30)</f>
        <v>18.5</v>
      </c>
      <c r="AF30" s="28">
        <f>ABS(L30-F30)</f>
        <v>15.389999999999986</v>
      </c>
      <c r="AG30" s="28">
        <f>ABS(M30-F30)</f>
        <v>16.80000000000001</v>
      </c>
      <c r="AH30" s="28">
        <f>ABS(U30-F30)</f>
        <v>19.5</v>
      </c>
      <c r="AI30" s="28">
        <f>ABS(P30-C30)</f>
        <v>0.35999999999999943</v>
      </c>
      <c r="AJ30" s="28">
        <f>ABS(W30-C30)</f>
        <v>0.5</v>
      </c>
      <c r="AK30" s="28">
        <f>ABS(Q30-D30)</f>
        <v>17.260000000000005</v>
      </c>
      <c r="AL30" s="28">
        <f>ABS(X30-D30)</f>
        <v>19.0</v>
      </c>
      <c r="AM30" s="17" t="str">
        <f>IF(H30&gt;S30,"Ev",IF(H30&lt;S30,"Dep",""))</f>
        <v>Ev</v>
      </c>
      <c r="AN30" s="17" t="str">
        <f>IF(AM30="","",IF(E30=S30,"Push",IF((E30&gt;S30)=(AM30="Ev"),"Kazandı","Kaybetti")))</f>
        <v>Kazandı</v>
      </c>
      <c r="AO30" s="30">
        <f>IF(AM30="","",IF(AN30="Push",0,IF(AN30="Kazandı",IF(AM30="Ev",Oranlar!P30,Oranlar!Q30)-1,-1)))</f>
        <v>0.8928571428571428</v>
      </c>
      <c r="AP30" s="17" t="str">
        <f>IF(L30&gt;U30,"Üst",IF(L30&lt;U30,"Alt",""))</f>
        <v>Alt</v>
      </c>
      <c r="AQ30" s="17" t="str">
        <f>IF(AP30="","",IF(F30=U30,"Push",IF((F30&gt;U30)=(AP30="Üst"),"Kazandı","Kaybetti")))</f>
        <v>Kazandı</v>
      </c>
      <c r="AR30" s="30">
        <f>IF(AP30="","",IF(AQ30="Push",0,IF(AQ30="Kazandı",IF(AP30="Üst",Oranlar!W30,Oranlar!X30)-1,-1)))</f>
        <v>0.8928571428571428</v>
      </c>
      <c r="AS30" s="17" t="str">
        <f>IF(G30*Oranlar!R30&gt;1,"Ev",IF((1-G30)*Oranlar!S30&gt;1,"Dep",""))</f>
        <v>Ev</v>
      </c>
      <c r="AT30" s="30">
        <f>IF(AS30="","",IF((AS30="Ev")=(E30&gt;0),IF(AS30="Ev",Oranlar!R30,Oranlar!S30)-1,-1))</f>
        <v>1.6399999999999997</v>
      </c>
      <c r="AU30" s="16">
        <f>IF(OR(H30=T30,S30=T30),"",IF((H30&gt;T30)=(S30&gt;T30),1,0))</f>
        <v>0</v>
      </c>
      <c r="AV30" s="16">
        <f>IF(OR(L30=V30,U30=V30),"",IF((L30&gt;V30)=(U30&gt;V30),1,0))</f>
        <v>1</v>
      </c>
      <c r="AW30" s="16">
        <f>IF(AND(E30&gt;=J30,E30&lt;=K30),1,0)</f>
        <v>1</v>
      </c>
      <c r="AX30" s="16">
        <f>IF(AND(F30&gt;=N30,F30&lt;=O30),1,0)</f>
        <v>1</v>
      </c>
    </row>
    <row r="31" spans="1:50">
      <c r="A31" s="21">
        <f>Oranlar!A31</f>
        <v>46089</v>
      </c>
      <c r="B31" s="22" t="str">
        <f>Oranlar!C31&amp;" @ "&amp;Oranlar!D31</f>
        <v>DET @ MIA</v>
      </c>
      <c r="C31" s="23">
        <f>Oranlar!F31</f>
        <v>121</v>
      </c>
      <c r="D31" s="23">
        <f>Oranlar!E31</f>
        <v>110</v>
      </c>
      <c r="E31" s="15">
        <f>C31-D31</f>
        <v>11</v>
      </c>
      <c r="F31" s="16">
        <f>C31+D31</f>
        <v>231</v>
      </c>
      <c r="G31" s="24">
        <v>0.551</v>
      </c>
      <c r="H31" s="10">
        <v>0.47</v>
      </c>
      <c r="I31" s="10">
        <v>0.8</v>
      </c>
      <c r="J31" s="10">
        <v>-18</v>
      </c>
      <c r="K31" s="10">
        <v>19</v>
      </c>
      <c r="L31" s="11">
        <v>230.08</v>
      </c>
      <c r="M31" s="11">
        <v>230.3</v>
      </c>
      <c r="N31" s="11">
        <v>203</v>
      </c>
      <c r="O31" s="11">
        <v>258</v>
      </c>
      <c r="P31" s="11">
        <v>116.36</v>
      </c>
      <c r="Q31" s="11">
        <v>118.19</v>
      </c>
      <c r="R31" s="25">
        <f>Oranlar!Y31</f>
        <v>0.4891657638136511</v>
      </c>
      <c r="S31" s="26">
        <f>-Oranlar!O31</f>
        <v>-1.5</v>
      </c>
      <c r="T31" s="26">
        <f>-Oranlar!I31</f>
        <v>-1.5</v>
      </c>
      <c r="U31" s="27">
        <f>Oranlar!V31</f>
        <v>230.5</v>
      </c>
      <c r="V31" s="27">
        <f>Oranlar!L31</f>
        <v>228.5</v>
      </c>
      <c r="W31" s="28">
        <f>(U31+S31)/2</f>
        <v>114.5</v>
      </c>
      <c r="X31" s="28">
        <f>(U31-S31)/2</f>
        <v>116.0</v>
      </c>
      <c r="Y31" s="16">
        <f>IF(G31=0.5,"",IF((G31&gt;0.5)=(E31&gt;0),1,0))</f>
        <v>1</v>
      </c>
      <c r="Z31" s="16">
        <f>IF(R31=0.5,"",IF((R31&gt;0.5)=(E31&gt;0),1,0))</f>
        <v>0</v>
      </c>
      <c r="AA31" s="29">
        <f>(G31-IF(E31&gt;0,1,0))^2</f>
        <v>0.20160099999999995</v>
      </c>
      <c r="AB31" s="29">
        <f>(R31-IF(E31&gt;0,1,0))^2</f>
        <v>0.26095161686009055</v>
      </c>
      <c r="AC31" s="28">
        <f>ABS(H31-E31)</f>
        <v>10.53</v>
      </c>
      <c r="AD31" s="28">
        <f>ABS(I31-E31)</f>
        <v>10.2</v>
      </c>
      <c r="AE31" s="28">
        <f>ABS(S31-E31)</f>
        <v>12.5</v>
      </c>
      <c r="AF31" s="28">
        <f>ABS(L31-F31)</f>
        <v>0.9199999999999875</v>
      </c>
      <c r="AG31" s="28">
        <f>ABS(M31-F31)</f>
        <v>0.6999999999999886</v>
      </c>
      <c r="AH31" s="28">
        <f>ABS(U31-F31)</f>
        <v>0.5</v>
      </c>
      <c r="AI31" s="28">
        <f>ABS(P31-C31)</f>
        <v>4.640000000000001</v>
      </c>
      <c r="AJ31" s="28">
        <f>ABS(W31-C31)</f>
        <v>6.5</v>
      </c>
      <c r="AK31" s="28">
        <f>ABS(Q31-D31)</f>
        <v>8.189999999999998</v>
      </c>
      <c r="AL31" s="28">
        <f>ABS(X31-D31)</f>
        <v>6.0</v>
      </c>
      <c r="AM31" s="17" t="str">
        <f>IF(H31&gt;S31,"Ev",IF(H31&lt;S31,"Dep",""))</f>
        <v>Ev</v>
      </c>
      <c r="AN31" s="17" t="str">
        <f>IF(AM31="","",IF(E31=S31,"Push",IF((E31&gt;S31)=(AM31="Ev"),"Kazandı","Kaybetti")))</f>
        <v>Kazandı</v>
      </c>
      <c r="AO31" s="30">
        <f>IF(AM31="","",IF(AN31="Push",0,IF(AN31="Kazandı",IF(AM31="Ev",Oranlar!P31,Oranlar!Q31)-1,-1)))</f>
        <v>0.847457627118644</v>
      </c>
      <c r="AP31" s="17" t="str">
        <f>IF(L31&gt;U31,"Üst",IF(L31&lt;U31,"Alt",""))</f>
        <v>Alt</v>
      </c>
      <c r="AQ31" s="17" t="str">
        <f>IF(AP31="","",IF(F31=U31,"Push",IF((F31&gt;U31)=(AP31="Üst"),"Kazandı","Kaybetti")))</f>
        <v>Kaybetti</v>
      </c>
      <c r="AR31" s="30">
        <f>IF(AP31="","",IF(AQ31="Push",0,IF(AQ31="Kazandı",IF(AP31="Üst",Oranlar!W31,Oranlar!X31)-1,-1)))</f>
        <v>-1.0</v>
      </c>
      <c r="AS31" s="17" t="str">
        <f>IF(G31*Oranlar!R31&gt;1,"Ev",IF((1-G31)*Oranlar!S31&gt;1,"Dep",""))</f>
        <v>Ev</v>
      </c>
      <c r="AT31" s="30">
        <f>IF(AS31="","",IF((AS31="Ev")=(E31&gt;0),IF(AS31="Ev",Oranlar!R31,Oranlar!S31)-1,-1))</f>
        <v>0.9523809523809523</v>
      </c>
      <c r="AU31" s="16">
        <f>IF(OR(H31=T31,S31=T31),"",IF((H31&gt;T31)=(S31&gt;T31),1,0))</f>
        <v/>
      </c>
      <c r="AV31" s="16">
        <f>IF(OR(L31=V31,U31=V31),"",IF((L31&gt;V31)=(U31&gt;V31),1,0))</f>
        <v>1</v>
      </c>
      <c r="AW31" s="16">
        <f>IF(AND(E31&gt;=J31,E31&lt;=K31),1,0)</f>
        <v>1</v>
      </c>
      <c r="AX31" s="16">
        <f>IF(AND(F31&gt;=N31,F31&lt;=O31),1,0)</f>
        <v>1</v>
      </c>
    </row>
    <row r="32" spans="1:50">
      <c r="A32" s="21">
        <f>Oranlar!A32</f>
        <v>46089</v>
      </c>
      <c r="B32" s="22" t="str">
        <f>Oranlar!C32&amp;" @ "&amp;Oranlar!D32</f>
        <v>DAL @ TOR</v>
      </c>
      <c r="C32" s="23">
        <f>Oranlar!F32</f>
        <v>122</v>
      </c>
      <c r="D32" s="23">
        <f>Oranlar!E32</f>
        <v>92</v>
      </c>
      <c r="E32" s="15">
        <f>C32-D32</f>
        <v>30</v>
      </c>
      <c r="F32" s="16">
        <f>C32+D32</f>
        <v>214</v>
      </c>
      <c r="G32" s="24">
        <v>0.735</v>
      </c>
      <c r="H32" s="10">
        <v>7.86</v>
      </c>
      <c r="I32" s="10">
        <v>7.3</v>
      </c>
      <c r="J32" s="10">
        <v>-11</v>
      </c>
      <c r="K32" s="10">
        <v>26</v>
      </c>
      <c r="L32" s="11">
        <v>225.84</v>
      </c>
      <c r="M32" s="11">
        <v>226.1</v>
      </c>
      <c r="N32" s="11">
        <v>199</v>
      </c>
      <c r="O32" s="11">
        <v>253</v>
      </c>
      <c r="P32" s="11">
        <v>117.62</v>
      </c>
      <c r="Q32" s="11">
        <v>110.29</v>
      </c>
      <c r="R32" s="25">
        <f>Oranlar!Y32</f>
        <v>0.7659021045164341</v>
      </c>
      <c r="S32" s="26">
        <f>-Oranlar!O32</f>
        <v>9.5</v>
      </c>
      <c r="T32" s="26">
        <f>-Oranlar!I32</f>
        <v>9.5</v>
      </c>
      <c r="U32" s="27">
        <f>Oranlar!V32</f>
        <v>233.5</v>
      </c>
      <c r="V32" s="27">
        <f>Oranlar!L32</f>
        <v>227.5</v>
      </c>
      <c r="W32" s="28">
        <f>(U32+S32)/2</f>
        <v>121.5</v>
      </c>
      <c r="X32" s="28">
        <f>(U32-S32)/2</f>
        <v>112.0</v>
      </c>
      <c r="Y32" s="16">
        <f>IF(G32=0.5,"",IF((G32&gt;0.5)=(E32&gt;0),1,0))</f>
        <v>1</v>
      </c>
      <c r="Z32" s="16">
        <f>IF(R32=0.5,"",IF((R32&gt;0.5)=(E32&gt;0),1,0))</f>
        <v>1</v>
      </c>
      <c r="AA32" s="29">
        <f>(G32-IF(E32&gt;0,1,0))^2</f>
        <v>0.07022500000000001</v>
      </c>
      <c r="AB32" s="29">
        <f>(R32-IF(E32&gt;0,1,0))^2</f>
        <v>0.05480182466983452</v>
      </c>
      <c r="AC32" s="28">
        <f>ABS(H32-E32)</f>
        <v>22.14</v>
      </c>
      <c r="AD32" s="28">
        <f>ABS(I32-E32)</f>
        <v>22.7</v>
      </c>
      <c r="AE32" s="28">
        <f>ABS(S32-E32)</f>
        <v>20.5</v>
      </c>
      <c r="AF32" s="28">
        <f>ABS(L32-F32)</f>
        <v>11.840000000000003</v>
      </c>
      <c r="AG32" s="28">
        <f>ABS(M32-F32)</f>
        <v>12.099999999999994</v>
      </c>
      <c r="AH32" s="28">
        <f>ABS(U32-F32)</f>
        <v>19.5</v>
      </c>
      <c r="AI32" s="28">
        <f>ABS(P32-C32)</f>
        <v>4.3799999999999955</v>
      </c>
      <c r="AJ32" s="28">
        <f>ABS(W32-C32)</f>
        <v>0.5</v>
      </c>
      <c r="AK32" s="28">
        <f>ABS(Q32-D32)</f>
        <v>18.290000000000006</v>
      </c>
      <c r="AL32" s="28">
        <f>ABS(X32-D32)</f>
        <v>20.0</v>
      </c>
      <c r="AM32" s="17" t="str">
        <f>IF(H32&gt;S32,"Ev",IF(H32&lt;S32,"Dep",""))</f>
        <v>Dep</v>
      </c>
      <c r="AN32" s="17" t="str">
        <f>IF(AM32="","",IF(E32=S32,"Push",IF((E32&gt;S32)=(AM32="Ev"),"Kazandı","Kaybetti")))</f>
        <v>Kaybetti</v>
      </c>
      <c r="AO32" s="30">
        <f>IF(AM32="","",IF(AN32="Push",0,IF(AN32="Kazandı",IF(AM32="Ev",Oranlar!P32,Oranlar!Q32)-1,-1)))</f>
        <v>-1.0</v>
      </c>
      <c r="AP32" s="17" t="str">
        <f>IF(L32&gt;U32,"Üst",IF(L32&lt;U32,"Alt",""))</f>
        <v>Alt</v>
      </c>
      <c r="AQ32" s="17" t="str">
        <f>IF(AP32="","",IF(F32=U32,"Push",IF((F32&gt;U32)=(AP32="Üst"),"Kazandı","Kaybetti")))</f>
        <v>Kazandı</v>
      </c>
      <c r="AR32" s="30">
        <f>IF(AP32="","",IF(AQ32="Push",0,IF(AQ32="Kazandı",IF(AP32="Üst",Oranlar!W32,Oranlar!X32)-1,-1)))</f>
        <v>0.9090909090909092</v>
      </c>
      <c r="AS32" s="17" t="str">
        <f>IF(G32*Oranlar!R32&gt;1,"Ev",IF((1-G32)*Oranlar!S32&gt;1,"Dep",""))</f>
        <v>Dep</v>
      </c>
      <c r="AT32" s="30">
        <f>IF(AS32="","",IF((AS32="Ev")=(E32&gt;0),IF(AS32="Ev",Oranlar!R32,Oranlar!S32)-1,-1))</f>
        <v>-1.0</v>
      </c>
      <c r="AU32" s="16">
        <f>IF(OR(H32=T32,S32=T32),"",IF((H32&gt;T32)=(S32&gt;T32),1,0))</f>
        <v/>
      </c>
      <c r="AV32" s="16">
        <f>IF(OR(L32=V32,U32=V32),"",IF((L32&gt;V32)=(U32&gt;V32),1,0))</f>
        <v>0</v>
      </c>
      <c r="AW32" s="16">
        <f>IF(AND(E32&gt;=J32,E32&lt;=K32),1,0)</f>
        <v>0</v>
      </c>
      <c r="AX32" s="16">
        <f>IF(AND(F32&gt;=N32,F32&lt;=O32),1,0)</f>
        <v>1</v>
      </c>
    </row>
    <row r="33" spans="1:50">
      <c r="A33" s="21">
        <f>Oranlar!A33</f>
        <v>46089</v>
      </c>
      <c r="B33" s="22" t="str">
        <f>Oranlar!C33&amp;" @ "&amp;Oranlar!D33</f>
        <v>WAS @ NOP</v>
      </c>
      <c r="C33" s="23">
        <f>Oranlar!F33</f>
        <v>138</v>
      </c>
      <c r="D33" s="23">
        <f>Oranlar!E33</f>
        <v>118</v>
      </c>
      <c r="E33" s="15">
        <f>C33-D33</f>
        <v>20</v>
      </c>
      <c r="F33" s="16">
        <f>C33+D33</f>
        <v>256</v>
      </c>
      <c r="G33" s="24">
        <v>0.723</v>
      </c>
      <c r="H33" s="10">
        <v>14.54</v>
      </c>
      <c r="I33" s="10">
        <v>7.2</v>
      </c>
      <c r="J33" s="10">
        <v>-11</v>
      </c>
      <c r="K33" s="10">
        <v>26</v>
      </c>
      <c r="L33" s="11">
        <v>234.76</v>
      </c>
      <c r="M33" s="11">
        <v>236.8</v>
      </c>
      <c r="N33" s="11">
        <v>209</v>
      </c>
      <c r="O33" s="11">
        <v>265</v>
      </c>
      <c r="P33" s="11">
        <v>121.29</v>
      </c>
      <c r="Q33" s="11">
        <v>113.93</v>
      </c>
      <c r="R33" s="25">
        <f>Oranlar!Y33</f>
        <v>0.8081570996978852</v>
      </c>
      <c r="S33" s="26">
        <f>-Oranlar!O33</f>
        <v>11.5</v>
      </c>
      <c r="T33" s="26">
        <f>-Oranlar!I33</f>
        <v>8.5</v>
      </c>
      <c r="U33" s="27">
        <f>Oranlar!V33</f>
        <v>244.5</v>
      </c>
      <c r="V33" s="27">
        <f>Oranlar!L33</f>
        <v>239.5</v>
      </c>
      <c r="W33" s="28">
        <f>(U33+S33)/2</f>
        <v>128.0</v>
      </c>
      <c r="X33" s="28">
        <f>(U33-S33)/2</f>
        <v>116.5</v>
      </c>
      <c r="Y33" s="16">
        <f>IF(G33=0.5,"",IF((G33&gt;0.5)=(E33&gt;0),1,0))</f>
        <v>1</v>
      </c>
      <c r="Z33" s="16">
        <f>IF(R33=0.5,"",IF((R33&gt;0.5)=(E33&gt;0),1,0))</f>
        <v>1</v>
      </c>
      <c r="AA33" s="29">
        <f>(G33-IF(E33&gt;0,1,0))^2</f>
        <v>0.07672900000000002</v>
      </c>
      <c r="AB33" s="29">
        <f>(R33-IF(E33&gt;0,1,0))^2</f>
        <v>0.03680369839632717</v>
      </c>
      <c r="AC33" s="28">
        <f>ABS(H33-E33)</f>
        <v>5.460000000000001</v>
      </c>
      <c r="AD33" s="28">
        <f>ABS(I33-E33)</f>
        <v>12.8</v>
      </c>
      <c r="AE33" s="28">
        <f>ABS(S33-E33)</f>
        <v>8.5</v>
      </c>
      <c r="AF33" s="28">
        <f>ABS(L33-F33)</f>
        <v>21.24000000000001</v>
      </c>
      <c r="AG33" s="28">
        <f>ABS(M33-F33)</f>
        <v>19.19999999999999</v>
      </c>
      <c r="AH33" s="28">
        <f>ABS(U33-F33)</f>
        <v>11.5</v>
      </c>
      <c r="AI33" s="28">
        <f>ABS(P33-C33)</f>
        <v>16.709999999999994</v>
      </c>
      <c r="AJ33" s="28">
        <f>ABS(W33-C33)</f>
        <v>10.0</v>
      </c>
      <c r="AK33" s="28">
        <f>ABS(Q33-D33)</f>
        <v>4.069999999999993</v>
      </c>
      <c r="AL33" s="28">
        <f>ABS(X33-D33)</f>
        <v>1.5</v>
      </c>
      <c r="AM33" s="17" t="str">
        <f>IF(H33&gt;S33,"Ev",IF(H33&lt;S33,"Dep",""))</f>
        <v>Ev</v>
      </c>
      <c r="AN33" s="17" t="str">
        <f>IF(AM33="","",IF(E33=S33,"Push",IF((E33&gt;S33)=(AM33="Ev"),"Kazandı","Kaybetti")))</f>
        <v>Kazandı</v>
      </c>
      <c r="AO33" s="30">
        <f>IF(AM33="","",IF(AN33="Push",0,IF(AN33="Kazandı",IF(AM33="Ev",Oranlar!P33,Oranlar!Q33)-1,-1)))</f>
        <v>0.8928571428571428</v>
      </c>
      <c r="AP33" s="17" t="str">
        <f>IF(L33&gt;U33,"Üst",IF(L33&lt;U33,"Alt",""))</f>
        <v>Alt</v>
      </c>
      <c r="AQ33" s="17" t="str">
        <f>IF(AP33="","",IF(F33=U33,"Push",IF((F33&gt;U33)=(AP33="Üst"),"Kazandı","Kaybetti")))</f>
        <v>Kaybetti</v>
      </c>
      <c r="AR33" s="30">
        <f>IF(AP33="","",IF(AQ33="Push",0,IF(AQ33="Kazandı",IF(AP33="Üst",Oranlar!W33,Oranlar!X33)-1,-1)))</f>
        <v>-1.0</v>
      </c>
      <c r="AS33" s="17" t="str">
        <f>IF(G33*Oranlar!R33&gt;1,"Ev",IF((1-G33)*Oranlar!S33&gt;1,"Dep",""))</f>
        <v>Dep</v>
      </c>
      <c r="AT33" s="30">
        <f>IF(AS33="","",IF((AS33="Ev")=(E33&gt;0),IF(AS33="Ev",Oranlar!R33,Oranlar!S33)-1,-1))</f>
        <v>-1.0</v>
      </c>
      <c r="AU33" s="16">
        <f>IF(OR(H33=T33,S33=T33),"",IF((H33&gt;T33)=(S33&gt;T33),1,0))</f>
        <v>1</v>
      </c>
      <c r="AV33" s="16">
        <f>IF(OR(L33=V33,U33=V33),"",IF((L33&gt;V33)=(U33&gt;V33),1,0))</f>
        <v>0</v>
      </c>
      <c r="AW33" s="16">
        <f>IF(AND(E33&gt;=J33,E33&lt;=K33),1,0)</f>
        <v>1</v>
      </c>
      <c r="AX33" s="16">
        <f>IF(AND(F33&gt;=N33,F33&lt;=O33),1,0)</f>
        <v>1</v>
      </c>
    </row>
    <row r="34" spans="1:50">
      <c r="A34" s="21">
        <f>Oranlar!A34</f>
        <v>46089</v>
      </c>
      <c r="B34" s="22" t="str">
        <f>Oranlar!C34&amp;" @ "&amp;Oranlar!D34</f>
        <v>ORL @ MIL</v>
      </c>
      <c r="C34" s="23">
        <f>Oranlar!F34</f>
        <v>91</v>
      </c>
      <c r="D34" s="23">
        <f>Oranlar!E34</f>
        <v>130</v>
      </c>
      <c r="E34" s="15">
        <f>C34-D34</f>
        <v>-39</v>
      </c>
      <c r="F34" s="16">
        <f>C34+D34</f>
        <v>221</v>
      </c>
      <c r="G34" s="24">
        <v>0.317</v>
      </c>
      <c r="H34" s="10">
        <v>-9.84</v>
      </c>
      <c r="I34" s="10">
        <v>-1.3</v>
      </c>
      <c r="J34" s="10">
        <v>-19</v>
      </c>
      <c r="K34" s="10">
        <v>17</v>
      </c>
      <c r="L34" s="11">
        <v>225</v>
      </c>
      <c r="M34" s="11">
        <v>223.5</v>
      </c>
      <c r="N34" s="11">
        <v>197</v>
      </c>
      <c r="O34" s="11">
        <v>250</v>
      </c>
      <c r="P34" s="11">
        <v>108.92</v>
      </c>
      <c r="Q34" s="11">
        <v>117.17</v>
      </c>
      <c r="R34" s="25">
        <f>Oranlar!Y34</f>
        <v>0.33635187580853815</v>
      </c>
      <c r="S34" s="26">
        <f>-Oranlar!O34</f>
        <v>-6.5</v>
      </c>
      <c r="T34" s="26">
        <f>-Oranlar!I34</f>
        <v>-1.5</v>
      </c>
      <c r="U34" s="27">
        <f>Oranlar!V34</f>
        <v>216.5</v>
      </c>
      <c r="V34" s="27">
        <f>Oranlar!L34</f>
        <v>221.5</v>
      </c>
      <c r="W34" s="28">
        <f>(U34+S34)/2</f>
        <v>105.0</v>
      </c>
      <c r="X34" s="28">
        <f>(U34-S34)/2</f>
        <v>111.5</v>
      </c>
      <c r="Y34" s="16">
        <f>IF(G34=0.5,"",IF((G34&gt;0.5)=(E34&gt;0),1,0))</f>
        <v>1</v>
      </c>
      <c r="Z34" s="16">
        <f>IF(R34=0.5,"",IF((R34&gt;0.5)=(E34&gt;0),1,0))</f>
        <v>1</v>
      </c>
      <c r="AA34" s="29">
        <f>(G34-IF(E34&gt;0,1,0))^2</f>
        <v>0.10048900000000001</v>
      </c>
      <c r="AB34" s="29">
        <f>(R34-IF(E34&gt;0,1,0))^2</f>
        <v>0.11313258435992227</v>
      </c>
      <c r="AC34" s="28">
        <f>ABS(H34-E34)</f>
        <v>29.16</v>
      </c>
      <c r="AD34" s="28">
        <f>ABS(I34-E34)</f>
        <v>37.7</v>
      </c>
      <c r="AE34" s="28">
        <f>ABS(S34-E34)</f>
        <v>32.5</v>
      </c>
      <c r="AF34" s="28">
        <f>ABS(L34-F34)</f>
        <v>4.0</v>
      </c>
      <c r="AG34" s="28">
        <f>ABS(M34-F34)</f>
        <v>2.5</v>
      </c>
      <c r="AH34" s="28">
        <f>ABS(U34-F34)</f>
        <v>4.5</v>
      </c>
      <c r="AI34" s="28">
        <f>ABS(P34-C34)</f>
        <v>17.92</v>
      </c>
      <c r="AJ34" s="28">
        <f>ABS(W34-C34)</f>
        <v>14.0</v>
      </c>
      <c r="AK34" s="28">
        <f>ABS(Q34-D34)</f>
        <v>12.829999999999998</v>
      </c>
      <c r="AL34" s="28">
        <f>ABS(X34-D34)</f>
        <v>18.5</v>
      </c>
      <c r="AM34" s="17" t="str">
        <f>IF(H34&gt;S34,"Ev",IF(H34&lt;S34,"Dep",""))</f>
        <v>Dep</v>
      </c>
      <c r="AN34" s="17" t="str">
        <f>IF(AM34="","",IF(E34=S34,"Push",IF((E34&gt;S34)=(AM34="Ev"),"Kazandı","Kaybetti")))</f>
        <v>Kazandı</v>
      </c>
      <c r="AO34" s="30">
        <f>IF(AM34="","",IF(AN34="Push",0,IF(AN34="Kazandı",IF(AM34="Ev",Oranlar!P34,Oranlar!Q34)-1,-1)))</f>
        <v>0.9523809523809523</v>
      </c>
      <c r="AP34" s="17" t="str">
        <f>IF(L34&gt;U34,"Üst",IF(L34&lt;U34,"Alt",""))</f>
        <v>Üst</v>
      </c>
      <c r="AQ34" s="17" t="str">
        <f>IF(AP34="","",IF(F34=U34,"Push",IF((F34&gt;U34)=(AP34="Üst"),"Kazandı","Kaybetti")))</f>
        <v>Kazandı</v>
      </c>
      <c r="AR34" s="30">
        <f>IF(AP34="","",IF(AQ34="Push",0,IF(AQ34="Kazandı",IF(AP34="Üst",Oranlar!W34,Oranlar!X34)-1,-1)))</f>
        <v>0.8928571428571428</v>
      </c>
      <c r="AS34" s="17">
        <f>IF(G34*Oranlar!R34&gt;1,"Ev",IF((1-G34)*Oranlar!S34&gt;1,"Dep",""))</f>
        <v/>
      </c>
      <c r="AT34" s="30">
        <f>IF(AS34="","",IF((AS34="Ev")=(E34&gt;0),IF(AS34="Ev",Oranlar!R34,Oranlar!S34)-1,-1))</f>
        <v/>
      </c>
      <c r="AU34" s="16">
        <f>IF(OR(H34=T34,S34=T34),"",IF((H34&gt;T34)=(S34&gt;T34),1,0))</f>
        <v>1</v>
      </c>
      <c r="AV34" s="16">
        <f>IF(OR(L34=V34,U34=V34),"",IF((L34&gt;V34)=(U34&gt;V34),1,0))</f>
        <v>0</v>
      </c>
      <c r="AW34" s="16">
        <f>IF(AND(E34&gt;=J34,E34&lt;=K34),1,0)</f>
        <v>0</v>
      </c>
      <c r="AX34" s="16">
        <f>IF(AND(F34&gt;=N34,F34&lt;=O34),1,0)</f>
        <v>1</v>
      </c>
    </row>
    <row r="35" spans="1:50">
      <c r="A35" s="21">
        <f>Oranlar!A35</f>
        <v>46089</v>
      </c>
      <c r="B35" s="22" t="str">
        <f>Oranlar!C35&amp;" @ "&amp;Oranlar!D35</f>
        <v>HOU @ SAS</v>
      </c>
      <c r="C35" s="23">
        <f>Oranlar!F35</f>
        <v>145</v>
      </c>
      <c r="D35" s="23">
        <f>Oranlar!E35</f>
        <v>120</v>
      </c>
      <c r="E35" s="15">
        <f>C35-D35</f>
        <v>25</v>
      </c>
      <c r="F35" s="16">
        <f>C35+D35</f>
        <v>265</v>
      </c>
      <c r="G35" s="24">
        <v>0.618</v>
      </c>
      <c r="H35" s="10">
        <v>4.69</v>
      </c>
      <c r="I35" s="10">
        <v>4.3</v>
      </c>
      <c r="J35" s="10">
        <v>-14</v>
      </c>
      <c r="K35" s="10">
        <v>23</v>
      </c>
      <c r="L35" s="11">
        <v>224.9</v>
      </c>
      <c r="M35" s="11">
        <v>224.7</v>
      </c>
      <c r="N35" s="11">
        <v>198</v>
      </c>
      <c r="O35" s="11">
        <v>252</v>
      </c>
      <c r="P35" s="11">
        <v>114.45</v>
      </c>
      <c r="Q35" s="11">
        <v>110.31</v>
      </c>
      <c r="R35" s="25">
        <f>Oranlar!Y35</f>
        <v>0.6690070210631895</v>
      </c>
      <c r="S35" s="26">
        <f>-Oranlar!O35</f>
        <v>5.5</v>
      </c>
      <c r="T35" s="26">
        <f>-Oranlar!I35</f>
        <v>4.5</v>
      </c>
      <c r="U35" s="27">
        <f>Oranlar!V35</f>
        <v>223.5</v>
      </c>
      <c r="V35" s="27">
        <f>Oranlar!L35</f>
        <v>223.5</v>
      </c>
      <c r="W35" s="28">
        <f>(U35+S35)/2</f>
        <v>114.5</v>
      </c>
      <c r="X35" s="28">
        <f>(U35-S35)/2</f>
        <v>109.0</v>
      </c>
      <c r="Y35" s="16">
        <f>IF(G35=0.5,"",IF((G35&gt;0.5)=(E35&gt;0),1,0))</f>
        <v>1</v>
      </c>
      <c r="Z35" s="16">
        <f>IF(R35=0.5,"",IF((R35&gt;0.5)=(E35&gt;0),1,0))</f>
        <v>1</v>
      </c>
      <c r="AA35" s="29">
        <f>(G35-IF(E35&gt;0,1,0))^2</f>
        <v>0.145924</v>
      </c>
      <c r="AB35" s="29">
        <f>(R35-IF(E35&gt;0,1,0))^2</f>
        <v>0.10955635210546386</v>
      </c>
      <c r="AC35" s="28">
        <f>ABS(H35-E35)</f>
        <v>20.31</v>
      </c>
      <c r="AD35" s="28">
        <f>ABS(I35-E35)</f>
        <v>20.7</v>
      </c>
      <c r="AE35" s="28">
        <f>ABS(S35-E35)</f>
        <v>19.5</v>
      </c>
      <c r="AF35" s="28">
        <f>ABS(L35-F35)</f>
        <v>40.099999999999994</v>
      </c>
      <c r="AG35" s="28">
        <f>ABS(M35-F35)</f>
        <v>40.30000000000001</v>
      </c>
      <c r="AH35" s="28">
        <f>ABS(U35-F35)</f>
        <v>41.5</v>
      </c>
      <c r="AI35" s="28">
        <f>ABS(P35-C35)</f>
        <v>30.549999999999997</v>
      </c>
      <c r="AJ35" s="28">
        <f>ABS(W35-C35)</f>
        <v>30.5</v>
      </c>
      <c r="AK35" s="28">
        <f>ABS(Q35-D35)</f>
        <v>9.689999999999998</v>
      </c>
      <c r="AL35" s="28">
        <f>ABS(X35-D35)</f>
        <v>11.0</v>
      </c>
      <c r="AM35" s="17" t="str">
        <f>IF(H35&gt;S35,"Ev",IF(H35&lt;S35,"Dep",""))</f>
        <v>Dep</v>
      </c>
      <c r="AN35" s="17" t="str">
        <f>IF(AM35="","",IF(E35=S35,"Push",IF((E35&gt;S35)=(AM35="Ev"),"Kazandı","Kaybetti")))</f>
        <v>Kaybetti</v>
      </c>
      <c r="AO35" s="30">
        <f>IF(AM35="","",IF(AN35="Push",0,IF(AN35="Kazandı",IF(AM35="Ev",Oranlar!P35,Oranlar!Q35)-1,-1)))</f>
        <v>-1.0</v>
      </c>
      <c r="AP35" s="17" t="str">
        <f>IF(L35&gt;U35,"Üst",IF(L35&lt;U35,"Alt",""))</f>
        <v>Üst</v>
      </c>
      <c r="AQ35" s="17" t="str">
        <f>IF(AP35="","",IF(F35=U35,"Push",IF((F35&gt;U35)=(AP35="Üst"),"Kazandı","Kaybetti")))</f>
        <v>Kazandı</v>
      </c>
      <c r="AR35" s="30">
        <f>IF(AP35="","",IF(AQ35="Push",0,IF(AQ35="Kazandı",IF(AP35="Üst",Oranlar!W35,Oranlar!X35)-1,-1)))</f>
        <v>0.9523809523809523</v>
      </c>
      <c r="AS35" s="17" t="str">
        <f>IF(G35*Oranlar!R35&gt;1,"Ev",IF((1-G35)*Oranlar!S35&gt;1,"Dep",""))</f>
        <v>Dep</v>
      </c>
      <c r="AT35" s="30">
        <f>IF(AS35="","",IF((AS35="Ev")=(E35&gt;0),IF(AS35="Ev",Oranlar!R35,Oranlar!S35)-1,-1))</f>
        <v>-1.0</v>
      </c>
      <c r="AU35" s="16">
        <f>IF(OR(H35=T35,S35=T35),"",IF((H35&gt;T35)=(S35&gt;T35),1,0))</f>
        <v>1</v>
      </c>
      <c r="AV35" s="16">
        <f>IF(OR(L35=V35,U35=V35),"",IF((L35&gt;V35)=(U35&gt;V35),1,0))</f>
        <v/>
      </c>
      <c r="AW35" s="16">
        <f>IF(AND(E35&gt;=J35,E35&lt;=K35),1,0)</f>
        <v>0</v>
      </c>
      <c r="AX35" s="16">
        <f>IF(AND(F35&gt;=N35,F35&lt;=O35),1,0)</f>
        <v>0</v>
      </c>
    </row>
    <row r="36" spans="1:50">
      <c r="A36" s="21">
        <f>Oranlar!A36</f>
        <v>46089</v>
      </c>
      <c r="B36" s="22" t="str">
        <f>Oranlar!C36&amp;" @ "&amp;Oranlar!D36</f>
        <v>CHA @ PHX</v>
      </c>
      <c r="C36" s="23">
        <f>Oranlar!F36</f>
        <v>111</v>
      </c>
      <c r="D36" s="23">
        <f>Oranlar!E36</f>
        <v>99</v>
      </c>
      <c r="E36" s="15">
        <f>C36-D36</f>
        <v>12</v>
      </c>
      <c r="F36" s="16">
        <f>C36+D36</f>
        <v>210</v>
      </c>
      <c r="G36" s="24">
        <v>0.409</v>
      </c>
      <c r="H36" s="10">
        <v>-4.81</v>
      </c>
      <c r="I36" s="10">
        <v>-0.6</v>
      </c>
      <c r="J36" s="10">
        <v>-18</v>
      </c>
      <c r="K36" s="10">
        <v>18</v>
      </c>
      <c r="L36" s="11">
        <v>221.62</v>
      </c>
      <c r="M36" s="11">
        <v>222.2</v>
      </c>
      <c r="N36" s="11">
        <v>195</v>
      </c>
      <c r="O36" s="11">
        <v>249</v>
      </c>
      <c r="P36" s="11">
        <v>109.64</v>
      </c>
      <c r="Q36" s="11">
        <v>112.41</v>
      </c>
      <c r="R36" s="25">
        <f>Oranlar!Y36</f>
        <v>0.35527082119976705</v>
      </c>
      <c r="S36" s="26">
        <f>-Oranlar!O36</f>
        <v>-4.5</v>
      </c>
      <c r="T36" s="26">
        <f>-Oranlar!I36</f>
        <v>-3.5</v>
      </c>
      <c r="U36" s="27">
        <f>Oranlar!V36</f>
        <v>218.5</v>
      </c>
      <c r="V36" s="27">
        <f>Oranlar!L36</f>
        <v>219.5</v>
      </c>
      <c r="W36" s="28">
        <f>(U36+S36)/2</f>
        <v>107.0</v>
      </c>
      <c r="X36" s="28">
        <f>(U36-S36)/2</f>
        <v>111.5</v>
      </c>
      <c r="Y36" s="16">
        <f>IF(G36=0.5,"",IF((G36&gt;0.5)=(E36&gt;0),1,0))</f>
        <v>0</v>
      </c>
      <c r="Z36" s="16">
        <f>IF(R36=0.5,"",IF((R36&gt;0.5)=(E36&gt;0),1,0))</f>
        <v>0</v>
      </c>
      <c r="AA36" s="29">
        <f>(G36-IF(E36&gt;0,1,0))^2</f>
        <v>0.34928099999999995</v>
      </c>
      <c r="AB36" s="29">
        <f>(R36-IF(E36&gt;0,1,0))^2</f>
        <v>0.4156757139964227</v>
      </c>
      <c r="AC36" s="28">
        <f>ABS(H36-E36)</f>
        <v>16.81</v>
      </c>
      <c r="AD36" s="28">
        <f>ABS(I36-E36)</f>
        <v>12.6</v>
      </c>
      <c r="AE36" s="28">
        <f>ABS(S36-E36)</f>
        <v>16.5</v>
      </c>
      <c r="AF36" s="28">
        <f>ABS(L36-F36)</f>
        <v>11.620000000000005</v>
      </c>
      <c r="AG36" s="28">
        <f>ABS(M36-F36)</f>
        <v>12.199999999999989</v>
      </c>
      <c r="AH36" s="28">
        <f>ABS(U36-F36)</f>
        <v>8.5</v>
      </c>
      <c r="AI36" s="28">
        <f>ABS(P36-C36)</f>
        <v>1.3599999999999994</v>
      </c>
      <c r="AJ36" s="28">
        <f>ABS(W36-C36)</f>
        <v>4.0</v>
      </c>
      <c r="AK36" s="28">
        <f>ABS(Q36-D36)</f>
        <v>13.409999999999997</v>
      </c>
      <c r="AL36" s="28">
        <f>ABS(X36-D36)</f>
        <v>12.5</v>
      </c>
      <c r="AM36" s="17" t="str">
        <f>IF(H36&gt;S36,"Ev",IF(H36&lt;S36,"Dep",""))</f>
        <v>Dep</v>
      </c>
      <c r="AN36" s="17" t="str">
        <f>IF(AM36="","",IF(E36=S36,"Push",IF((E36&gt;S36)=(AM36="Ev"),"Kazandı","Kaybetti")))</f>
        <v>Kaybetti</v>
      </c>
      <c r="AO36" s="30">
        <f>IF(AM36="","",IF(AN36="Push",0,IF(AN36="Kazandı",IF(AM36="Ev",Oranlar!P36,Oranlar!Q36)-1,-1)))</f>
        <v>-1.0</v>
      </c>
      <c r="AP36" s="17" t="str">
        <f>IF(L36&gt;U36,"Üst",IF(L36&lt;U36,"Alt",""))</f>
        <v>Üst</v>
      </c>
      <c r="AQ36" s="17" t="str">
        <f>IF(AP36="","",IF(F36=U36,"Push",IF((F36&gt;U36)=(AP36="Üst"),"Kazandı","Kaybetti")))</f>
        <v>Kaybetti</v>
      </c>
      <c r="AR36" s="30">
        <f>IF(AP36="","",IF(AQ36="Push",0,IF(AQ36="Kazandı",IF(AP36="Üst",Oranlar!W36,Oranlar!X36)-1,-1)))</f>
        <v>-1.0</v>
      </c>
      <c r="AS36" s="17" t="str">
        <f>IF(G36*Oranlar!R36&gt;1,"Ev",IF((1-G36)*Oranlar!S36&gt;1,"Dep",""))</f>
        <v>Ev</v>
      </c>
      <c r="AT36" s="30">
        <f>IF(AS36="","",IF((AS36="Ev")=(E36&gt;0),IF(AS36="Ev",Oranlar!R36,Oranlar!S36)-1,-1))</f>
        <v>1.7000000000000002</v>
      </c>
      <c r="AU36" s="16">
        <f>IF(OR(H36=T36,S36=T36),"",IF((H36&gt;T36)=(S36&gt;T36),1,0))</f>
        <v>1</v>
      </c>
      <c r="AV36" s="16">
        <f>IF(OR(L36=V36,U36=V36),"",IF((L36&gt;V36)=(U36&gt;V36),1,0))</f>
        <v>0</v>
      </c>
      <c r="AW36" s="16">
        <f>IF(AND(E36&gt;=J36,E36&lt;=K36),1,0)</f>
        <v>1</v>
      </c>
      <c r="AX36" s="16">
        <f>IF(AND(F36&gt;=N36,F36&lt;=O36),1,0)</f>
        <v>1</v>
      </c>
    </row>
    <row r="37" spans="1:50">
      <c r="A37" s="21">
        <f>Oranlar!A37</f>
        <v>46089</v>
      </c>
      <c r="B37" s="22" t="str">
        <f>Oranlar!C37&amp;" @ "&amp;Oranlar!D37</f>
        <v>IND @ POR</v>
      </c>
      <c r="C37" s="23">
        <f>Oranlar!F37</f>
        <v>131</v>
      </c>
      <c r="D37" s="23">
        <f>Oranlar!E37</f>
        <v>111</v>
      </c>
      <c r="E37" s="15">
        <f>C37-D37</f>
        <v>20</v>
      </c>
      <c r="F37" s="16">
        <f>C37+D37</f>
        <v>242</v>
      </c>
      <c r="G37" s="24">
        <v>0.633</v>
      </c>
      <c r="H37" s="10">
        <v>6.58</v>
      </c>
      <c r="I37" s="10">
        <v>1.1</v>
      </c>
      <c r="J37" s="10">
        <v>-17</v>
      </c>
      <c r="K37" s="10">
        <v>20</v>
      </c>
      <c r="L37" s="11">
        <v>231.52</v>
      </c>
      <c r="M37" s="11">
        <v>233.8</v>
      </c>
      <c r="N37" s="11">
        <v>206</v>
      </c>
      <c r="O37" s="11">
        <v>261</v>
      </c>
      <c r="P37" s="11">
        <v>118.4</v>
      </c>
      <c r="Q37" s="11">
        <v>115.05</v>
      </c>
      <c r="R37" s="25">
        <f>Oranlar!Y37</f>
        <v>0.771505376344086</v>
      </c>
      <c r="S37" s="26">
        <f>-Oranlar!O37</f>
        <v>9.5</v>
      </c>
      <c r="T37" s="26">
        <f>-Oranlar!I37</f>
        <v>7.5</v>
      </c>
      <c r="U37" s="27">
        <f>Oranlar!V37</f>
        <v>238.5</v>
      </c>
      <c r="V37" s="27">
        <f>Oranlar!L37</f>
        <v>236.5</v>
      </c>
      <c r="W37" s="28">
        <f>(U37+S37)/2</f>
        <v>124.0</v>
      </c>
      <c r="X37" s="28">
        <f>(U37-S37)/2</f>
        <v>114.5</v>
      </c>
      <c r="Y37" s="16">
        <f>IF(G37=0.5,"",IF((G37&gt;0.5)=(E37&gt;0),1,0))</f>
        <v>1</v>
      </c>
      <c r="Z37" s="16">
        <f>IF(R37=0.5,"",IF((R37&gt;0.5)=(E37&gt;0),1,0))</f>
        <v>1</v>
      </c>
      <c r="AA37" s="29">
        <f>(G37-IF(E37&gt;0,1,0))^2</f>
        <v>0.134689</v>
      </c>
      <c r="AB37" s="29">
        <f>(R37-IF(E37&gt;0,1,0))^2</f>
        <v>0.052209793039657774</v>
      </c>
      <c r="AC37" s="28">
        <f>ABS(H37-E37)</f>
        <v>13.42</v>
      </c>
      <c r="AD37" s="28">
        <f>ABS(I37-E37)</f>
        <v>18.9</v>
      </c>
      <c r="AE37" s="28">
        <f>ABS(S37-E37)</f>
        <v>10.5</v>
      </c>
      <c r="AF37" s="28">
        <f>ABS(L37-F37)</f>
        <v>10.47999999999999</v>
      </c>
      <c r="AG37" s="28">
        <f>ABS(M37-F37)</f>
        <v>8.199999999999989</v>
      </c>
      <c r="AH37" s="28">
        <f>ABS(U37-F37)</f>
        <v>3.5</v>
      </c>
      <c r="AI37" s="28">
        <f>ABS(P37-C37)</f>
        <v>12.599999999999994</v>
      </c>
      <c r="AJ37" s="28">
        <f>ABS(W37-C37)</f>
        <v>7.0</v>
      </c>
      <c r="AK37" s="28">
        <f>ABS(Q37-D37)</f>
        <v>4.049999999999997</v>
      </c>
      <c r="AL37" s="28">
        <f>ABS(X37-D37)</f>
        <v>3.5</v>
      </c>
      <c r="AM37" s="17" t="str">
        <f>IF(H37&gt;S37,"Ev",IF(H37&lt;S37,"Dep",""))</f>
        <v>Dep</v>
      </c>
      <c r="AN37" s="17" t="str">
        <f>IF(AM37="","",IF(E37=S37,"Push",IF((E37&gt;S37)=(AM37="Ev"),"Kazandı","Kaybetti")))</f>
        <v>Kaybetti</v>
      </c>
      <c r="AO37" s="30">
        <f>IF(AM37="","",IF(AN37="Push",0,IF(AN37="Kazandı",IF(AM37="Ev",Oranlar!P37,Oranlar!Q37)-1,-1)))</f>
        <v>-1.0</v>
      </c>
      <c r="AP37" s="17" t="str">
        <f>IF(L37&gt;U37,"Üst",IF(L37&lt;U37,"Alt",""))</f>
        <v>Alt</v>
      </c>
      <c r="AQ37" s="17" t="str">
        <f>IF(AP37="","",IF(F37=U37,"Push",IF((F37&gt;U37)=(AP37="Üst"),"Kazandı","Kaybetti")))</f>
        <v>Kaybetti</v>
      </c>
      <c r="AR37" s="30">
        <f>IF(AP37="","",IF(AQ37="Push",0,IF(AQ37="Kazandı",IF(AP37="Üst",Oranlar!W37,Oranlar!X37)-1,-1)))</f>
        <v>-1.0</v>
      </c>
      <c r="AS37" s="17" t="str">
        <f>IF(G37*Oranlar!R37&gt;1,"Ev",IF((1-G37)*Oranlar!S37&gt;1,"Dep",""))</f>
        <v>Dep</v>
      </c>
      <c r="AT37" s="30">
        <f>IF(AS37="","",IF((AS37="Ev")=(E37&gt;0),IF(AS37="Ev",Oranlar!R37,Oranlar!S37)-1,-1))</f>
        <v>-1.0</v>
      </c>
      <c r="AU37" s="16">
        <f>IF(OR(H37=T37,S37=T37),"",IF((H37&gt;T37)=(S37&gt;T37),1,0))</f>
        <v>0</v>
      </c>
      <c r="AV37" s="16">
        <f>IF(OR(L37=V37,U37=V37),"",IF((L37&gt;V37)=(U37&gt;V37),1,0))</f>
        <v>0</v>
      </c>
      <c r="AW37" s="16">
        <f>IF(AND(E37&gt;=J37,E37&lt;=K37),1,0)</f>
        <v>1</v>
      </c>
      <c r="AX37" s="16">
        <f>IF(AND(F37&gt;=N37,F37&lt;=O37),1,0)</f>
        <v>1</v>
      </c>
    </row>
    <row r="38" spans="1:50">
      <c r="A38" s="21">
        <f>Oranlar!A38</f>
        <v>46089</v>
      </c>
      <c r="B38" s="22" t="str">
        <f>Oranlar!C38&amp;" @ "&amp;Oranlar!D38</f>
        <v>CHI @ SAC</v>
      </c>
      <c r="C38" s="23">
        <f>Oranlar!F38</f>
        <v>126</v>
      </c>
      <c r="D38" s="23">
        <f>Oranlar!E38</f>
        <v>110</v>
      </c>
      <c r="E38" s="15">
        <f>C38-D38</f>
        <v>16</v>
      </c>
      <c r="F38" s="16">
        <f>C38+D38</f>
        <v>236</v>
      </c>
      <c r="G38" s="24">
        <v>0.417</v>
      </c>
      <c r="H38" s="10">
        <v>-2.07</v>
      </c>
      <c r="I38" s="10">
        <v>-1.7</v>
      </c>
      <c r="J38" s="10">
        <v>-20</v>
      </c>
      <c r="K38" s="10">
        <v>17</v>
      </c>
      <c r="L38" s="11">
        <v>234.78</v>
      </c>
      <c r="M38" s="11">
        <v>236.1</v>
      </c>
      <c r="N38" s="11">
        <v>208</v>
      </c>
      <c r="O38" s="11">
        <v>264</v>
      </c>
      <c r="P38" s="11">
        <v>114.27</v>
      </c>
      <c r="Q38" s="11">
        <v>120.43</v>
      </c>
      <c r="R38" s="25">
        <f>Oranlar!Y38</f>
        <v>0.35527082119976705</v>
      </c>
      <c r="S38" s="26">
        <f>-Oranlar!O38</f>
        <v>-4.5</v>
      </c>
      <c r="T38" s="26">
        <f>-Oranlar!I38</f>
        <v>-3.5</v>
      </c>
      <c r="U38" s="27">
        <f>Oranlar!V38</f>
        <v>236.5</v>
      </c>
      <c r="V38" s="27">
        <f>Oranlar!L38</f>
        <v>235.5</v>
      </c>
      <c r="W38" s="28">
        <f>(U38+S38)/2</f>
        <v>116.0</v>
      </c>
      <c r="X38" s="28">
        <f>(U38-S38)/2</f>
        <v>120.5</v>
      </c>
      <c r="Y38" s="16">
        <f>IF(G38=0.5,"",IF((G38&gt;0.5)=(E38&gt;0),1,0))</f>
        <v>0</v>
      </c>
      <c r="Z38" s="16">
        <f>IF(R38=0.5,"",IF((R38&gt;0.5)=(E38&gt;0),1,0))</f>
        <v>0</v>
      </c>
      <c r="AA38" s="29">
        <f>(G38-IF(E38&gt;0,1,0))^2</f>
        <v>0.33988899999999994</v>
      </c>
      <c r="AB38" s="29">
        <f>(R38-IF(E38&gt;0,1,0))^2</f>
        <v>0.4156757139964227</v>
      </c>
      <c r="AC38" s="28">
        <f>ABS(H38-E38)</f>
        <v>18.07</v>
      </c>
      <c r="AD38" s="28">
        <f>ABS(I38-E38)</f>
        <v>17.7</v>
      </c>
      <c r="AE38" s="28">
        <f>ABS(S38-E38)</f>
        <v>20.5</v>
      </c>
      <c r="AF38" s="28">
        <f>ABS(L38-F38)</f>
        <v>1.2199999999999989</v>
      </c>
      <c r="AG38" s="28">
        <f>ABS(M38-F38)</f>
        <v>0.09999999999999432</v>
      </c>
      <c r="AH38" s="28">
        <f>ABS(U38-F38)</f>
        <v>0.5</v>
      </c>
      <c r="AI38" s="28">
        <f>ABS(P38-C38)</f>
        <v>11.730000000000004</v>
      </c>
      <c r="AJ38" s="28">
        <f>ABS(W38-C38)</f>
        <v>10.0</v>
      </c>
      <c r="AK38" s="28">
        <f>ABS(Q38-D38)</f>
        <v>10.430000000000007</v>
      </c>
      <c r="AL38" s="28">
        <f>ABS(X38-D38)</f>
        <v>10.5</v>
      </c>
      <c r="AM38" s="17" t="str">
        <f>IF(H38&gt;S38,"Ev",IF(H38&lt;S38,"Dep",""))</f>
        <v>Ev</v>
      </c>
      <c r="AN38" s="17" t="str">
        <f>IF(AM38="","",IF(E38=S38,"Push",IF((E38&gt;S38)=(AM38="Ev"),"Kazandı","Kaybetti")))</f>
        <v>Kazandı</v>
      </c>
      <c r="AO38" s="30">
        <f>IF(AM38="","",IF(AN38="Push",0,IF(AN38="Kazandı",IF(AM38="Ev",Oranlar!P38,Oranlar!Q38)-1,-1)))</f>
        <v>0.9090909090909092</v>
      </c>
      <c r="AP38" s="17" t="str">
        <f>IF(L38&gt;U38,"Üst",IF(L38&lt;U38,"Alt",""))</f>
        <v>Alt</v>
      </c>
      <c r="AQ38" s="17" t="str">
        <f>IF(AP38="","",IF(F38=U38,"Push",IF((F38&gt;U38)=(AP38="Üst"),"Kazandı","Kaybetti")))</f>
        <v>Kazandı</v>
      </c>
      <c r="AR38" s="30">
        <f>IF(AP38="","",IF(AQ38="Push",0,IF(AQ38="Kazandı",IF(AP38="Üst",Oranlar!W38,Oranlar!X38)-1,-1)))</f>
        <v>0.8928571428571428</v>
      </c>
      <c r="AS38" s="17" t="str">
        <f>IF(G38*Oranlar!R38&gt;1,"Ev",IF((1-G38)*Oranlar!S38&gt;1,"Dep",""))</f>
        <v>Ev</v>
      </c>
      <c r="AT38" s="30">
        <f>IF(AS38="","",IF((AS38="Ev")=(E38&gt;0),IF(AS38="Ev",Oranlar!R38,Oranlar!S38)-1,-1))</f>
        <v>1.7000000000000002</v>
      </c>
      <c r="AU38" s="16">
        <f>IF(OR(H38=T38,S38=T38),"",IF((H38&gt;T38)=(S38&gt;T38),1,0))</f>
        <v>0</v>
      </c>
      <c r="AV38" s="16">
        <f>IF(OR(L38=V38,U38=V38),"",IF((L38&gt;V38)=(U38&gt;V38),1,0))</f>
        <v>0</v>
      </c>
      <c r="AW38" s="16">
        <f>IF(AND(E38&gt;=J38,E38&lt;=K38),1,0)</f>
        <v>1</v>
      </c>
      <c r="AX38" s="16">
        <f>IF(AND(F38&gt;=N38,F38&lt;=O38),1,0)</f>
        <v>1</v>
      </c>
    </row>
    <row r="39" spans="1:50">
      <c r="A39" s="21">
        <f>Oranlar!A39</f>
        <v>46090</v>
      </c>
      <c r="B39" s="22" t="str">
        <f>Oranlar!C39&amp;" @ "&amp;Oranlar!D39</f>
        <v>PHI @ CLE</v>
      </c>
      <c r="C39" s="23">
        <f>Oranlar!F39</f>
        <v>115</v>
      </c>
      <c r="D39" s="23">
        <f>Oranlar!E39</f>
        <v>101</v>
      </c>
      <c r="E39" s="15">
        <f>C39-D39</f>
        <v>14</v>
      </c>
      <c r="F39" s="16">
        <f>C39+D39</f>
        <v>216</v>
      </c>
      <c r="G39" s="24">
        <v>0.847</v>
      </c>
      <c r="H39" s="10">
        <v>22.01</v>
      </c>
      <c r="I39" s="10">
        <v>17.4</v>
      </c>
      <c r="J39" s="10">
        <v>-1</v>
      </c>
      <c r="K39" s="10">
        <v>36</v>
      </c>
      <c r="L39" s="11">
        <v>229.32</v>
      </c>
      <c r="M39" s="11">
        <v>233.8</v>
      </c>
      <c r="N39" s="11">
        <v>206</v>
      </c>
      <c r="O39" s="11">
        <v>261</v>
      </c>
      <c r="P39" s="11">
        <v>123.52</v>
      </c>
      <c r="Q39" s="11">
        <v>102.31</v>
      </c>
      <c r="R39" s="25">
        <f>Oranlar!Y39</f>
        <v>0.8579439252336449</v>
      </c>
      <c r="S39" s="26">
        <f>-Oranlar!O39</f>
        <v>14.5</v>
      </c>
      <c r="T39" s="26">
        <f>-Oranlar!I39</f>
        <v>10.5</v>
      </c>
      <c r="U39" s="27">
        <f>Oranlar!V39</f>
        <v>226.5</v>
      </c>
      <c r="V39" s="27">
        <f>Oranlar!L39</f>
        <v>225.5</v>
      </c>
      <c r="W39" s="28">
        <f>(U39+S39)/2</f>
        <v>120.5</v>
      </c>
      <c r="X39" s="28">
        <f>(U39-S39)/2</f>
        <v>106.0</v>
      </c>
      <c r="Y39" s="16">
        <f>IF(G39=0.5,"",IF((G39&gt;0.5)=(E39&gt;0),1,0))</f>
        <v>1</v>
      </c>
      <c r="Z39" s="16">
        <f>IF(R39=0.5,"",IF((R39&gt;0.5)=(E39&gt;0),1,0))</f>
        <v>1</v>
      </c>
      <c r="AA39" s="29">
        <f>(G39-IF(E39&gt;0,1,0))^2</f>
        <v>0.023409000000000006</v>
      </c>
      <c r="AB39" s="29">
        <f>(R39-IF(E39&gt;0,1,0))^2</f>
        <v>0.02017992837802426</v>
      </c>
      <c r="AC39" s="28">
        <f>ABS(H39-E39)</f>
        <v>8.010000000000002</v>
      </c>
      <c r="AD39" s="28">
        <f>ABS(I39-E39)</f>
        <v>3.3999999999999986</v>
      </c>
      <c r="AE39" s="28">
        <f>ABS(S39-E39)</f>
        <v>0.5</v>
      </c>
      <c r="AF39" s="28">
        <f>ABS(L39-F39)</f>
        <v>13.319999999999993</v>
      </c>
      <c r="AG39" s="28">
        <f>ABS(M39-F39)</f>
        <v>17.80000000000001</v>
      </c>
      <c r="AH39" s="28">
        <f>ABS(U39-F39)</f>
        <v>10.5</v>
      </c>
      <c r="AI39" s="28">
        <f>ABS(P39-C39)</f>
        <v>8.519999999999996</v>
      </c>
      <c r="AJ39" s="28">
        <f>ABS(W39-C39)</f>
        <v>5.5</v>
      </c>
      <c r="AK39" s="28">
        <f>ABS(Q39-D39)</f>
        <v>1.3100000000000023</v>
      </c>
      <c r="AL39" s="28">
        <f>ABS(X39-D39)</f>
        <v>5.0</v>
      </c>
      <c r="AM39" s="17" t="str">
        <f>IF(H39&gt;S39,"Ev",IF(H39&lt;S39,"Dep",""))</f>
        <v>Ev</v>
      </c>
      <c r="AN39" s="17" t="str">
        <f>IF(AM39="","",IF(E39=S39,"Push",IF((E39&gt;S39)=(AM39="Ev"),"Kazandı","Kaybetti")))</f>
        <v>Kaybetti</v>
      </c>
      <c r="AO39" s="30">
        <f>IF(AM39="","",IF(AN39="Push",0,IF(AN39="Kazandı",IF(AM39="Ev",Oranlar!P39,Oranlar!Q39)-1,-1)))</f>
        <v>-1.0</v>
      </c>
      <c r="AP39" s="17" t="str">
        <f>IF(L39&gt;U39,"Üst",IF(L39&lt;U39,"Alt",""))</f>
        <v>Üst</v>
      </c>
      <c r="AQ39" s="17" t="str">
        <f>IF(AP39="","",IF(F39=U39,"Push",IF((F39&gt;U39)=(AP39="Üst"),"Kazandı","Kaybetti")))</f>
        <v>Kaybetti</v>
      </c>
      <c r="AR39" s="30">
        <f>IF(AP39="","",IF(AQ39="Push",0,IF(AQ39="Kazandı",IF(AP39="Üst",Oranlar!W39,Oranlar!X39)-1,-1)))</f>
        <v>-1.0</v>
      </c>
      <c r="AS39" s="17" t="str">
        <f>IF(G39*Oranlar!R39&gt;1,"Ev",IF((1-G39)*Oranlar!S39&gt;1,"Dep",""))</f>
        <v>Dep</v>
      </c>
      <c r="AT39" s="30">
        <f>IF(AS39="","",IF((AS39="Ev")=(E39&gt;0),IF(AS39="Ev",Oranlar!R39,Oranlar!S39)-1,-1))</f>
        <v>-1.0</v>
      </c>
      <c r="AU39" s="16">
        <f>IF(OR(H39=T39,S39=T39),"",IF((H39&gt;T39)=(S39&gt;T39),1,0))</f>
        <v>1</v>
      </c>
      <c r="AV39" s="16">
        <f>IF(OR(L39=V39,U39=V39),"",IF((L39&gt;V39)=(U39&gt;V39),1,0))</f>
        <v>1</v>
      </c>
      <c r="AW39" s="16">
        <f>IF(AND(E39&gt;=J39,E39&lt;=K39),1,0)</f>
        <v>1</v>
      </c>
      <c r="AX39" s="16">
        <f>IF(AND(F39&gt;=N39,F39&lt;=O39),1,0)</f>
        <v>1</v>
      </c>
    </row>
    <row r="40" spans="1:50">
      <c r="A40" s="21">
        <f>Oranlar!A40</f>
        <v>46090</v>
      </c>
      <c r="B40" s="22" t="str">
        <f>Oranlar!C40&amp;" @ "&amp;Oranlar!D40</f>
        <v>MEM @ BKN</v>
      </c>
      <c r="C40" s="23">
        <f>Oranlar!F40</f>
        <v>126</v>
      </c>
      <c r="D40" s="23">
        <f>Oranlar!E40</f>
        <v>115</v>
      </c>
      <c r="E40" s="15">
        <f>C40-D40</f>
        <v>11</v>
      </c>
      <c r="F40" s="16">
        <f>C40+D40</f>
        <v>241</v>
      </c>
      <c r="G40" s="24">
        <v>0.313</v>
      </c>
      <c r="H40" s="10">
        <v>-5.79</v>
      </c>
      <c r="I40" s="10">
        <v>-8</v>
      </c>
      <c r="J40" s="10">
        <v>-26</v>
      </c>
      <c r="K40" s="10">
        <v>10</v>
      </c>
      <c r="L40" s="11">
        <v>224.25</v>
      </c>
      <c r="M40" s="11">
        <v>226.2</v>
      </c>
      <c r="N40" s="11">
        <v>199</v>
      </c>
      <c r="O40" s="11">
        <v>253</v>
      </c>
      <c r="P40" s="11">
        <v>108.74</v>
      </c>
      <c r="Q40" s="11">
        <v>114.59</v>
      </c>
      <c r="R40" s="25">
        <f>Oranlar!Y40</f>
        <v>0.5260865852617197</v>
      </c>
      <c r="S40" s="26">
        <f>-Oranlar!O40</f>
        <v>1.5</v>
      </c>
      <c r="T40" s="26">
        <f>-Oranlar!I40</f>
        <v>-1.5</v>
      </c>
      <c r="U40" s="27">
        <f>Oranlar!V40</f>
        <v>220.5</v>
      </c>
      <c r="V40" s="27">
        <f>Oranlar!L40</f>
        <v>223.5</v>
      </c>
      <c r="W40" s="28">
        <f>(U40+S40)/2</f>
        <v>111.0</v>
      </c>
      <c r="X40" s="28">
        <f>(U40-S40)/2</f>
        <v>109.5</v>
      </c>
      <c r="Y40" s="16">
        <f>IF(G40=0.5,"",IF((G40&gt;0.5)=(E40&gt;0),1,0))</f>
        <v>0</v>
      </c>
      <c r="Z40" s="16">
        <f>IF(R40=0.5,"",IF((R40&gt;0.5)=(E40&gt;0),1,0))</f>
        <v>1</v>
      </c>
      <c r="AA40" s="29">
        <f>(G40-IF(E40&gt;0,1,0))^2</f>
        <v>0.4719690000000001</v>
      </c>
      <c r="AB40" s="29">
        <f>(R40-IF(E40&gt;0,1,0))^2</f>
        <v>0.22459392466889727</v>
      </c>
      <c r="AC40" s="28">
        <f>ABS(H40-E40)</f>
        <v>16.79</v>
      </c>
      <c r="AD40" s="28">
        <f>ABS(I40-E40)</f>
        <v>19.0</v>
      </c>
      <c r="AE40" s="28">
        <f>ABS(S40-E40)</f>
        <v>9.5</v>
      </c>
      <c r="AF40" s="28">
        <f>ABS(L40-F40)</f>
        <v>16.75</v>
      </c>
      <c r="AG40" s="28">
        <f>ABS(M40-F40)</f>
        <v>14.800000000000011</v>
      </c>
      <c r="AH40" s="28">
        <f>ABS(U40-F40)</f>
        <v>20.5</v>
      </c>
      <c r="AI40" s="28">
        <f>ABS(P40-C40)</f>
        <v>17.260000000000005</v>
      </c>
      <c r="AJ40" s="28">
        <f>ABS(W40-C40)</f>
        <v>15.0</v>
      </c>
      <c r="AK40" s="28">
        <f>ABS(Q40-D40)</f>
        <v>0.4099999999999966</v>
      </c>
      <c r="AL40" s="28">
        <f>ABS(X40-D40)</f>
        <v>5.5</v>
      </c>
      <c r="AM40" s="17" t="str">
        <f>IF(H40&gt;S40,"Ev",IF(H40&lt;S40,"Dep",""))</f>
        <v>Dep</v>
      </c>
      <c r="AN40" s="17" t="str">
        <f>IF(AM40="","",IF(E40=S40,"Push",IF((E40&gt;S40)=(AM40="Ev"),"Kazandı","Kaybetti")))</f>
        <v>Kaybetti</v>
      </c>
      <c r="AO40" s="30">
        <f>IF(AM40="","",IF(AN40="Push",0,IF(AN40="Kazandı",IF(AM40="Ev",Oranlar!P40,Oranlar!Q40)-1,-1)))</f>
        <v>-1.0</v>
      </c>
      <c r="AP40" s="17" t="str">
        <f>IF(L40&gt;U40,"Üst",IF(L40&lt;U40,"Alt",""))</f>
        <v>Üst</v>
      </c>
      <c r="AQ40" s="17" t="str">
        <f>IF(AP40="","",IF(F40=U40,"Push",IF((F40&gt;U40)=(AP40="Üst"),"Kazandı","Kaybetti")))</f>
        <v>Kazandı</v>
      </c>
      <c r="AR40" s="30">
        <f>IF(AP40="","",IF(AQ40="Push",0,IF(AQ40="Kazandı",IF(AP40="Üst",Oranlar!W40,Oranlar!X40)-1,-1)))</f>
        <v>0.9523809523809523</v>
      </c>
      <c r="AS40" s="17" t="str">
        <f>IF(G40*Oranlar!R40&gt;1,"Ev",IF((1-G40)*Oranlar!S40&gt;1,"Dep",""))</f>
        <v>Dep</v>
      </c>
      <c r="AT40" s="30">
        <f>IF(AS40="","",IF((AS40="Ev")=(E40&gt;0),IF(AS40="Ev",Oranlar!R40,Oranlar!S40)-1,-1))</f>
        <v>-1.0</v>
      </c>
      <c r="AU40" s="16">
        <f>IF(OR(H40=T40,S40=T40),"",IF((H40&gt;T40)=(S40&gt;T40),1,0))</f>
        <v>0</v>
      </c>
      <c r="AV40" s="16">
        <f>IF(OR(L40=V40,U40=V40),"",IF((L40&gt;V40)=(U40&gt;V40),1,0))</f>
        <v>0</v>
      </c>
      <c r="AW40" s="16">
        <f>IF(AND(E40&gt;=J40,E40&lt;=K40),1,0)</f>
        <v>0</v>
      </c>
      <c r="AX40" s="16">
        <f>IF(AND(F40&gt;=N40,F40&lt;=O40),1,0)</f>
        <v>1</v>
      </c>
    </row>
    <row r="41" spans="1:50">
      <c r="A41" s="21">
        <f>Oranlar!A41</f>
        <v>46090</v>
      </c>
      <c r="B41" s="22" t="str">
        <f>Oranlar!C41&amp;" @ "&amp;Oranlar!D41</f>
        <v>DEN @ OKC</v>
      </c>
      <c r="C41" s="23">
        <f>Oranlar!F41</f>
        <v>129</v>
      </c>
      <c r="D41" s="23">
        <f>Oranlar!E41</f>
        <v>126</v>
      </c>
      <c r="E41" s="15">
        <f>C41-D41</f>
        <v>3</v>
      </c>
      <c r="F41" s="16">
        <f>C41+D41</f>
        <v>255</v>
      </c>
      <c r="G41" s="24">
        <v>0.6</v>
      </c>
      <c r="H41" s="10">
        <v>2.93</v>
      </c>
      <c r="I41" s="10">
        <v>1.1</v>
      </c>
      <c r="J41" s="10">
        <v>-17</v>
      </c>
      <c r="K41" s="10">
        <v>19</v>
      </c>
      <c r="L41" s="11">
        <v>228.14</v>
      </c>
      <c r="M41" s="11">
        <v>225.7</v>
      </c>
      <c r="N41" s="11">
        <v>199</v>
      </c>
      <c r="O41" s="11">
        <v>253</v>
      </c>
      <c r="P41" s="11">
        <v>113.66</v>
      </c>
      <c r="Q41" s="11">
        <v>112.3</v>
      </c>
      <c r="R41" s="25">
        <f>Oranlar!Y41</f>
        <v>0.5829926410466066</v>
      </c>
      <c r="S41" s="26">
        <f>-Oranlar!O41</f>
        <v>3.5</v>
      </c>
      <c r="T41" s="26">
        <f>-Oranlar!I41</f>
        <v>7.5</v>
      </c>
      <c r="U41" s="27">
        <f>Oranlar!V41</f>
        <v>237.5</v>
      </c>
      <c r="V41" s="27">
        <f>Oranlar!L41</f>
        <v>231.5</v>
      </c>
      <c r="W41" s="28">
        <f>(U41+S41)/2</f>
        <v>120.5</v>
      </c>
      <c r="X41" s="28">
        <f>(U41-S41)/2</f>
        <v>117.0</v>
      </c>
      <c r="Y41" s="16">
        <f>IF(G41=0.5,"",IF((G41&gt;0.5)=(E41&gt;0),1,0))</f>
        <v>1</v>
      </c>
      <c r="Z41" s="16">
        <f>IF(R41=0.5,"",IF((R41&gt;0.5)=(E41&gt;0),1,0))</f>
        <v>1</v>
      </c>
      <c r="AA41" s="29">
        <f>(G41-IF(E41&gt;0,1,0))^2</f>
        <v>0.16000000000000003</v>
      </c>
      <c r="AB41" s="29">
        <f>(R41-IF(E41&gt;0,1,0))^2</f>
        <v>0.17389513742128426</v>
      </c>
      <c r="AC41" s="28">
        <f>ABS(H41-E41)</f>
        <v>0.06999999999999984</v>
      </c>
      <c r="AD41" s="28">
        <f>ABS(I41-E41)</f>
        <v>1.9</v>
      </c>
      <c r="AE41" s="28">
        <f>ABS(S41-E41)</f>
        <v>0.5</v>
      </c>
      <c r="AF41" s="28">
        <f>ABS(L41-F41)</f>
        <v>26.860000000000014</v>
      </c>
      <c r="AG41" s="28">
        <f>ABS(M41-F41)</f>
        <v>29.30000000000001</v>
      </c>
      <c r="AH41" s="28">
        <f>ABS(U41-F41)</f>
        <v>17.5</v>
      </c>
      <c r="AI41" s="28">
        <f>ABS(P41-C41)</f>
        <v>15.340000000000003</v>
      </c>
      <c r="AJ41" s="28">
        <f>ABS(W41-C41)</f>
        <v>8.5</v>
      </c>
      <c r="AK41" s="28">
        <f>ABS(Q41-D41)</f>
        <v>13.700000000000003</v>
      </c>
      <c r="AL41" s="28">
        <f>ABS(X41-D41)</f>
        <v>9.0</v>
      </c>
      <c r="AM41" s="17" t="str">
        <f>IF(H41&gt;S41,"Ev",IF(H41&lt;S41,"Dep",""))</f>
        <v>Dep</v>
      </c>
      <c r="AN41" s="17" t="str">
        <f>IF(AM41="","",IF(E41=S41,"Push",IF((E41&gt;S41)=(AM41="Ev"),"Kazandı","Kaybetti")))</f>
        <v>Kazandı</v>
      </c>
      <c r="AO41" s="30">
        <f>IF(AM41="","",IF(AN41="Push",0,IF(AN41="Kazandı",IF(AM41="Ev",Oranlar!P41,Oranlar!Q41)-1,-1)))</f>
        <v>0.925925925925926</v>
      </c>
      <c r="AP41" s="17" t="str">
        <f>IF(L41&gt;U41,"Üst",IF(L41&lt;U41,"Alt",""))</f>
        <v>Alt</v>
      </c>
      <c r="AQ41" s="17" t="str">
        <f>IF(AP41="","",IF(F41=U41,"Push",IF((F41&gt;U41)=(AP41="Üst"),"Kazandı","Kaybetti")))</f>
        <v>Kaybetti</v>
      </c>
      <c r="AR41" s="30">
        <f>IF(AP41="","",IF(AQ41="Push",0,IF(AQ41="Kazandı",IF(AP41="Üst",Oranlar!W41,Oranlar!X41)-1,-1)))</f>
        <v>-1.0</v>
      </c>
      <c r="AS41" s="17">
        <f>IF(G41*Oranlar!R41&gt;1,"Ev",IF((1-G41)*Oranlar!S41&gt;1,"Dep",""))</f>
        <v/>
      </c>
      <c r="AT41" s="30">
        <f>IF(AS41="","",IF((AS41="Ev")=(E41&gt;0),IF(AS41="Ev",Oranlar!R41,Oranlar!S41)-1,-1))</f>
        <v/>
      </c>
      <c r="AU41" s="16">
        <f>IF(OR(H41=T41,S41=T41),"",IF((H41&gt;T41)=(S41&gt;T41),1,0))</f>
        <v>1</v>
      </c>
      <c r="AV41" s="16">
        <f>IF(OR(L41=V41,U41=V41),"",IF((L41&gt;V41)=(U41&gt;V41),1,0))</f>
        <v>0</v>
      </c>
      <c r="AW41" s="16">
        <f>IF(AND(E41&gt;=J41,E41&lt;=K41),1,0)</f>
        <v>1</v>
      </c>
      <c r="AX41" s="16">
        <f>IF(AND(F41&gt;=N41,F41&lt;=O41),1,0)</f>
        <v>0</v>
      </c>
    </row>
    <row r="42" spans="1:50">
      <c r="A42" s="21">
        <f>Oranlar!A42</f>
        <v>46090</v>
      </c>
      <c r="B42" s="22" t="str">
        <f>Oranlar!C42&amp;" @ "&amp;Oranlar!D42</f>
        <v>GSW @ UTA</v>
      </c>
      <c r="C42" s="23">
        <f>Oranlar!F42</f>
        <v>119</v>
      </c>
      <c r="D42" s="23">
        <f>Oranlar!E42</f>
        <v>116</v>
      </c>
      <c r="E42" s="15">
        <f>C42-D42</f>
        <v>3</v>
      </c>
      <c r="F42" s="16">
        <f>C42+D42</f>
        <v>235</v>
      </c>
      <c r="G42" s="24">
        <v>0.323</v>
      </c>
      <c r="H42" s="10">
        <v>-9.630000000000001</v>
      </c>
      <c r="I42" s="10">
        <v>-1.9</v>
      </c>
      <c r="J42" s="10">
        <v>-20</v>
      </c>
      <c r="K42" s="10">
        <v>17</v>
      </c>
      <c r="L42" s="11">
        <v>232.02</v>
      </c>
      <c r="M42" s="11">
        <v>232.1</v>
      </c>
      <c r="N42" s="11">
        <v>205</v>
      </c>
      <c r="O42" s="11">
        <v>259</v>
      </c>
      <c r="P42" s="11">
        <v>113.99</v>
      </c>
      <c r="Q42" s="11">
        <v>121.23</v>
      </c>
      <c r="R42" s="25">
        <f>Oranlar!Y42</f>
        <v>0.30423004792665137</v>
      </c>
      <c r="S42" s="26">
        <f>-Oranlar!O42</f>
        <v>-6.5</v>
      </c>
      <c r="T42" s="26">
        <f>-Oranlar!I42</f>
        <v>-5.5</v>
      </c>
      <c r="U42" s="27">
        <f>Oranlar!V42</f>
        <v>224.5</v>
      </c>
      <c r="V42" s="27">
        <f>Oranlar!L42</f>
        <v>228.5</v>
      </c>
      <c r="W42" s="28">
        <f>(U42+S42)/2</f>
        <v>109.0</v>
      </c>
      <c r="X42" s="28">
        <f>(U42-S42)/2</f>
        <v>115.5</v>
      </c>
      <c r="Y42" s="16">
        <f>IF(G42=0.5,"",IF((G42&gt;0.5)=(E42&gt;0),1,0))</f>
        <v>0</v>
      </c>
      <c r="Z42" s="16">
        <f>IF(R42=0.5,"",IF((R42&gt;0.5)=(E42&gt;0),1,0))</f>
        <v>0</v>
      </c>
      <c r="AA42" s="29">
        <f>(G42-IF(E42&gt;0,1,0))^2</f>
        <v>0.45832900000000004</v>
      </c>
      <c r="AB42" s="29">
        <f>(R42-IF(E42&gt;0,1,0))^2</f>
        <v>0.48409582620814995</v>
      </c>
      <c r="AC42" s="28">
        <f>ABS(H42-E42)</f>
        <v>12.63</v>
      </c>
      <c r="AD42" s="28">
        <f>ABS(I42-E42)</f>
        <v>4.9</v>
      </c>
      <c r="AE42" s="28">
        <f>ABS(S42-E42)</f>
        <v>9.5</v>
      </c>
      <c r="AF42" s="28">
        <f>ABS(L42-F42)</f>
        <v>2.9799999999999898</v>
      </c>
      <c r="AG42" s="28">
        <f>ABS(M42-F42)</f>
        <v>2.9000000000000057</v>
      </c>
      <c r="AH42" s="28">
        <f>ABS(U42-F42)</f>
        <v>10.5</v>
      </c>
      <c r="AI42" s="28">
        <f>ABS(P42-C42)</f>
        <v>5.010000000000005</v>
      </c>
      <c r="AJ42" s="28">
        <f>ABS(W42-C42)</f>
        <v>10.0</v>
      </c>
      <c r="AK42" s="28">
        <f>ABS(Q42-D42)</f>
        <v>5.230000000000004</v>
      </c>
      <c r="AL42" s="28">
        <f>ABS(X42-D42)</f>
        <v>0.5</v>
      </c>
      <c r="AM42" s="17" t="str">
        <f>IF(H42&gt;S42,"Ev",IF(H42&lt;S42,"Dep",""))</f>
        <v>Dep</v>
      </c>
      <c r="AN42" s="17" t="str">
        <f>IF(AM42="","",IF(E42=S42,"Push",IF((E42&gt;S42)=(AM42="Ev"),"Kazandı","Kaybetti")))</f>
        <v>Kaybetti</v>
      </c>
      <c r="AO42" s="30">
        <f>IF(AM42="","",IF(AN42="Push",0,IF(AN42="Kazandı",IF(AM42="Ev",Oranlar!P42,Oranlar!Q42)-1,-1)))</f>
        <v>-1.0</v>
      </c>
      <c r="AP42" s="17" t="str">
        <f>IF(L42&gt;U42,"Üst",IF(L42&lt;U42,"Alt",""))</f>
        <v>Üst</v>
      </c>
      <c r="AQ42" s="17" t="str">
        <f>IF(AP42="","",IF(F42=U42,"Push",IF((F42&gt;U42)=(AP42="Üst"),"Kazandı","Kaybetti")))</f>
        <v>Kazandı</v>
      </c>
      <c r="AR42" s="30">
        <f>IF(AP42="","",IF(AQ42="Push",0,IF(AQ42="Kazandı",IF(AP42="Üst",Oranlar!W42,Oranlar!X42)-1,-1)))</f>
        <v>0.9090909090909092</v>
      </c>
      <c r="AS42" s="17" t="str">
        <f>IF(G42*Oranlar!R42&gt;1,"Ev",IF((1-G42)*Oranlar!S42&gt;1,"Dep",""))</f>
        <v>Ev</v>
      </c>
      <c r="AT42" s="30">
        <f>IF(AS42="","",IF((AS42="Ev")=(E42&gt;0),IF(AS42="Ev",Oranlar!R42,Oranlar!S42)-1,-1))</f>
        <v>2.15</v>
      </c>
      <c r="AU42" s="16">
        <f>IF(OR(H42=T42,S42=T42),"",IF((H42&gt;T42)=(S42&gt;T42),1,0))</f>
        <v>1</v>
      </c>
      <c r="AV42" s="16">
        <f>IF(OR(L42=V42,U42=V42),"",IF((L42&gt;V42)=(U42&gt;V42),1,0))</f>
        <v>0</v>
      </c>
      <c r="AW42" s="16">
        <f>IF(AND(E42&gt;=J42,E42&lt;=K42),1,0)</f>
        <v>1</v>
      </c>
      <c r="AX42" s="16">
        <f>IF(AND(F42&gt;=N42,F42&lt;=O42),1,0)</f>
        <v>1</v>
      </c>
    </row>
    <row r="43" spans="1:50">
      <c r="A43" s="21">
        <f>Oranlar!A43</f>
        <v>46090</v>
      </c>
      <c r="B43" s="22" t="str">
        <f>Oranlar!C43&amp;" @ "&amp;Oranlar!D43</f>
        <v>NYK @ LAC</v>
      </c>
      <c r="C43" s="23">
        <f>Oranlar!F43</f>
        <v>126</v>
      </c>
      <c r="D43" s="23">
        <f>Oranlar!E43</f>
        <v>118</v>
      </c>
      <c r="E43" s="15">
        <f>C43-D43</f>
        <v>8</v>
      </c>
      <c r="F43" s="16">
        <f>C43+D43</f>
        <v>244</v>
      </c>
      <c r="G43" s="24">
        <v>0.487</v>
      </c>
      <c r="H43" s="10">
        <v>-0.47</v>
      </c>
      <c r="I43" s="10">
        <v>-3.2</v>
      </c>
      <c r="J43" s="10">
        <v>-21</v>
      </c>
      <c r="K43" s="10">
        <v>15</v>
      </c>
      <c r="L43" s="11">
        <v>222.42</v>
      </c>
      <c r="M43" s="11">
        <v>222.7</v>
      </c>
      <c r="N43" s="11">
        <v>196</v>
      </c>
      <c r="O43" s="11">
        <v>249</v>
      </c>
      <c r="P43" s="11">
        <v>110.72</v>
      </c>
      <c r="Q43" s="11">
        <v>113.32</v>
      </c>
      <c r="R43" s="25">
        <f>Oranlar!Y43</f>
        <v>0.4572564612326044</v>
      </c>
      <c r="S43" s="26">
        <f>-Oranlar!O43</f>
        <v>-1.5</v>
      </c>
      <c r="T43" s="26">
        <f>-Oranlar!I43</f>
        <v>-1.5</v>
      </c>
      <c r="U43" s="27">
        <f>Oranlar!V43</f>
        <v>220.5</v>
      </c>
      <c r="V43" s="27">
        <f>Oranlar!L43</f>
        <v>220.5</v>
      </c>
      <c r="W43" s="28">
        <f>(U43+S43)/2</f>
        <v>109.5</v>
      </c>
      <c r="X43" s="28">
        <f>(U43-S43)/2</f>
        <v>111.0</v>
      </c>
      <c r="Y43" s="16">
        <f>IF(G43=0.5,"",IF((G43&gt;0.5)=(E43&gt;0),1,0))</f>
        <v>0</v>
      </c>
      <c r="Z43" s="16">
        <f>IF(R43=0.5,"",IF((R43&gt;0.5)=(E43&gt;0),1,0))</f>
        <v>0</v>
      </c>
      <c r="AA43" s="29">
        <f>(G43-IF(E43&gt;0,1,0))^2</f>
        <v>0.263169</v>
      </c>
      <c r="AB43" s="29">
        <f>(R43-IF(E43&gt;0,1,0))^2</f>
        <v>0.2945705488737554</v>
      </c>
      <c r="AC43" s="28">
        <f>ABS(H43-E43)</f>
        <v>8.47</v>
      </c>
      <c r="AD43" s="28">
        <f>ABS(I43-E43)</f>
        <v>11.2</v>
      </c>
      <c r="AE43" s="28">
        <f>ABS(S43-E43)</f>
        <v>9.5</v>
      </c>
      <c r="AF43" s="28">
        <f>ABS(L43-F43)</f>
        <v>21.580000000000013</v>
      </c>
      <c r="AG43" s="28">
        <f>ABS(M43-F43)</f>
        <v>21.30000000000001</v>
      </c>
      <c r="AH43" s="28">
        <f>ABS(U43-F43)</f>
        <v>23.5</v>
      </c>
      <c r="AI43" s="28">
        <f>ABS(P43-C43)</f>
        <v>15.280000000000001</v>
      </c>
      <c r="AJ43" s="28">
        <f>ABS(W43-C43)</f>
        <v>16.5</v>
      </c>
      <c r="AK43" s="28">
        <f>ABS(Q43-D43)</f>
        <v>4.680000000000007</v>
      </c>
      <c r="AL43" s="28">
        <f>ABS(X43-D43)</f>
        <v>7.0</v>
      </c>
      <c r="AM43" s="17" t="str">
        <f>IF(H43&gt;S43,"Ev",IF(H43&lt;S43,"Dep",""))</f>
        <v>Ev</v>
      </c>
      <c r="AN43" s="17" t="str">
        <f>IF(AM43="","",IF(E43=S43,"Push",IF((E43&gt;S43)=(AM43="Ev"),"Kazandı","Kaybetti")))</f>
        <v>Kazandı</v>
      </c>
      <c r="AO43" s="30">
        <f>IF(AM43="","",IF(AN43="Push",0,IF(AN43="Kazandı",IF(AM43="Ev",Oranlar!P43,Oranlar!Q43)-1,-1)))</f>
        <v>0.925925925925926</v>
      </c>
      <c r="AP43" s="17" t="str">
        <f>IF(L43&gt;U43,"Üst",IF(L43&lt;U43,"Alt",""))</f>
        <v>Üst</v>
      </c>
      <c r="AQ43" s="17" t="str">
        <f>IF(AP43="","",IF(F43=U43,"Push",IF((F43&gt;U43)=(AP43="Üst"),"Kazandı","Kaybetti")))</f>
        <v>Kazandı</v>
      </c>
      <c r="AR43" s="30">
        <f>IF(AP43="","",IF(AQ43="Push",0,IF(AQ43="Kazandı",IF(AP43="Üst",Oranlar!W43,Oranlar!X43)-1,-1)))</f>
        <v>0.8928571428571428</v>
      </c>
      <c r="AS43" s="17" t="str">
        <f>IF(G43*Oranlar!R43&gt;1,"Ev",IF((1-G43)*Oranlar!S43&gt;1,"Dep",""))</f>
        <v>Ev</v>
      </c>
      <c r="AT43" s="30">
        <f>IF(AS43="","",IF((AS43="Ev")=(E43&gt;0),IF(AS43="Ev",Oranlar!R43,Oranlar!S43)-1,-1))</f>
        <v>1.1</v>
      </c>
      <c r="AU43" s="16">
        <f>IF(OR(H43=T43,S43=T43),"",IF((H43&gt;T43)=(S43&gt;T43),1,0))</f>
        <v/>
      </c>
      <c r="AV43" s="16">
        <f>IF(OR(L43=V43,U43=V43),"",IF((L43&gt;V43)=(U43&gt;V43),1,0))</f>
        <v/>
      </c>
      <c r="AW43" s="16">
        <f>IF(AND(E43&gt;=J43,E43&lt;=K43),1,0)</f>
        <v>1</v>
      </c>
      <c r="AX43" s="16">
        <f>IF(AND(F43&gt;=N43,F43&lt;=O43),1,0)</f>
        <v>1</v>
      </c>
    </row>
    <row r="44" spans="1:50">
      <c r="A44" s="21">
        <f>Oranlar!A44</f>
        <v>46091</v>
      </c>
      <c r="B44" s="22" t="str">
        <f>Oranlar!C44&amp;" @ "&amp;Oranlar!D44</f>
        <v>MEM @ PHI</v>
      </c>
      <c r="C44" s="23">
        <f>Oranlar!F44</f>
        <v>139</v>
      </c>
      <c r="D44" s="23">
        <f>Oranlar!E44</f>
        <v>129</v>
      </c>
      <c r="E44" s="15">
        <f>C44-D44</f>
        <v>10</v>
      </c>
      <c r="F44" s="16">
        <f>C44+D44</f>
        <v>268</v>
      </c>
      <c r="G44" s="24">
        <v>0.444</v>
      </c>
      <c r="H44" s="10">
        <v>-0.95</v>
      </c>
      <c r="I44" s="10">
        <v>2.7</v>
      </c>
      <c r="J44" s="10">
        <v>-16</v>
      </c>
      <c r="K44" s="10">
        <v>21</v>
      </c>
      <c r="L44" s="11">
        <v>232.48</v>
      </c>
      <c r="M44" s="11">
        <v>232.3</v>
      </c>
      <c r="N44" s="11">
        <v>205</v>
      </c>
      <c r="O44" s="11">
        <v>260</v>
      </c>
      <c r="P44" s="11">
        <v>116.36</v>
      </c>
      <c r="Q44" s="11">
        <v>116.42</v>
      </c>
      <c r="R44" s="25">
        <f>Oranlar!Y44</f>
        <v>0.6309403437815976</v>
      </c>
      <c r="S44" s="26">
        <f>-Oranlar!O44</f>
        <v>4.5</v>
      </c>
      <c r="T44" s="26">
        <f>-Oranlar!I44</f>
        <v>5.5</v>
      </c>
      <c r="U44" s="27">
        <f>Oranlar!V44</f>
        <v>229.5</v>
      </c>
      <c r="V44" s="27">
        <f>Oranlar!L44</f>
        <v>229.5</v>
      </c>
      <c r="W44" s="28">
        <f>(U44+S44)/2</f>
        <v>117.0</v>
      </c>
      <c r="X44" s="28">
        <f>(U44-S44)/2</f>
        <v>112.5</v>
      </c>
      <c r="Y44" s="16">
        <f>IF(G44=0.5,"",IF((G44&gt;0.5)=(E44&gt;0),1,0))</f>
        <v>0</v>
      </c>
      <c r="Z44" s="16">
        <f>IF(R44=0.5,"",IF((R44&gt;0.5)=(E44&gt;0),1,0))</f>
        <v>1</v>
      </c>
      <c r="AA44" s="29">
        <f>(G44-IF(E44&gt;0,1,0))^2</f>
        <v>0.3091360000000001</v>
      </c>
      <c r="AB44" s="29">
        <f>(R44-IF(E44&gt;0,1,0))^2</f>
        <v>0.1362050298480454</v>
      </c>
      <c r="AC44" s="28">
        <f>ABS(H44-E44)</f>
        <v>10.95</v>
      </c>
      <c r="AD44" s="28">
        <f>ABS(I44-E44)</f>
        <v>7.3</v>
      </c>
      <c r="AE44" s="28">
        <f>ABS(S44-E44)</f>
        <v>5.5</v>
      </c>
      <c r="AF44" s="28">
        <f>ABS(L44-F44)</f>
        <v>35.52000000000001</v>
      </c>
      <c r="AG44" s="28">
        <f>ABS(M44-F44)</f>
        <v>35.69999999999999</v>
      </c>
      <c r="AH44" s="28">
        <f>ABS(U44-F44)</f>
        <v>38.5</v>
      </c>
      <c r="AI44" s="28">
        <f>ABS(P44-C44)</f>
        <v>22.64</v>
      </c>
      <c r="AJ44" s="28">
        <f>ABS(W44-C44)</f>
        <v>22.0</v>
      </c>
      <c r="AK44" s="28">
        <f>ABS(Q44-D44)</f>
        <v>12.579999999999998</v>
      </c>
      <c r="AL44" s="28">
        <f>ABS(X44-D44)</f>
        <v>16.5</v>
      </c>
      <c r="AM44" s="17" t="str">
        <f>IF(H44&gt;S44,"Ev",IF(H44&lt;S44,"Dep",""))</f>
        <v>Dep</v>
      </c>
      <c r="AN44" s="17" t="str">
        <f>IF(AM44="","",IF(E44=S44,"Push",IF((E44&gt;S44)=(AM44="Ev"),"Kazandı","Kaybetti")))</f>
        <v>Kaybetti</v>
      </c>
      <c r="AO44" s="30">
        <f>IF(AM44="","",IF(AN44="Push",0,IF(AN44="Kazandı",IF(AM44="Ev",Oranlar!P44,Oranlar!Q44)-1,-1)))</f>
        <v>-1.0</v>
      </c>
      <c r="AP44" s="17" t="str">
        <f>IF(L44&gt;U44,"Üst",IF(L44&lt;U44,"Alt",""))</f>
        <v>Üst</v>
      </c>
      <c r="AQ44" s="17" t="str">
        <f>IF(AP44="","",IF(F44=U44,"Push",IF((F44&gt;U44)=(AP44="Üst"),"Kazandı","Kaybetti")))</f>
        <v>Kazandı</v>
      </c>
      <c r="AR44" s="30">
        <f>IF(AP44="","",IF(AQ44="Push",0,IF(AQ44="Kazandı",IF(AP44="Üst",Oranlar!W44,Oranlar!X44)-1,-1)))</f>
        <v>0.925925925925926</v>
      </c>
      <c r="AS44" s="17" t="str">
        <f>IF(G44*Oranlar!R44&gt;1,"Ev",IF((1-G44)*Oranlar!S44&gt;1,"Dep",""))</f>
        <v>Dep</v>
      </c>
      <c r="AT44" s="30">
        <f>IF(AS44="","",IF((AS44="Ev")=(E44&gt;0),IF(AS44="Ev",Oranlar!R44,Oranlar!S44)-1,-1))</f>
        <v>-1.0</v>
      </c>
      <c r="AU44" s="16">
        <f>IF(OR(H44=T44,S44=T44),"",IF((H44&gt;T44)=(S44&gt;T44),1,0))</f>
        <v>1</v>
      </c>
      <c r="AV44" s="16">
        <f>IF(OR(L44=V44,U44=V44),"",IF((L44&gt;V44)=(U44&gt;V44),1,0))</f>
        <v/>
      </c>
      <c r="AW44" s="16">
        <f>IF(AND(E44&gt;=J44,E44&lt;=K44),1,0)</f>
        <v>1</v>
      </c>
      <c r="AX44" s="16">
        <f>IF(AND(F44&gt;=N44,F44&lt;=O44),1,0)</f>
        <v>0</v>
      </c>
    </row>
    <row r="45" spans="1:50">
      <c r="A45" s="21">
        <f>Oranlar!A45</f>
        <v>46091</v>
      </c>
      <c r="B45" s="22" t="str">
        <f>Oranlar!C45&amp;" @ "&amp;Oranlar!D45</f>
        <v>DET @ BKN</v>
      </c>
      <c r="C45" s="23">
        <f>Oranlar!F45</f>
        <v>100</v>
      </c>
      <c r="D45" s="23">
        <f>Oranlar!E45</f>
        <v>138</v>
      </c>
      <c r="E45" s="15">
        <f>C45-D45</f>
        <v>-38</v>
      </c>
      <c r="F45" s="16">
        <f>C45+D45</f>
        <v>238</v>
      </c>
      <c r="G45" s="24">
        <v>0.211</v>
      </c>
      <c r="H45" s="10">
        <v>-19.79</v>
      </c>
      <c r="I45" s="10">
        <v>-12.1</v>
      </c>
      <c r="J45" s="10">
        <v>-30</v>
      </c>
      <c r="K45" s="10">
        <v>6</v>
      </c>
      <c r="L45" s="11">
        <v>223.82</v>
      </c>
      <c r="M45" s="11">
        <v>227.1</v>
      </c>
      <c r="N45" s="11">
        <v>200</v>
      </c>
      <c r="O45" s="11">
        <v>254</v>
      </c>
      <c r="P45" s="11">
        <v>107.47</v>
      </c>
      <c r="Q45" s="11">
        <v>121.01</v>
      </c>
      <c r="R45" s="25">
        <f>Oranlar!Y45</f>
        <v>0.12</v>
      </c>
      <c r="S45" s="26">
        <f>-Oranlar!O45</f>
        <v>-15.5</v>
      </c>
      <c r="T45" s="26">
        <f>-Oranlar!I45</f>
        <v>-14.5</v>
      </c>
      <c r="U45" s="27">
        <f>Oranlar!V45</f>
        <v>216.5</v>
      </c>
      <c r="V45" s="27">
        <f>Oranlar!L45</f>
        <v>216.5</v>
      </c>
      <c r="W45" s="28">
        <f>(U45+S45)/2</f>
        <v>100.5</v>
      </c>
      <c r="X45" s="28">
        <f>(U45-S45)/2</f>
        <v>116.0</v>
      </c>
      <c r="Y45" s="16">
        <f>IF(G45=0.5,"",IF((G45&gt;0.5)=(E45&gt;0),1,0))</f>
        <v>1</v>
      </c>
      <c r="Z45" s="16">
        <f>IF(R45=0.5,"",IF((R45&gt;0.5)=(E45&gt;0),1,0))</f>
        <v>1</v>
      </c>
      <c r="AA45" s="29">
        <f>(G45-IF(E45&gt;0,1,0))^2</f>
        <v>0.044521</v>
      </c>
      <c r="AB45" s="29">
        <f>(R45-IF(E45&gt;0,1,0))^2</f>
        <v>0.0144</v>
      </c>
      <c r="AC45" s="28">
        <f>ABS(H45-E45)</f>
        <v>18.21</v>
      </c>
      <c r="AD45" s="28">
        <f>ABS(I45-E45)</f>
        <v>25.9</v>
      </c>
      <c r="AE45" s="28">
        <f>ABS(S45-E45)</f>
        <v>22.5</v>
      </c>
      <c r="AF45" s="28">
        <f>ABS(L45-F45)</f>
        <v>14.180000000000007</v>
      </c>
      <c r="AG45" s="28">
        <f>ABS(M45-F45)</f>
        <v>10.900000000000006</v>
      </c>
      <c r="AH45" s="28">
        <f>ABS(U45-F45)</f>
        <v>21.5</v>
      </c>
      <c r="AI45" s="28">
        <f>ABS(P45-C45)</f>
        <v>7.469999999999999</v>
      </c>
      <c r="AJ45" s="28">
        <f>ABS(W45-C45)</f>
        <v>0.5</v>
      </c>
      <c r="AK45" s="28">
        <f>ABS(Q45-D45)</f>
        <v>16.989999999999995</v>
      </c>
      <c r="AL45" s="28">
        <f>ABS(X45-D45)</f>
        <v>22.0</v>
      </c>
      <c r="AM45" s="17" t="str">
        <f>IF(H45&gt;S45,"Ev",IF(H45&lt;S45,"Dep",""))</f>
        <v>Dep</v>
      </c>
      <c r="AN45" s="17" t="str">
        <f>IF(AM45="","",IF(E45=S45,"Push",IF((E45&gt;S45)=(AM45="Ev"),"Kazandı","Kaybetti")))</f>
        <v>Kazandı</v>
      </c>
      <c r="AO45" s="30">
        <f>IF(AM45="","",IF(AN45="Push",0,IF(AN45="Kazandı",IF(AM45="Ev",Oranlar!P45,Oranlar!Q45)-1,-1)))</f>
        <v>0.9803921568627452</v>
      </c>
      <c r="AP45" s="17" t="str">
        <f>IF(L45&gt;U45,"Üst",IF(L45&lt;U45,"Alt",""))</f>
        <v>Üst</v>
      </c>
      <c r="AQ45" s="17" t="str">
        <f>IF(AP45="","",IF(F45=U45,"Push",IF((F45&gt;U45)=(AP45="Üst"),"Kazandı","Kaybetti")))</f>
        <v>Kazandı</v>
      </c>
      <c r="AR45" s="30">
        <f>IF(AP45="","",IF(AQ45="Push",0,IF(AQ45="Kazandı",IF(AP45="Üst",Oranlar!W45,Oranlar!X45)-1,-1)))</f>
        <v>0.9523809523809523</v>
      </c>
      <c r="AS45" s="17" t="str">
        <f>IF(G45*Oranlar!R45&gt;1,"Ev",IF((1-G45)*Oranlar!S45&gt;1,"Dep",""))</f>
        <v>Ev</v>
      </c>
      <c r="AT45" s="30">
        <f>IF(AS45="","",IF((AS45="Ev")=(E45&gt;0),IF(AS45="Ev",Oranlar!R45,Oranlar!S45)-1,-1))</f>
        <v>-1.0</v>
      </c>
      <c r="AU45" s="16">
        <f>IF(OR(H45=T45,S45=T45),"",IF((H45&gt;T45)=(S45&gt;T45),1,0))</f>
        <v>1</v>
      </c>
      <c r="AV45" s="16">
        <f>IF(OR(L45=V45,U45=V45),"",IF((L45&gt;V45)=(U45&gt;V45),1,0))</f>
        <v/>
      </c>
      <c r="AW45" s="16">
        <f>IF(AND(E45&gt;=J45,E45&lt;=K45),1,0)</f>
        <v>0</v>
      </c>
      <c r="AX45" s="16">
        <f>IF(AND(F45&gt;=N45,F45&lt;=O45),1,0)</f>
        <v>1</v>
      </c>
    </row>
    <row r="46" spans="1:50">
      <c r="A46" s="21">
        <f>Oranlar!A46</f>
        <v>46091</v>
      </c>
      <c r="B46" s="22" t="str">
        <f>Oranlar!C46&amp;" @ "&amp;Oranlar!D46</f>
        <v>WAS @ MIA</v>
      </c>
      <c r="C46" s="23">
        <f>Oranlar!F46</f>
        <v>150</v>
      </c>
      <c r="D46" s="23">
        <f>Oranlar!E46</f>
        <v>129</v>
      </c>
      <c r="E46" s="15">
        <f>C46-D46</f>
        <v>21</v>
      </c>
      <c r="F46" s="16">
        <f>C46+D46</f>
        <v>279</v>
      </c>
      <c r="G46" s="24">
        <v>0.736</v>
      </c>
      <c r="H46" s="10">
        <v>7.92</v>
      </c>
      <c r="I46" s="10">
        <v>11.3</v>
      </c>
      <c r="J46" s="10">
        <v>-7</v>
      </c>
      <c r="K46" s="10">
        <v>30</v>
      </c>
      <c r="L46" s="11">
        <v>234.4</v>
      </c>
      <c r="M46" s="11">
        <v>233.5</v>
      </c>
      <c r="N46" s="11">
        <v>206</v>
      </c>
      <c r="O46" s="11">
        <v>261</v>
      </c>
      <c r="P46" s="11">
        <v>121.04</v>
      </c>
      <c r="Q46" s="11">
        <v>113.97</v>
      </c>
      <c r="R46" s="25">
        <f>Oranlar!Y46</f>
        <v>0.8869565217391304</v>
      </c>
      <c r="S46" s="26">
        <f>-Oranlar!O46</f>
        <v>15.5</v>
      </c>
      <c r="T46" s="26">
        <f>-Oranlar!I46</f>
        <v>15.5</v>
      </c>
      <c r="U46" s="27">
        <f>Oranlar!V46</f>
        <v>235.5</v>
      </c>
      <c r="V46" s="27">
        <f>Oranlar!L46</f>
        <v>241.5</v>
      </c>
      <c r="W46" s="28">
        <f>(U46+S46)/2</f>
        <v>125.5</v>
      </c>
      <c r="X46" s="28">
        <f>(U46-S46)/2</f>
        <v>110.0</v>
      </c>
      <c r="Y46" s="16">
        <f>IF(G46=0.5,"",IF((G46&gt;0.5)=(E46&gt;0),1,0))</f>
        <v>1</v>
      </c>
      <c r="Z46" s="16">
        <f>IF(R46=0.5,"",IF((R46&gt;0.5)=(E46&gt;0),1,0))</f>
        <v>1</v>
      </c>
      <c r="AA46" s="29">
        <f>(G46-IF(E46&gt;0,1,0))^2</f>
        <v>0.06969600000000001</v>
      </c>
      <c r="AB46" s="29">
        <f>(R46-IF(E46&gt;0,1,0))^2</f>
        <v>0.012778827977315693</v>
      </c>
      <c r="AC46" s="28">
        <f>ABS(H46-E46)</f>
        <v>13.08</v>
      </c>
      <c r="AD46" s="28">
        <f>ABS(I46-E46)</f>
        <v>9.7</v>
      </c>
      <c r="AE46" s="28">
        <f>ABS(S46-E46)</f>
        <v>5.5</v>
      </c>
      <c r="AF46" s="28">
        <f>ABS(L46-F46)</f>
        <v>44.599999999999994</v>
      </c>
      <c r="AG46" s="28">
        <f>ABS(M46-F46)</f>
        <v>45.5</v>
      </c>
      <c r="AH46" s="28">
        <f>ABS(U46-F46)</f>
        <v>43.5</v>
      </c>
      <c r="AI46" s="28">
        <f>ABS(P46-C46)</f>
        <v>28.959999999999994</v>
      </c>
      <c r="AJ46" s="28">
        <f>ABS(W46-C46)</f>
        <v>24.5</v>
      </c>
      <c r="AK46" s="28">
        <f>ABS(Q46-D46)</f>
        <v>15.030000000000001</v>
      </c>
      <c r="AL46" s="28">
        <f>ABS(X46-D46)</f>
        <v>19.0</v>
      </c>
      <c r="AM46" s="17" t="str">
        <f>IF(H46&gt;S46,"Ev",IF(H46&lt;S46,"Dep",""))</f>
        <v>Dep</v>
      </c>
      <c r="AN46" s="17" t="str">
        <f>IF(AM46="","",IF(E46=S46,"Push",IF((E46&gt;S46)=(AM46="Ev"),"Kazandı","Kaybetti")))</f>
        <v>Kaybetti</v>
      </c>
      <c r="AO46" s="30">
        <f>IF(AM46="","",IF(AN46="Push",0,IF(AN46="Kazandı",IF(AM46="Ev",Oranlar!P46,Oranlar!Q46)-1,-1)))</f>
        <v>-1.0</v>
      </c>
      <c r="AP46" s="17" t="str">
        <f>IF(L46&gt;U46,"Üst",IF(L46&lt;U46,"Alt",""))</f>
        <v>Alt</v>
      </c>
      <c r="AQ46" s="17" t="str">
        <f>IF(AP46="","",IF(F46=U46,"Push",IF((F46&gt;U46)=(AP46="Üst"),"Kazandı","Kaybetti")))</f>
        <v>Kaybetti</v>
      </c>
      <c r="AR46" s="30">
        <f>IF(AP46="","",IF(AQ46="Push",0,IF(AQ46="Kazandı",IF(AP46="Üst",Oranlar!W46,Oranlar!X46)-1,-1)))</f>
        <v>-1.0</v>
      </c>
      <c r="AS46" s="17" t="str">
        <f>IF(G46*Oranlar!R46&gt;1,"Ev",IF((1-G46)*Oranlar!S46&gt;1,"Dep",""))</f>
        <v>Dep</v>
      </c>
      <c r="AT46" s="30">
        <f>IF(AS46="","",IF((AS46="Ev")=(E46&gt;0),IF(AS46="Ev",Oranlar!R46,Oranlar!S46)-1,-1))</f>
        <v>-1.0</v>
      </c>
      <c r="AU46" s="16">
        <f>IF(OR(H46=T46,S46=T46),"",IF((H46&gt;T46)=(S46&gt;T46),1,0))</f>
        <v/>
      </c>
      <c r="AV46" s="16">
        <f>IF(OR(L46=V46,U46=V46),"",IF((L46&gt;V46)=(U46&gt;V46),1,0))</f>
        <v>1</v>
      </c>
      <c r="AW46" s="16">
        <f>IF(AND(E46&gt;=J46,E46&lt;=K46),1,0)</f>
        <v>1</v>
      </c>
      <c r="AX46" s="16">
        <f>IF(AND(F46&gt;=N46,F46&lt;=O46),1,0)</f>
        <v>0</v>
      </c>
    </row>
    <row r="47" spans="1:50">
      <c r="A47" s="21">
        <f>Oranlar!A47</f>
        <v>46091</v>
      </c>
      <c r="B47" s="22" t="str">
        <f>Oranlar!C47&amp;" @ "&amp;Oranlar!D47</f>
        <v>DAL @ ATL</v>
      </c>
      <c r="C47" s="23">
        <f>Oranlar!F47</f>
        <v>124</v>
      </c>
      <c r="D47" s="23">
        <f>Oranlar!E47</f>
        <v>112</v>
      </c>
      <c r="E47" s="15">
        <f>C47-D47</f>
        <v>12</v>
      </c>
      <c r="F47" s="16">
        <f>C47+D47</f>
        <v>236</v>
      </c>
      <c r="G47" s="24">
        <v>0.671</v>
      </c>
      <c r="H47" s="10">
        <v>4.6</v>
      </c>
      <c r="I47" s="10">
        <v>7.4</v>
      </c>
      <c r="J47" s="10">
        <v>-11</v>
      </c>
      <c r="K47" s="10">
        <v>26</v>
      </c>
      <c r="L47" s="11">
        <v>229.35</v>
      </c>
      <c r="M47" s="11">
        <v>234.6</v>
      </c>
      <c r="N47" s="11">
        <v>207</v>
      </c>
      <c r="O47" s="11">
        <v>262</v>
      </c>
      <c r="P47" s="11">
        <v>118.95</v>
      </c>
      <c r="Q47" s="11">
        <v>113.68</v>
      </c>
      <c r="R47" s="25">
        <f>Oranlar!Y47</f>
        <v>0.7768331562167907</v>
      </c>
      <c r="S47" s="26">
        <f>-Oranlar!O47</f>
        <v>9.5</v>
      </c>
      <c r="T47" s="26">
        <f>-Oranlar!I47</f>
        <v>8.5</v>
      </c>
      <c r="U47" s="27">
        <f>Oranlar!V47</f>
        <v>240.5</v>
      </c>
      <c r="V47" s="27">
        <f>Oranlar!L47</f>
        <v>238.5</v>
      </c>
      <c r="W47" s="28">
        <f>(U47+S47)/2</f>
        <v>125.0</v>
      </c>
      <c r="X47" s="28">
        <f>(U47-S47)/2</f>
        <v>115.5</v>
      </c>
      <c r="Y47" s="16">
        <f>IF(G47=0.5,"",IF((G47&gt;0.5)=(E47&gt;0),1,0))</f>
        <v>1</v>
      </c>
      <c r="Z47" s="16">
        <f>IF(R47=0.5,"",IF((R47&gt;0.5)=(E47&gt;0),1,0))</f>
        <v>1</v>
      </c>
      <c r="AA47" s="29">
        <f>(G47-IF(E47&gt;0,1,0))^2</f>
        <v>0.10824099999999998</v>
      </c>
      <c r="AB47" s="29">
        <f>(R47-IF(E47&gt;0,1,0))^2</f>
        <v>0.049803440164159336</v>
      </c>
      <c r="AC47" s="28">
        <f>ABS(H47-E47)</f>
        <v>7.4</v>
      </c>
      <c r="AD47" s="28">
        <f>ABS(I47-E47)</f>
        <v>4.6</v>
      </c>
      <c r="AE47" s="28">
        <f>ABS(S47-E47)</f>
        <v>2.5</v>
      </c>
      <c r="AF47" s="28">
        <f>ABS(L47-F47)</f>
        <v>6.650000000000006</v>
      </c>
      <c r="AG47" s="28">
        <f>ABS(M47-F47)</f>
        <v>1.4000000000000057</v>
      </c>
      <c r="AH47" s="28">
        <f>ABS(U47-F47)</f>
        <v>4.5</v>
      </c>
      <c r="AI47" s="28">
        <f>ABS(P47-C47)</f>
        <v>5.049999999999997</v>
      </c>
      <c r="AJ47" s="28">
        <f>ABS(W47-C47)</f>
        <v>1.0</v>
      </c>
      <c r="AK47" s="28">
        <f>ABS(Q47-D47)</f>
        <v>1.6800000000000068</v>
      </c>
      <c r="AL47" s="28">
        <f>ABS(X47-D47)</f>
        <v>3.5</v>
      </c>
      <c r="AM47" s="17" t="str">
        <f>IF(H47&gt;S47,"Ev",IF(H47&lt;S47,"Dep",""))</f>
        <v>Dep</v>
      </c>
      <c r="AN47" s="17" t="str">
        <f>IF(AM47="","",IF(E47=S47,"Push",IF((E47&gt;S47)=(AM47="Ev"),"Kazandı","Kaybetti")))</f>
        <v>Kaybetti</v>
      </c>
      <c r="AO47" s="30">
        <f>IF(AM47="","",IF(AN47="Push",0,IF(AN47="Kazandı",IF(AM47="Ev",Oranlar!P47,Oranlar!Q47)-1,-1)))</f>
        <v>-1.0</v>
      </c>
      <c r="AP47" s="17" t="str">
        <f>IF(L47&gt;U47,"Üst",IF(L47&lt;U47,"Alt",""))</f>
        <v>Alt</v>
      </c>
      <c r="AQ47" s="17" t="str">
        <f>IF(AP47="","",IF(F47=U47,"Push",IF((F47&gt;U47)=(AP47="Üst"),"Kazandı","Kaybetti")))</f>
        <v>Kazandı</v>
      </c>
      <c r="AR47" s="30">
        <f>IF(AP47="","",IF(AQ47="Push",0,IF(AQ47="Kazandı",IF(AP47="Üst",Oranlar!W47,Oranlar!X47)-1,-1)))</f>
        <v>0.925925925925926</v>
      </c>
      <c r="AS47" s="17" t="str">
        <f>IF(G47*Oranlar!R47&gt;1,"Ev",IF((1-G47)*Oranlar!S47&gt;1,"Dep",""))</f>
        <v>Dep</v>
      </c>
      <c r="AT47" s="30">
        <f>IF(AS47="","",IF((AS47="Ev")=(E47&gt;0),IF(AS47="Ev",Oranlar!R47,Oranlar!S47)-1,-1))</f>
        <v>-1.0</v>
      </c>
      <c r="AU47" s="16">
        <f>IF(OR(H47=T47,S47=T47),"",IF((H47&gt;T47)=(S47&gt;T47),1,0))</f>
        <v>0</v>
      </c>
      <c r="AV47" s="16">
        <f>IF(OR(L47=V47,U47=V47),"",IF((L47&gt;V47)=(U47&gt;V47),1,0))</f>
        <v>0</v>
      </c>
      <c r="AW47" s="16">
        <f>IF(AND(E47&gt;=J47,E47&lt;=K47),1,0)</f>
        <v>1</v>
      </c>
      <c r="AX47" s="16">
        <f>IF(AND(F47&gt;=N47,F47&lt;=O47),1,0)</f>
        <v>1</v>
      </c>
    </row>
    <row r="48" spans="1:50">
      <c r="A48" s="21">
        <f>Oranlar!A48</f>
        <v>46091</v>
      </c>
      <c r="B48" s="22" t="str">
        <f>Oranlar!C48&amp;" @ "&amp;Oranlar!D48</f>
        <v>TOR @ HOU</v>
      </c>
      <c r="C48" s="23">
        <f>Oranlar!F48</f>
        <v>113</v>
      </c>
      <c r="D48" s="23">
        <f>Oranlar!E48</f>
        <v>99</v>
      </c>
      <c r="E48" s="15">
        <f>C48-D48</f>
        <v>14</v>
      </c>
      <c r="F48" s="16">
        <f>C48+D48</f>
        <v>212</v>
      </c>
      <c r="G48" s="24">
        <v>0.671</v>
      </c>
      <c r="H48" s="10">
        <v>7.25</v>
      </c>
      <c r="I48" s="10">
        <v>4.5</v>
      </c>
      <c r="J48" s="10">
        <v>-13</v>
      </c>
      <c r="K48" s="10">
        <v>23</v>
      </c>
      <c r="L48" s="11">
        <v>223.67</v>
      </c>
      <c r="M48" s="11">
        <v>223.7</v>
      </c>
      <c r="N48" s="11">
        <v>197</v>
      </c>
      <c r="O48" s="11">
        <v>250</v>
      </c>
      <c r="P48" s="11">
        <v>113.78</v>
      </c>
      <c r="Q48" s="11">
        <v>108.19</v>
      </c>
      <c r="R48" s="25">
        <f>Oranlar!Y48</f>
        <v>0.6309403437815976</v>
      </c>
      <c r="S48" s="26">
        <f>-Oranlar!O48</f>
        <v>4.5</v>
      </c>
      <c r="T48" s="26">
        <f>-Oranlar!I48</f>
        <v>5.5</v>
      </c>
      <c r="U48" s="27">
        <f>Oranlar!V48</f>
        <v>220.5</v>
      </c>
      <c r="V48" s="27">
        <f>Oranlar!L48</f>
        <v>218.5</v>
      </c>
      <c r="W48" s="28">
        <f>(U48+S48)/2</f>
        <v>112.5</v>
      </c>
      <c r="X48" s="28">
        <f>(U48-S48)/2</f>
        <v>108.0</v>
      </c>
      <c r="Y48" s="16">
        <f>IF(G48=0.5,"",IF((G48&gt;0.5)=(E48&gt;0),1,0))</f>
        <v>1</v>
      </c>
      <c r="Z48" s="16">
        <f>IF(R48=0.5,"",IF((R48&gt;0.5)=(E48&gt;0),1,0))</f>
        <v>1</v>
      </c>
      <c r="AA48" s="29">
        <f>(G48-IF(E48&gt;0,1,0))^2</f>
        <v>0.10824099999999998</v>
      </c>
      <c r="AB48" s="29">
        <f>(R48-IF(E48&gt;0,1,0))^2</f>
        <v>0.1362050298480454</v>
      </c>
      <c r="AC48" s="28">
        <f>ABS(H48-E48)</f>
        <v>6.75</v>
      </c>
      <c r="AD48" s="28">
        <f>ABS(I48-E48)</f>
        <v>9.5</v>
      </c>
      <c r="AE48" s="28">
        <f>ABS(S48-E48)</f>
        <v>9.5</v>
      </c>
      <c r="AF48" s="28">
        <f>ABS(L48-F48)</f>
        <v>11.669999999999987</v>
      </c>
      <c r="AG48" s="28">
        <f>ABS(M48-F48)</f>
        <v>11.699999999999989</v>
      </c>
      <c r="AH48" s="28">
        <f>ABS(U48-F48)</f>
        <v>8.5</v>
      </c>
      <c r="AI48" s="28">
        <f>ABS(P48-C48)</f>
        <v>0.7800000000000011</v>
      </c>
      <c r="AJ48" s="28">
        <f>ABS(W48-C48)</f>
        <v>0.5</v>
      </c>
      <c r="AK48" s="28">
        <f>ABS(Q48-D48)</f>
        <v>9.189999999999998</v>
      </c>
      <c r="AL48" s="28">
        <f>ABS(X48-D48)</f>
        <v>9.0</v>
      </c>
      <c r="AM48" s="17" t="str">
        <f>IF(H48&gt;S48,"Ev",IF(H48&lt;S48,"Dep",""))</f>
        <v>Ev</v>
      </c>
      <c r="AN48" s="17" t="str">
        <f>IF(AM48="","",IF(E48=S48,"Push",IF((E48&gt;S48)=(AM48="Ev"),"Kazandı","Kaybetti")))</f>
        <v>Kazandı</v>
      </c>
      <c r="AO48" s="30">
        <f>IF(AM48="","",IF(AN48="Push",0,IF(AN48="Kazandı",IF(AM48="Ev",Oranlar!P48,Oranlar!Q48)-1,-1)))</f>
        <v>0.925925925925926</v>
      </c>
      <c r="AP48" s="17" t="str">
        <f>IF(L48&gt;U48,"Üst",IF(L48&lt;U48,"Alt",""))</f>
        <v>Üst</v>
      </c>
      <c r="AQ48" s="17" t="str">
        <f>IF(AP48="","",IF(F48=U48,"Push",IF((F48&gt;U48)=(AP48="Üst"),"Kazandı","Kaybetti")))</f>
        <v>Kaybetti</v>
      </c>
      <c r="AR48" s="30">
        <f>IF(AP48="","",IF(AQ48="Push",0,IF(AQ48="Kazandı",IF(AP48="Üst",Oranlar!W48,Oranlar!X48)-1,-1)))</f>
        <v>-1.0</v>
      </c>
      <c r="AS48" s="17" t="str">
        <f>IF(G48*Oranlar!R48&gt;1,"Ev",IF((1-G48)*Oranlar!S48&gt;1,"Dep",""))</f>
        <v>Ev</v>
      </c>
      <c r="AT48" s="30">
        <f>IF(AS48="","",IF((AS48="Ev")=(E48&gt;0),IF(AS48="Ev",Oranlar!R48,Oranlar!S48)-1,-1))</f>
        <v>0.5208333333333335</v>
      </c>
      <c r="AU48" s="16">
        <f>IF(OR(H48=T48,S48=T48),"",IF((H48&gt;T48)=(S48&gt;T48),1,0))</f>
        <v>0</v>
      </c>
      <c r="AV48" s="16">
        <f>IF(OR(L48=V48,U48=V48),"",IF((L48&gt;V48)=(U48&gt;V48),1,0))</f>
        <v>1</v>
      </c>
      <c r="AW48" s="16">
        <f>IF(AND(E48&gt;=J48,E48&lt;=K48),1,0)</f>
        <v>1</v>
      </c>
      <c r="AX48" s="16">
        <f>IF(AND(F48&gt;=N48,F48&lt;=O48),1,0)</f>
        <v>1</v>
      </c>
    </row>
    <row r="49" spans="1:50">
      <c r="A49" s="21">
        <f>Oranlar!A49</f>
        <v>46091</v>
      </c>
      <c r="B49" s="22" t="str">
        <f>Oranlar!C49&amp;" @ "&amp;Oranlar!D49</f>
        <v>PHX @ MIL</v>
      </c>
      <c r="C49" s="23">
        <f>Oranlar!F49</f>
        <v>114</v>
      </c>
      <c r="D49" s="23">
        <f>Oranlar!E49</f>
        <v>129</v>
      </c>
      <c r="E49" s="15">
        <f>C49-D49</f>
        <v>-15</v>
      </c>
      <c r="F49" s="16">
        <f>C49+D49</f>
        <v>243</v>
      </c>
      <c r="G49" s="24">
        <v>0.427</v>
      </c>
      <c r="H49" s="10">
        <v>-5.49</v>
      </c>
      <c r="I49" s="10">
        <v>-3</v>
      </c>
      <c r="J49" s="10">
        <v>-21</v>
      </c>
      <c r="K49" s="10">
        <v>15</v>
      </c>
      <c r="L49" s="11">
        <v>226.6</v>
      </c>
      <c r="M49" s="11">
        <v>226.3</v>
      </c>
      <c r="N49" s="11">
        <v>199</v>
      </c>
      <c r="O49" s="11">
        <v>253</v>
      </c>
      <c r="P49" s="11">
        <v>112.6</v>
      </c>
      <c r="Q49" s="11">
        <v>115.57</v>
      </c>
      <c r="R49" s="25">
        <f>Oranlar!Y49</f>
        <v>0.4572564612326044</v>
      </c>
      <c r="S49" s="26">
        <f>-Oranlar!O49</f>
        <v>-2.5</v>
      </c>
      <c r="T49" s="26">
        <f>-Oranlar!I49</f>
        <v>-2.5</v>
      </c>
      <c r="U49" s="27">
        <f>Oranlar!V49</f>
        <v>219.5</v>
      </c>
      <c r="V49" s="27">
        <f>Oranlar!L49</f>
        <v>218.5</v>
      </c>
      <c r="W49" s="28">
        <f>(U49+S49)/2</f>
        <v>108.5</v>
      </c>
      <c r="X49" s="28">
        <f>(U49-S49)/2</f>
        <v>111.0</v>
      </c>
      <c r="Y49" s="16">
        <f>IF(G49=0.5,"",IF((G49&gt;0.5)=(E49&gt;0),1,0))</f>
        <v>1</v>
      </c>
      <c r="Z49" s="16">
        <f>IF(R49=0.5,"",IF((R49&gt;0.5)=(E49&gt;0),1,0))</f>
        <v>1</v>
      </c>
      <c r="AA49" s="29">
        <f>(G49-IF(E49&gt;0,1,0))^2</f>
        <v>0.182329</v>
      </c>
      <c r="AB49" s="29">
        <f>(R49-IF(E49&gt;0,1,0))^2</f>
        <v>0.20908347133896424</v>
      </c>
      <c r="AC49" s="28">
        <f>ABS(H49-E49)</f>
        <v>9.51</v>
      </c>
      <c r="AD49" s="28">
        <f>ABS(I49-E49)</f>
        <v>12.0</v>
      </c>
      <c r="AE49" s="28">
        <f>ABS(S49-E49)</f>
        <v>12.5</v>
      </c>
      <c r="AF49" s="28">
        <f>ABS(L49-F49)</f>
        <v>16.400000000000006</v>
      </c>
      <c r="AG49" s="28">
        <f>ABS(M49-F49)</f>
        <v>16.69999999999999</v>
      </c>
      <c r="AH49" s="28">
        <f>ABS(U49-F49)</f>
        <v>23.5</v>
      </c>
      <c r="AI49" s="28">
        <f>ABS(P49-C49)</f>
        <v>1.4000000000000057</v>
      </c>
      <c r="AJ49" s="28">
        <f>ABS(W49-C49)</f>
        <v>5.5</v>
      </c>
      <c r="AK49" s="28">
        <f>ABS(Q49-D49)</f>
        <v>13.430000000000007</v>
      </c>
      <c r="AL49" s="28">
        <f>ABS(X49-D49)</f>
        <v>18.0</v>
      </c>
      <c r="AM49" s="17" t="str">
        <f>IF(H49&gt;S49,"Ev",IF(H49&lt;S49,"Dep",""))</f>
        <v>Dep</v>
      </c>
      <c r="AN49" s="17" t="str">
        <f>IF(AM49="","",IF(E49=S49,"Push",IF((E49&gt;S49)=(AM49="Ev"),"Kazandı","Kaybetti")))</f>
        <v>Kazandı</v>
      </c>
      <c r="AO49" s="30">
        <f>IF(AM49="","",IF(AN49="Push",0,IF(AN49="Kazandı",IF(AM49="Ev",Oranlar!P49,Oranlar!Q49)-1,-1)))</f>
        <v>1.0</v>
      </c>
      <c r="AP49" s="17" t="str">
        <f>IF(L49&gt;U49,"Üst",IF(L49&lt;U49,"Alt",""))</f>
        <v>Üst</v>
      </c>
      <c r="AQ49" s="17" t="str">
        <f>IF(AP49="","",IF(F49=U49,"Push",IF((F49&gt;U49)=(AP49="Üst"),"Kazandı","Kaybetti")))</f>
        <v>Kazandı</v>
      </c>
      <c r="AR49" s="30">
        <f>IF(AP49="","",IF(AQ49="Push",0,IF(AQ49="Kazandı",IF(AP49="Üst",Oranlar!W49,Oranlar!X49)-1,-1)))</f>
        <v>0.9523809523809523</v>
      </c>
      <c r="AS49" s="17" t="str">
        <f>IF(G49*Oranlar!R49&gt;1,"Ev",IF((1-G49)*Oranlar!S49&gt;1,"Dep",""))</f>
        <v>Dep</v>
      </c>
      <c r="AT49" s="30">
        <f>IF(AS49="","",IF((AS49="Ev")=(E49&gt;0),IF(AS49="Ev",Oranlar!R49,Oranlar!S49)-1,-1))</f>
        <v>0.7692307692307692</v>
      </c>
      <c r="AU49" s="16">
        <f>IF(OR(H49=T49,S49=T49),"",IF((H49&gt;T49)=(S49&gt;T49),1,0))</f>
        <v/>
      </c>
      <c r="AV49" s="16">
        <f>IF(OR(L49=V49,U49=V49),"",IF((L49&gt;V49)=(U49&gt;V49),1,0))</f>
        <v>1</v>
      </c>
      <c r="AW49" s="16">
        <f>IF(AND(E49&gt;=J49,E49&lt;=K49),1,0)</f>
        <v>1</v>
      </c>
      <c r="AX49" s="16">
        <f>IF(AND(F49&gt;=N49,F49&lt;=O49),1,0)</f>
        <v>1</v>
      </c>
    </row>
    <row r="50" spans="1:50">
      <c r="A50" s="21">
        <f>Oranlar!A50</f>
        <v>46091</v>
      </c>
      <c r="B50" s="22" t="str">
        <f>Oranlar!C50&amp;" @ "&amp;Oranlar!D50</f>
        <v>BOS @ SAS</v>
      </c>
      <c r="C50" s="23">
        <f>Oranlar!F50</f>
        <v>125</v>
      </c>
      <c r="D50" s="23">
        <f>Oranlar!E50</f>
        <v>116</v>
      </c>
      <c r="E50" s="15">
        <f>C50-D50</f>
        <v>9</v>
      </c>
      <c r="F50" s="16">
        <f>C50+D50</f>
        <v>241</v>
      </c>
      <c r="G50" s="24">
        <v>0.474</v>
      </c>
      <c r="H50" s="10">
        <v>-1.26</v>
      </c>
      <c r="I50" s="10">
        <v>3</v>
      </c>
      <c r="J50" s="10">
        <v>-15</v>
      </c>
      <c r="K50" s="10">
        <v>21</v>
      </c>
      <c r="L50" s="11">
        <v>223.98</v>
      </c>
      <c r="M50" s="11">
        <v>225.2</v>
      </c>
      <c r="N50" s="11">
        <v>198</v>
      </c>
      <c r="O50" s="11">
        <v>252</v>
      </c>
      <c r="P50" s="11">
        <v>113.04</v>
      </c>
      <c r="Q50" s="11">
        <v>113.9</v>
      </c>
      <c r="R50" s="25">
        <f>Oranlar!Y50</f>
        <v>0.593369754159424</v>
      </c>
      <c r="S50" s="26">
        <f>-Oranlar!O50</f>
        <v>3.5</v>
      </c>
      <c r="T50" s="26">
        <f>-Oranlar!I50</f>
        <v>2.5</v>
      </c>
      <c r="U50" s="27">
        <f>Oranlar!V50</f>
        <v>221.5</v>
      </c>
      <c r="V50" s="27">
        <f>Oranlar!L50</f>
        <v>223.5</v>
      </c>
      <c r="W50" s="28">
        <f>(U50+S50)/2</f>
        <v>112.5</v>
      </c>
      <c r="X50" s="28">
        <f>(U50-S50)/2</f>
        <v>109.0</v>
      </c>
      <c r="Y50" s="16">
        <f>IF(G50=0.5,"",IF((G50&gt;0.5)=(E50&gt;0),1,0))</f>
        <v>0</v>
      </c>
      <c r="Z50" s="16">
        <f>IF(R50=0.5,"",IF((R50&gt;0.5)=(E50&gt;0),1,0))</f>
        <v>1</v>
      </c>
      <c r="AA50" s="29">
        <f>(G50-IF(E50&gt;0,1,0))^2</f>
        <v>0.27667600000000003</v>
      </c>
      <c r="AB50" s="29">
        <f>(R50-IF(E50&gt;0,1,0))^2</f>
        <v>0.1653481568323673</v>
      </c>
      <c r="AC50" s="28">
        <f>ABS(H50-E50)</f>
        <v>10.26</v>
      </c>
      <c r="AD50" s="28">
        <f>ABS(I50-E50)</f>
        <v>6.0</v>
      </c>
      <c r="AE50" s="28">
        <f>ABS(S50-E50)</f>
        <v>5.5</v>
      </c>
      <c r="AF50" s="28">
        <f>ABS(L50-F50)</f>
        <v>17.02000000000001</v>
      </c>
      <c r="AG50" s="28">
        <f>ABS(M50-F50)</f>
        <v>15.800000000000011</v>
      </c>
      <c r="AH50" s="28">
        <f>ABS(U50-F50)</f>
        <v>19.5</v>
      </c>
      <c r="AI50" s="28">
        <f>ABS(P50-C50)</f>
        <v>11.959999999999994</v>
      </c>
      <c r="AJ50" s="28">
        <f>ABS(W50-C50)</f>
        <v>12.5</v>
      </c>
      <c r="AK50" s="28">
        <f>ABS(Q50-D50)</f>
        <v>2.0999999999999943</v>
      </c>
      <c r="AL50" s="28">
        <f>ABS(X50-D50)</f>
        <v>7.0</v>
      </c>
      <c r="AM50" s="17" t="str">
        <f>IF(H50&gt;S50,"Ev",IF(H50&lt;S50,"Dep",""))</f>
        <v>Dep</v>
      </c>
      <c r="AN50" s="17" t="str">
        <f>IF(AM50="","",IF(E50=S50,"Push",IF((E50&gt;S50)=(AM50="Ev"),"Kazandı","Kaybetti")))</f>
        <v>Kaybetti</v>
      </c>
      <c r="AO50" s="30">
        <f>IF(AM50="","",IF(AN50="Push",0,IF(AN50="Kazandı",IF(AM50="Ev",Oranlar!P50,Oranlar!Q50)-1,-1)))</f>
        <v>-1.0</v>
      </c>
      <c r="AP50" s="17" t="str">
        <f>IF(L50&gt;U50,"Üst",IF(L50&lt;U50,"Alt",""))</f>
        <v>Üst</v>
      </c>
      <c r="AQ50" s="17" t="str">
        <f>IF(AP50="","",IF(F50=U50,"Push",IF((F50&gt;U50)=(AP50="Üst"),"Kazandı","Kaybetti")))</f>
        <v>Kazandı</v>
      </c>
      <c r="AR50" s="30">
        <f>IF(AP50="","",IF(AQ50="Push",0,IF(AQ50="Kazandı",IF(AP50="Üst",Oranlar!W50,Oranlar!X50)-1,-1)))</f>
        <v>0.9523809523809523</v>
      </c>
      <c r="AS50" s="17" t="str">
        <f>IF(G50*Oranlar!R50&gt;1,"Ev",IF((1-G50)*Oranlar!S50&gt;1,"Dep",""))</f>
        <v>Dep</v>
      </c>
      <c r="AT50" s="30">
        <f>IF(AS50="","",IF((AS50="Ev")=(E50&gt;0),IF(AS50="Ev",Oranlar!R50,Oranlar!S50)-1,-1))</f>
        <v>-1.0</v>
      </c>
      <c r="AU50" s="16">
        <f>IF(OR(H50=T50,S50=T50),"",IF((H50&gt;T50)=(S50&gt;T50),1,0))</f>
        <v>0</v>
      </c>
      <c r="AV50" s="16">
        <f>IF(OR(L50=V50,U50=V50),"",IF((L50&gt;V50)=(U50&gt;V50),1,0))</f>
        <v>0</v>
      </c>
      <c r="AW50" s="16">
        <f>IF(AND(E50&gt;=J50,E50&lt;=K50),1,0)</f>
        <v>1</v>
      </c>
      <c r="AX50" s="16">
        <f>IF(AND(F50&gt;=N50,F50&lt;=O50),1,0)</f>
        <v>1</v>
      </c>
    </row>
    <row r="51" spans="1:50">
      <c r="A51" s="21">
        <f>Oranlar!A51</f>
        <v>46091</v>
      </c>
      <c r="B51" s="22" t="str">
        <f>Oranlar!C51&amp;" @ "&amp;Oranlar!D51</f>
        <v>CHI @ GSW</v>
      </c>
      <c r="C51" s="23">
        <f>Oranlar!F51</f>
        <v>124</v>
      </c>
      <c r="D51" s="23">
        <f>Oranlar!E51</f>
        <v>130</v>
      </c>
      <c r="E51" s="15">
        <f>C51-D51</f>
        <v>-6</v>
      </c>
      <c r="F51" s="16">
        <f>C51+D51</f>
        <v>254</v>
      </c>
      <c r="G51" s="24">
        <v>0.611</v>
      </c>
      <c r="H51" s="10">
        <v>4.71</v>
      </c>
      <c r="I51" s="10">
        <v>4.3</v>
      </c>
      <c r="J51" s="10">
        <v>-14</v>
      </c>
      <c r="K51" s="10">
        <v>23</v>
      </c>
      <c r="L51" s="11">
        <v>227.74</v>
      </c>
      <c r="M51" s="11">
        <v>224.6</v>
      </c>
      <c r="N51" s="11">
        <v>198</v>
      </c>
      <c r="O51" s="11">
        <v>252</v>
      </c>
      <c r="P51" s="11">
        <v>116.48</v>
      </c>
      <c r="Q51" s="11">
        <v>111.35</v>
      </c>
      <c r="R51" s="25">
        <f>Oranlar!Y51</f>
        <v>0.6750312469954812</v>
      </c>
      <c r="S51" s="26">
        <f>-Oranlar!O51</f>
        <v>6.5</v>
      </c>
      <c r="T51" s="26">
        <f>-Oranlar!I51</f>
        <v>5.5</v>
      </c>
      <c r="U51" s="27">
        <f>Oranlar!V51</f>
        <v>227.5</v>
      </c>
      <c r="V51" s="27">
        <f>Oranlar!L51</f>
        <v>229.5</v>
      </c>
      <c r="W51" s="28">
        <f>(U51+S51)/2</f>
        <v>117.0</v>
      </c>
      <c r="X51" s="28">
        <f>(U51-S51)/2</f>
        <v>110.5</v>
      </c>
      <c r="Y51" s="16">
        <f>IF(G51=0.5,"",IF((G51&gt;0.5)=(E51&gt;0),1,0))</f>
        <v>0</v>
      </c>
      <c r="Z51" s="16">
        <f>IF(R51=0.5,"",IF((R51&gt;0.5)=(E51&gt;0),1,0))</f>
        <v>0</v>
      </c>
      <c r="AA51" s="29">
        <f>(G51-IF(E51&gt;0,1,0))^2</f>
        <v>0.37332099999999996</v>
      </c>
      <c r="AB51" s="29">
        <f>(R51-IF(E51&gt;0,1,0))^2</f>
        <v>0.4556671844202744</v>
      </c>
      <c r="AC51" s="28">
        <f>ABS(H51-E51)</f>
        <v>10.71</v>
      </c>
      <c r="AD51" s="28">
        <f>ABS(I51-E51)</f>
        <v>10.3</v>
      </c>
      <c r="AE51" s="28">
        <f>ABS(S51-E51)</f>
        <v>12.5</v>
      </c>
      <c r="AF51" s="28">
        <f>ABS(L51-F51)</f>
        <v>26.25999999999999</v>
      </c>
      <c r="AG51" s="28">
        <f>ABS(M51-F51)</f>
        <v>29.400000000000006</v>
      </c>
      <c r="AH51" s="28">
        <f>ABS(U51-F51)</f>
        <v>26.5</v>
      </c>
      <c r="AI51" s="28">
        <f>ABS(P51-C51)</f>
        <v>7.519999999999996</v>
      </c>
      <c r="AJ51" s="28">
        <f>ABS(W51-C51)</f>
        <v>7.0</v>
      </c>
      <c r="AK51" s="28">
        <f>ABS(Q51-D51)</f>
        <v>18.650000000000006</v>
      </c>
      <c r="AL51" s="28">
        <f>ABS(X51-D51)</f>
        <v>19.5</v>
      </c>
      <c r="AM51" s="17" t="str">
        <f>IF(H51&gt;S51,"Ev",IF(H51&lt;S51,"Dep",""))</f>
        <v>Dep</v>
      </c>
      <c r="AN51" s="17" t="str">
        <f>IF(AM51="","",IF(E51=S51,"Push",IF((E51&gt;S51)=(AM51="Ev"),"Kazandı","Kaybetti")))</f>
        <v>Kazandı</v>
      </c>
      <c r="AO51" s="30">
        <f>IF(AM51="","",IF(AN51="Push",0,IF(AN51="Kazandı",IF(AM51="Ev",Oranlar!P51,Oranlar!Q51)-1,-1)))</f>
        <v>0.8695652173913042</v>
      </c>
      <c r="AP51" s="17" t="str">
        <f>IF(L51&gt;U51,"Üst",IF(L51&lt;U51,"Alt",""))</f>
        <v>Üst</v>
      </c>
      <c r="AQ51" s="17" t="str">
        <f>IF(AP51="","",IF(F51=U51,"Push",IF((F51&gt;U51)=(AP51="Üst"),"Kazandı","Kaybetti")))</f>
        <v>Kazandı</v>
      </c>
      <c r="AR51" s="30">
        <f>IF(AP51="","",IF(AQ51="Push",0,IF(AQ51="Kazandı",IF(AP51="Üst",Oranlar!W51,Oranlar!X51)-1,-1)))</f>
        <v>0.925925925925926</v>
      </c>
      <c r="AS51" s="17" t="str">
        <f>IF(G51*Oranlar!R51&gt;1,"Ev",IF((1-G51)*Oranlar!S51&gt;1,"Dep",""))</f>
        <v>Dep</v>
      </c>
      <c r="AT51" s="30">
        <f>IF(AS51="","",IF((AS51="Ev")=(E51&gt;0),IF(AS51="Ev",Oranlar!R51,Oranlar!S51)-1,-1))</f>
        <v>1.9500000000000002</v>
      </c>
      <c r="AU51" s="16">
        <f>IF(OR(H51=T51,S51=T51),"",IF((H51&gt;T51)=(S51&gt;T51),1,0))</f>
        <v>0</v>
      </c>
      <c r="AV51" s="16">
        <f>IF(OR(L51=V51,U51=V51),"",IF((L51&gt;V51)=(U51&gt;V51),1,0))</f>
        <v>1</v>
      </c>
      <c r="AW51" s="16">
        <f>IF(AND(E51&gt;=J51,E51&lt;=K51),1,0)</f>
        <v>1</v>
      </c>
      <c r="AX51" s="16">
        <f>IF(AND(F51&gt;=N51,F51&lt;=O51),1,0)</f>
        <v>0</v>
      </c>
    </row>
    <row r="52" spans="1:50">
      <c r="A52" s="21">
        <f>Oranlar!A52</f>
        <v>46091</v>
      </c>
      <c r="B52" s="22" t="str">
        <f>Oranlar!C52&amp;" @ "&amp;Oranlar!D52</f>
        <v>CHA @ POR</v>
      </c>
      <c r="C52" s="23">
        <f>Oranlar!F52</f>
        <v>101</v>
      </c>
      <c r="D52" s="23">
        <f>Oranlar!E52</f>
        <v>103</v>
      </c>
      <c r="E52" s="15">
        <f>C52-D52</f>
        <v>-2</v>
      </c>
      <c r="F52" s="16">
        <f>C52+D52</f>
        <v>204</v>
      </c>
      <c r="G52" s="24">
        <v>0.387</v>
      </c>
      <c r="H52" s="10">
        <v>-6.09</v>
      </c>
      <c r="I52" s="10">
        <v>-4.6</v>
      </c>
      <c r="J52" s="10">
        <v>-23</v>
      </c>
      <c r="K52" s="10">
        <v>14</v>
      </c>
      <c r="L52" s="11">
        <v>226.93</v>
      </c>
      <c r="M52" s="11">
        <v>228.1</v>
      </c>
      <c r="N52" s="11">
        <v>201</v>
      </c>
      <c r="O52" s="11">
        <v>255</v>
      </c>
      <c r="P52" s="11">
        <v>109.96</v>
      </c>
      <c r="Q52" s="11">
        <v>116.38</v>
      </c>
      <c r="R52" s="25">
        <f>Oranlar!Y52</f>
        <v>0.41700735895339325</v>
      </c>
      <c r="S52" s="26">
        <f>-Oranlar!O52</f>
        <v>-3.5</v>
      </c>
      <c r="T52" s="26">
        <f>-Oranlar!I52</f>
        <v>-3.5</v>
      </c>
      <c r="U52" s="27">
        <f>Oranlar!V52</f>
        <v>227.5</v>
      </c>
      <c r="V52" s="27">
        <f>Oranlar!L52</f>
        <v>229.5</v>
      </c>
      <c r="W52" s="28">
        <f>(U52+S52)/2</f>
        <v>112.0</v>
      </c>
      <c r="X52" s="28">
        <f>(U52-S52)/2</f>
        <v>115.5</v>
      </c>
      <c r="Y52" s="16">
        <f>IF(G52=0.5,"",IF((G52&gt;0.5)=(E52&gt;0),1,0))</f>
        <v>1</v>
      </c>
      <c r="Z52" s="16">
        <f>IF(R52=0.5,"",IF((R52&gt;0.5)=(E52&gt;0),1,0))</f>
        <v>1</v>
      </c>
      <c r="AA52" s="29">
        <f>(G52-IF(E52&gt;0,1,0))^2</f>
        <v>0.149769</v>
      </c>
      <c r="AB52" s="29">
        <f>(R52-IF(E52&gt;0,1,0))^2</f>
        <v>0.17389513742128415</v>
      </c>
      <c r="AC52" s="28">
        <f>ABS(H52-E52)</f>
        <v>4.09</v>
      </c>
      <c r="AD52" s="28">
        <f>ABS(I52-E52)</f>
        <v>2.5999999999999996</v>
      </c>
      <c r="AE52" s="28">
        <f>ABS(S52-E52)</f>
        <v>1.5</v>
      </c>
      <c r="AF52" s="28">
        <f>ABS(L52-F52)</f>
        <v>22.930000000000007</v>
      </c>
      <c r="AG52" s="28">
        <f>ABS(M52-F52)</f>
        <v>24.099999999999994</v>
      </c>
      <c r="AH52" s="28">
        <f>ABS(U52-F52)</f>
        <v>23.5</v>
      </c>
      <c r="AI52" s="28">
        <f>ABS(P52-C52)</f>
        <v>8.959999999999994</v>
      </c>
      <c r="AJ52" s="28">
        <f>ABS(W52-C52)</f>
        <v>11.0</v>
      </c>
      <c r="AK52" s="28">
        <f>ABS(Q52-D52)</f>
        <v>13.379999999999995</v>
      </c>
      <c r="AL52" s="28">
        <f>ABS(X52-D52)</f>
        <v>12.5</v>
      </c>
      <c r="AM52" s="17" t="str">
        <f>IF(H52&gt;S52,"Ev",IF(H52&lt;S52,"Dep",""))</f>
        <v>Dep</v>
      </c>
      <c r="AN52" s="17" t="str">
        <f>IF(AM52="","",IF(E52=S52,"Push",IF((E52&gt;S52)=(AM52="Ev"),"Kazandı","Kaybetti")))</f>
        <v>Kaybetti</v>
      </c>
      <c r="AO52" s="30">
        <f>IF(AM52="","",IF(AN52="Push",0,IF(AN52="Kazandı",IF(AM52="Ev",Oranlar!P52,Oranlar!Q52)-1,-1)))</f>
        <v>-1.0</v>
      </c>
      <c r="AP52" s="17" t="str">
        <f>IF(L52&gt;U52,"Üst",IF(L52&lt;U52,"Alt",""))</f>
        <v>Alt</v>
      </c>
      <c r="AQ52" s="17" t="str">
        <f>IF(AP52="","",IF(F52=U52,"Push",IF((F52&gt;U52)=(AP52="Üst"),"Kazandı","Kaybetti")))</f>
        <v>Kazandı</v>
      </c>
      <c r="AR52" s="30">
        <f>IF(AP52="","",IF(AQ52="Push",0,IF(AQ52="Kazandı",IF(AP52="Üst",Oranlar!W52,Oranlar!X52)-1,-1)))</f>
        <v>0.925925925925926</v>
      </c>
      <c r="AS52" s="17" t="str">
        <f>IF(G52*Oranlar!R52&gt;1,"Ev",IF((1-G52)*Oranlar!S52&gt;1,"Dep",""))</f>
        <v>Dep</v>
      </c>
      <c r="AT52" s="30">
        <f>IF(AS52="","",IF((AS52="Ev")=(E52&gt;0),IF(AS52="Ev",Oranlar!R52,Oranlar!S52)-1,-1))</f>
        <v>0.6451612903225805</v>
      </c>
      <c r="AU52" s="16">
        <f>IF(OR(H52=T52,S52=T52),"",IF((H52&gt;T52)=(S52&gt;T52),1,0))</f>
        <v/>
      </c>
      <c r="AV52" s="16">
        <f>IF(OR(L52=V52,U52=V52),"",IF((L52&gt;V52)=(U52&gt;V52),1,0))</f>
        <v>1</v>
      </c>
      <c r="AW52" s="16">
        <f>IF(AND(E52&gt;=J52,E52&lt;=K52),1,0)</f>
        <v>1</v>
      </c>
      <c r="AX52" s="16">
        <f>IF(AND(F52&gt;=N52,F52&lt;=O52),1,0)</f>
        <v>1</v>
      </c>
    </row>
    <row r="53" spans="1:50">
      <c r="A53" s="21">
        <f>Oranlar!A53</f>
        <v>46091</v>
      </c>
      <c r="B53" s="22" t="str">
        <f>Oranlar!C53&amp;" @ "&amp;Oranlar!D53</f>
        <v>IND @ SAC</v>
      </c>
      <c r="C53" s="23">
        <f>Oranlar!F53</f>
        <v>114</v>
      </c>
      <c r="D53" s="23">
        <f>Oranlar!E53</f>
        <v>109</v>
      </c>
      <c r="E53" s="15">
        <f>C53-D53</f>
        <v>5</v>
      </c>
      <c r="F53" s="16">
        <f>C53+D53</f>
        <v>223</v>
      </c>
      <c r="G53" s="24">
        <v>0.573</v>
      </c>
      <c r="H53" s="10">
        <v>0.6</v>
      </c>
      <c r="I53" s="10">
        <v>2</v>
      </c>
      <c r="J53" s="10">
        <v>-17</v>
      </c>
      <c r="K53" s="10">
        <v>21</v>
      </c>
      <c r="L53" s="11">
        <v>235.05</v>
      </c>
      <c r="M53" s="11">
        <v>240.1</v>
      </c>
      <c r="N53" s="11">
        <v>212</v>
      </c>
      <c r="O53" s="11">
        <v>268</v>
      </c>
      <c r="P53" s="11">
        <v>118.93</v>
      </c>
      <c r="Q53" s="11">
        <v>117.66</v>
      </c>
      <c r="R53" s="25">
        <f>Oranlar!Y53</f>
        <v>0.593369754159424</v>
      </c>
      <c r="S53" s="26">
        <f>-Oranlar!O53</f>
        <v>3.5</v>
      </c>
      <c r="T53" s="26">
        <f>-Oranlar!I53</f>
        <v>3.5</v>
      </c>
      <c r="U53" s="27">
        <f>Oranlar!V53</f>
        <v>236.5</v>
      </c>
      <c r="V53" s="27">
        <f>Oranlar!L53</f>
        <v>234.5</v>
      </c>
      <c r="W53" s="28">
        <f>(U53+S53)/2</f>
        <v>120.0</v>
      </c>
      <c r="X53" s="28">
        <f>(U53-S53)/2</f>
        <v>116.5</v>
      </c>
      <c r="Y53" s="16">
        <f>IF(G53=0.5,"",IF((G53&gt;0.5)=(E53&gt;0),1,0))</f>
        <v>1</v>
      </c>
      <c r="Z53" s="16">
        <f>IF(R53=0.5,"",IF((R53&gt;0.5)=(E53&gt;0),1,0))</f>
        <v>1</v>
      </c>
      <c r="AA53" s="29">
        <f>(G53-IF(E53&gt;0,1,0))^2</f>
        <v>0.18232900000000005</v>
      </c>
      <c r="AB53" s="29">
        <f>(R53-IF(E53&gt;0,1,0))^2</f>
        <v>0.1653481568323673</v>
      </c>
      <c r="AC53" s="28">
        <f>ABS(H53-E53)</f>
        <v>4.4</v>
      </c>
      <c r="AD53" s="28">
        <f>ABS(I53-E53)</f>
        <v>3.0</v>
      </c>
      <c r="AE53" s="28">
        <f>ABS(S53-E53)</f>
        <v>1.5</v>
      </c>
      <c r="AF53" s="28">
        <f>ABS(L53-F53)</f>
        <v>12.050000000000011</v>
      </c>
      <c r="AG53" s="28">
        <f>ABS(M53-F53)</f>
        <v>17.099999999999994</v>
      </c>
      <c r="AH53" s="28">
        <f>ABS(U53-F53)</f>
        <v>13.5</v>
      </c>
      <c r="AI53" s="28">
        <f>ABS(P53-C53)</f>
        <v>4.930000000000007</v>
      </c>
      <c r="AJ53" s="28">
        <f>ABS(W53-C53)</f>
        <v>6.0</v>
      </c>
      <c r="AK53" s="28">
        <f>ABS(Q53-D53)</f>
        <v>8.659999999999997</v>
      </c>
      <c r="AL53" s="28">
        <f>ABS(X53-D53)</f>
        <v>7.5</v>
      </c>
      <c r="AM53" s="17" t="str">
        <f>IF(H53&gt;S53,"Ev",IF(H53&lt;S53,"Dep",""))</f>
        <v>Dep</v>
      </c>
      <c r="AN53" s="17" t="str">
        <f>IF(AM53="","",IF(E53=S53,"Push",IF((E53&gt;S53)=(AM53="Ev"),"Kazandı","Kaybetti")))</f>
        <v>Kaybetti</v>
      </c>
      <c r="AO53" s="30">
        <f>IF(AM53="","",IF(AN53="Push",0,IF(AN53="Kazandı",IF(AM53="Ev",Oranlar!P53,Oranlar!Q53)-1,-1)))</f>
        <v>-1.0</v>
      </c>
      <c r="AP53" s="17" t="str">
        <f>IF(L53&gt;U53,"Üst",IF(L53&lt;U53,"Alt",""))</f>
        <v>Alt</v>
      </c>
      <c r="AQ53" s="17" t="str">
        <f>IF(AP53="","",IF(F53=U53,"Push",IF((F53&gt;U53)=(AP53="Üst"),"Kazandı","Kaybetti")))</f>
        <v>Kazandı</v>
      </c>
      <c r="AR53" s="30">
        <f>IF(AP53="","",IF(AQ53="Push",0,IF(AQ53="Kazandı",IF(AP53="Üst",Oranlar!W53,Oranlar!X53)-1,-1)))</f>
        <v>0.925925925925926</v>
      </c>
      <c r="AS53" s="17" t="str">
        <f>IF(G53*Oranlar!R53&gt;1,"Ev",IF((1-G53)*Oranlar!S53&gt;1,"Dep",""))</f>
        <v>Dep</v>
      </c>
      <c r="AT53" s="30">
        <f>IF(AS53="","",IF((AS53="Ev")=(E53&gt;0),IF(AS53="Ev",Oranlar!R53,Oranlar!S53)-1,-1))</f>
        <v>-1.0</v>
      </c>
      <c r="AU53" s="16">
        <f>IF(OR(H53=T53,S53=T53),"",IF((H53&gt;T53)=(S53&gt;T53),1,0))</f>
        <v/>
      </c>
      <c r="AV53" s="16">
        <f>IF(OR(L53=V53,U53=V53),"",IF((L53&gt;V53)=(U53&gt;V53),1,0))</f>
        <v>1</v>
      </c>
      <c r="AW53" s="16">
        <f>IF(AND(E53&gt;=J53,E53&lt;=K53),1,0)</f>
        <v>1</v>
      </c>
      <c r="AX53" s="16">
        <f>IF(AND(F53&gt;=N53,F53&lt;=O53),1,0)</f>
        <v>1</v>
      </c>
    </row>
    <row r="54" spans="1:50">
      <c r="A54" s="21">
        <f>Oranlar!A54</f>
        <v>46091</v>
      </c>
      <c r="B54" s="22" t="str">
        <f>Oranlar!C54&amp;" @ "&amp;Oranlar!D54</f>
        <v>MIN @ LAL</v>
      </c>
      <c r="C54" s="23">
        <f>Oranlar!F54</f>
        <v>120</v>
      </c>
      <c r="D54" s="23">
        <f>Oranlar!E54</f>
        <v>106</v>
      </c>
      <c r="E54" s="15">
        <f>C54-D54</f>
        <v>14</v>
      </c>
      <c r="F54" s="16">
        <f>C54+D54</f>
        <v>226</v>
      </c>
      <c r="G54" s="24">
        <v>0.511</v>
      </c>
      <c r="H54" s="10">
        <v>-1.93</v>
      </c>
      <c r="I54" s="10">
        <v>3.8</v>
      </c>
      <c r="J54" s="10">
        <v>-14</v>
      </c>
      <c r="K54" s="10">
        <v>22</v>
      </c>
      <c r="L54" s="11">
        <v>226</v>
      </c>
      <c r="M54" s="11">
        <v>227.4</v>
      </c>
      <c r="N54" s="11">
        <v>200</v>
      </c>
      <c r="O54" s="11">
        <v>255</v>
      </c>
      <c r="P54" s="11">
        <v>113.83</v>
      </c>
      <c r="Q54" s="11">
        <v>112.83</v>
      </c>
      <c r="R54" s="25">
        <f>Oranlar!Y54</f>
        <v>0.43650793650793646</v>
      </c>
      <c r="S54" s="26">
        <f>-Oranlar!O54</f>
        <v>-2.5</v>
      </c>
      <c r="T54" s="26">
        <f>-Oranlar!I54</f>
        <v>-1.5</v>
      </c>
      <c r="U54" s="27">
        <f>Oranlar!V54</f>
        <v>229.5</v>
      </c>
      <c r="V54" s="27">
        <f>Oranlar!L54</f>
        <v>232.5</v>
      </c>
      <c r="W54" s="28">
        <f>(U54+S54)/2</f>
        <v>113.5</v>
      </c>
      <c r="X54" s="28">
        <f>(U54-S54)/2</f>
        <v>116.0</v>
      </c>
      <c r="Y54" s="16">
        <f>IF(G54=0.5,"",IF((G54&gt;0.5)=(E54&gt;0),1,0))</f>
        <v>1</v>
      </c>
      <c r="Z54" s="16">
        <f>IF(R54=0.5,"",IF((R54&gt;0.5)=(E54&gt;0),1,0))</f>
        <v>0</v>
      </c>
      <c r="AA54" s="29">
        <f>(G54-IF(E54&gt;0,1,0))^2</f>
        <v>0.239121</v>
      </c>
      <c r="AB54" s="29">
        <f>(R54-IF(E54&gt;0,1,0))^2</f>
        <v>0.3175233056185437</v>
      </c>
      <c r="AC54" s="28">
        <f>ABS(H54-E54)</f>
        <v>15.93</v>
      </c>
      <c r="AD54" s="28">
        <f>ABS(I54-E54)</f>
        <v>10.2</v>
      </c>
      <c r="AE54" s="28">
        <f>ABS(S54-E54)</f>
        <v>16.5</v>
      </c>
      <c r="AF54" s="28">
        <f>ABS(L54-F54)</f>
        <v>0.0</v>
      </c>
      <c r="AG54" s="28">
        <f>ABS(M54-F54)</f>
        <v>1.4000000000000057</v>
      </c>
      <c r="AH54" s="28">
        <f>ABS(U54-F54)</f>
        <v>3.5</v>
      </c>
      <c r="AI54" s="28">
        <f>ABS(P54-C54)</f>
        <v>6.170000000000002</v>
      </c>
      <c r="AJ54" s="28">
        <f>ABS(W54-C54)</f>
        <v>6.5</v>
      </c>
      <c r="AK54" s="28">
        <f>ABS(Q54-D54)</f>
        <v>6.829999999999998</v>
      </c>
      <c r="AL54" s="28">
        <f>ABS(X54-D54)</f>
        <v>10.0</v>
      </c>
      <c r="AM54" s="17" t="str">
        <f>IF(H54&gt;S54,"Ev",IF(H54&lt;S54,"Dep",""))</f>
        <v>Ev</v>
      </c>
      <c r="AN54" s="17" t="str">
        <f>IF(AM54="","",IF(E54=S54,"Push",IF((E54&gt;S54)=(AM54="Ev"),"Kazandı","Kaybetti")))</f>
        <v>Kazandı</v>
      </c>
      <c r="AO54" s="30">
        <f>IF(AM54="","",IF(AN54="Push",0,IF(AN54="Kazandı",IF(AM54="Ev",Oranlar!P54,Oranlar!Q54)-1,-1)))</f>
        <v>0.9523809523809523</v>
      </c>
      <c r="AP54" s="17" t="str">
        <f>IF(L54&gt;U54,"Üst",IF(L54&lt;U54,"Alt",""))</f>
        <v>Alt</v>
      </c>
      <c r="AQ54" s="17" t="str">
        <f>IF(AP54="","",IF(F54=U54,"Push",IF((F54&gt;U54)=(AP54="Üst"),"Kazandı","Kaybetti")))</f>
        <v>Kazandı</v>
      </c>
      <c r="AR54" s="30">
        <f>IF(AP54="","",IF(AQ54="Push",0,IF(AQ54="Kazandı",IF(AP54="Üst",Oranlar!W54,Oranlar!X54)-1,-1)))</f>
        <v>0.9090909090909092</v>
      </c>
      <c r="AS54" s="17" t="str">
        <f>IF(G54*Oranlar!R54&gt;1,"Ev",IF((1-G54)*Oranlar!S54&gt;1,"Dep",""))</f>
        <v>Ev</v>
      </c>
      <c r="AT54" s="30">
        <f>IF(AS54="","",IF((AS54="Ev")=(E54&gt;0),IF(AS54="Ev",Oranlar!R54,Oranlar!S54)-1,-1))</f>
        <v>1.2000000000000002</v>
      </c>
      <c r="AU54" s="16">
        <f>IF(OR(H54=T54,S54=T54),"",IF((H54&gt;T54)=(S54&gt;T54),1,0))</f>
        <v>1</v>
      </c>
      <c r="AV54" s="16">
        <f>IF(OR(L54=V54,U54=V54),"",IF((L54&gt;V54)=(U54&gt;V54),1,0))</f>
        <v>1</v>
      </c>
      <c r="AW54" s="16">
        <f>IF(AND(E54&gt;=J54,E54&lt;=K54),1,0)</f>
        <v>1</v>
      </c>
      <c r="AX54" s="16">
        <f>IF(AND(F54&gt;=N54,F54&lt;=O54),1,0)</f>
        <v>1</v>
      </c>
    </row>
    <row r="55" spans="1:50">
      <c r="A55" s="21">
        <f>Oranlar!A55</f>
        <v>46092</v>
      </c>
      <c r="B55" s="22" t="str">
        <f>Oranlar!C55&amp;" @ "&amp;Oranlar!D55</f>
        <v>CLE @ ORL</v>
      </c>
      <c r="C55" s="23">
        <f>Oranlar!F55</f>
        <v>128</v>
      </c>
      <c r="D55" s="23">
        <f>Oranlar!E55</f>
        <v>122</v>
      </c>
      <c r="E55" s="15">
        <f>C55-D55</f>
        <v>6</v>
      </c>
      <c r="F55" s="16">
        <f>C55+D55</f>
        <v>250</v>
      </c>
      <c r="G55" s="24">
        <v>0.418</v>
      </c>
      <c r="H55" s="10">
        <v>-0.8</v>
      </c>
      <c r="I55" s="10">
        <v>-2.8</v>
      </c>
      <c r="J55" s="10">
        <v>-21</v>
      </c>
      <c r="K55" s="10">
        <v>16</v>
      </c>
      <c r="L55" s="11">
        <v>227.44</v>
      </c>
      <c r="M55" s="11">
        <v>228.5</v>
      </c>
      <c r="N55" s="11">
        <v>201</v>
      </c>
      <c r="O55" s="11">
        <v>255</v>
      </c>
      <c r="P55" s="11">
        <v>114.03</v>
      </c>
      <c r="Q55" s="11">
        <v>113.9</v>
      </c>
      <c r="R55" s="25">
        <f>Oranlar!Y55</f>
        <v>0.41700735895339325</v>
      </c>
      <c r="S55" s="26">
        <f>-Oranlar!O55</f>
        <v>-3.5</v>
      </c>
      <c r="T55" s="26">
        <f>-Oranlar!I55</f>
        <v>-2.5</v>
      </c>
      <c r="U55" s="27">
        <f>Oranlar!V55</f>
        <v>226.5</v>
      </c>
      <c r="V55" s="27">
        <f>Oranlar!L55</f>
        <v>225.5</v>
      </c>
      <c r="W55" s="28">
        <f>(U55+S55)/2</f>
        <v>111.5</v>
      </c>
      <c r="X55" s="28">
        <f>(U55-S55)/2</f>
        <v>115.0</v>
      </c>
      <c r="Y55" s="16">
        <f>IF(G55=0.5,"",IF((G55&gt;0.5)=(E55&gt;0),1,0))</f>
        <v>0</v>
      </c>
      <c r="Z55" s="16">
        <f>IF(R55=0.5,"",IF((R55&gt;0.5)=(E55&gt;0),1,0))</f>
        <v>0</v>
      </c>
      <c r="AA55" s="29">
        <f>(G55-IF(E55&gt;0,1,0))^2</f>
        <v>0.3387240000000001</v>
      </c>
      <c r="AB55" s="29">
        <f>(R55-IF(E55&gt;0,1,0))^2</f>
        <v>0.33988041951449766</v>
      </c>
      <c r="AC55" s="28">
        <f>ABS(H55-E55)</f>
        <v>6.8</v>
      </c>
      <c r="AD55" s="28">
        <f>ABS(I55-E55)</f>
        <v>8.8</v>
      </c>
      <c r="AE55" s="28">
        <f>ABS(S55-E55)</f>
        <v>9.5</v>
      </c>
      <c r="AF55" s="28">
        <f>ABS(L55-F55)</f>
        <v>22.560000000000002</v>
      </c>
      <c r="AG55" s="28">
        <f>ABS(M55-F55)</f>
        <v>21.5</v>
      </c>
      <c r="AH55" s="28">
        <f>ABS(U55-F55)</f>
        <v>23.5</v>
      </c>
      <c r="AI55" s="28">
        <f>ABS(P55-C55)</f>
        <v>13.969999999999999</v>
      </c>
      <c r="AJ55" s="28">
        <f>ABS(W55-C55)</f>
        <v>16.5</v>
      </c>
      <c r="AK55" s="28">
        <f>ABS(Q55-D55)</f>
        <v>8.099999999999994</v>
      </c>
      <c r="AL55" s="28">
        <f>ABS(X55-D55)</f>
        <v>7.0</v>
      </c>
      <c r="AM55" s="17" t="str">
        <f>IF(H55&gt;S55,"Ev",IF(H55&lt;S55,"Dep",""))</f>
        <v>Ev</v>
      </c>
      <c r="AN55" s="17" t="str">
        <f>IF(AM55="","",IF(E55=S55,"Push",IF((E55&gt;S55)=(AM55="Ev"),"Kazandı","Kaybetti")))</f>
        <v>Kazandı</v>
      </c>
      <c r="AO55" s="30">
        <f>IF(AM55="","",IF(AN55="Push",0,IF(AN55="Kazandı",IF(AM55="Ev",Oranlar!P55,Oranlar!Q55)-1,-1)))</f>
        <v>0.8695652173913042</v>
      </c>
      <c r="AP55" s="17" t="str">
        <f>IF(L55&gt;U55,"Üst",IF(L55&lt;U55,"Alt",""))</f>
        <v>Üst</v>
      </c>
      <c r="AQ55" s="17" t="str">
        <f>IF(AP55="","",IF(F55=U55,"Push",IF((F55&gt;U55)=(AP55="Üst"),"Kazandı","Kaybetti")))</f>
        <v>Kazandı</v>
      </c>
      <c r="AR55" s="30">
        <f>IF(AP55="","",IF(AQ55="Push",0,IF(AQ55="Kazandı",IF(AP55="Üst",Oranlar!W55,Oranlar!X55)-1,-1)))</f>
        <v>0.8928571428571428</v>
      </c>
      <c r="AS55" s="17">
        <f>IF(G55*Oranlar!R55&gt;1,"Ev",IF((1-G55)*Oranlar!S55&gt;1,"Dep",""))</f>
        <v/>
      </c>
      <c r="AT55" s="30">
        <f>IF(AS55="","",IF((AS55="Ev")=(E55&gt;0),IF(AS55="Ev",Oranlar!R55,Oranlar!S55)-1,-1))</f>
        <v/>
      </c>
      <c r="AU55" s="16">
        <f>IF(OR(H55=T55,S55=T55),"",IF((H55&gt;T55)=(S55&gt;T55),1,0))</f>
        <v>0</v>
      </c>
      <c r="AV55" s="16">
        <f>IF(OR(L55=V55,U55=V55),"",IF((L55&gt;V55)=(U55&gt;V55),1,0))</f>
        <v>1</v>
      </c>
      <c r="AW55" s="16">
        <f>IF(AND(E55&gt;=J55,E55&lt;=K55),1,0)</f>
        <v>1</v>
      </c>
      <c r="AX55" s="16">
        <f>IF(AND(F55&gt;=N55,F55&lt;=O55),1,0)</f>
        <v>1</v>
      </c>
    </row>
    <row r="56" spans="1:50">
      <c r="A56" s="21">
        <f>Oranlar!A56</f>
        <v>46092</v>
      </c>
      <c r="B56" s="22" t="str">
        <f>Oranlar!C56&amp;" @ "&amp;Oranlar!D56</f>
        <v>TOR @ NOP</v>
      </c>
      <c r="C56" s="23">
        <f>Oranlar!F56</f>
        <v>122</v>
      </c>
      <c r="D56" s="23">
        <f>Oranlar!E56</f>
        <v>111</v>
      </c>
      <c r="E56" s="15">
        <f>C56-D56</f>
        <v>11</v>
      </c>
      <c r="F56" s="16">
        <f>C56+D56</f>
        <v>233</v>
      </c>
      <c r="G56" s="24">
        <v>0.527</v>
      </c>
      <c r="H56" s="10">
        <v>0.67</v>
      </c>
      <c r="I56" s="10">
        <v>-2.2</v>
      </c>
      <c r="J56" s="10">
        <v>-20</v>
      </c>
      <c r="K56" s="10">
        <v>16</v>
      </c>
      <c r="L56" s="11">
        <v>228.05</v>
      </c>
      <c r="M56" s="11">
        <v>230.2</v>
      </c>
      <c r="N56" s="11">
        <v>203</v>
      </c>
      <c r="O56" s="11">
        <v>257</v>
      </c>
      <c r="P56" s="11">
        <v>115.06</v>
      </c>
      <c r="Q56" s="11">
        <v>116.06</v>
      </c>
      <c r="R56" s="25">
        <f>Oranlar!Y56</f>
        <v>0.43650793650793646</v>
      </c>
      <c r="S56" s="26">
        <f>-Oranlar!O56</f>
        <v>-2.5</v>
      </c>
      <c r="T56" s="26">
        <f>-Oranlar!I56</f>
        <v>-1.5</v>
      </c>
      <c r="U56" s="27">
        <f>Oranlar!V56</f>
        <v>235.5</v>
      </c>
      <c r="V56" s="27">
        <f>Oranlar!L56</f>
        <v>232.5</v>
      </c>
      <c r="W56" s="28">
        <f>(U56+S56)/2</f>
        <v>116.5</v>
      </c>
      <c r="X56" s="28">
        <f>(U56-S56)/2</f>
        <v>119.0</v>
      </c>
      <c r="Y56" s="16">
        <f>IF(G56=0.5,"",IF((G56&gt;0.5)=(E56&gt;0),1,0))</f>
        <v>1</v>
      </c>
      <c r="Z56" s="16">
        <f>IF(R56=0.5,"",IF((R56&gt;0.5)=(E56&gt;0),1,0))</f>
        <v>0</v>
      </c>
      <c r="AA56" s="29">
        <f>(G56-IF(E56&gt;0,1,0))^2</f>
        <v>0.22372899999999998</v>
      </c>
      <c r="AB56" s="29">
        <f>(R56-IF(E56&gt;0,1,0))^2</f>
        <v>0.3175233056185437</v>
      </c>
      <c r="AC56" s="28">
        <f>ABS(H56-E56)</f>
        <v>10.33</v>
      </c>
      <c r="AD56" s="28">
        <f>ABS(I56-E56)</f>
        <v>13.2</v>
      </c>
      <c r="AE56" s="28">
        <f>ABS(S56-E56)</f>
        <v>13.5</v>
      </c>
      <c r="AF56" s="28">
        <f>ABS(L56-F56)</f>
        <v>4.949999999999989</v>
      </c>
      <c r="AG56" s="28">
        <f>ABS(M56-F56)</f>
        <v>2.8000000000000114</v>
      </c>
      <c r="AH56" s="28">
        <f>ABS(U56-F56)</f>
        <v>2.5</v>
      </c>
      <c r="AI56" s="28">
        <f>ABS(P56-C56)</f>
        <v>6.939999999999998</v>
      </c>
      <c r="AJ56" s="28">
        <f>ABS(W56-C56)</f>
        <v>5.5</v>
      </c>
      <c r="AK56" s="28">
        <f>ABS(Q56-D56)</f>
        <v>5.060000000000002</v>
      </c>
      <c r="AL56" s="28">
        <f>ABS(X56-D56)</f>
        <v>8.0</v>
      </c>
      <c r="AM56" s="17" t="str">
        <f>IF(H56&gt;S56,"Ev",IF(H56&lt;S56,"Dep",""))</f>
        <v>Ev</v>
      </c>
      <c r="AN56" s="17" t="str">
        <f>IF(AM56="","",IF(E56=S56,"Push",IF((E56&gt;S56)=(AM56="Ev"),"Kazandı","Kaybetti")))</f>
        <v>Kazandı</v>
      </c>
      <c r="AO56" s="30">
        <f>IF(AM56="","",IF(AN56="Push",0,IF(AN56="Kazandı",IF(AM56="Ev",Oranlar!P56,Oranlar!Q56)-1,-1)))</f>
        <v>0.9090909090909092</v>
      </c>
      <c r="AP56" s="17" t="str">
        <f>IF(L56&gt;U56,"Üst",IF(L56&lt;U56,"Alt",""))</f>
        <v>Alt</v>
      </c>
      <c r="AQ56" s="17" t="str">
        <f>IF(AP56="","",IF(F56=U56,"Push",IF((F56&gt;U56)=(AP56="Üst"),"Kazandı","Kaybetti")))</f>
        <v>Kazandı</v>
      </c>
      <c r="AR56" s="30">
        <f>IF(AP56="","",IF(AQ56="Push",0,IF(AQ56="Kazandı",IF(AP56="Üst",Oranlar!W56,Oranlar!X56)-1,-1)))</f>
        <v>0.925925925925926</v>
      </c>
      <c r="AS56" s="17" t="str">
        <f>IF(G56*Oranlar!R56&gt;1,"Ev",IF((1-G56)*Oranlar!S56&gt;1,"Dep",""))</f>
        <v>Ev</v>
      </c>
      <c r="AT56" s="30">
        <f>IF(AS56="","",IF((AS56="Ev")=(E56&gt;0),IF(AS56="Ev",Oranlar!R56,Oranlar!S56)-1,-1))</f>
        <v>1.2000000000000002</v>
      </c>
      <c r="AU56" s="16">
        <f>IF(OR(H56=T56,S56=T56),"",IF((H56&gt;T56)=(S56&gt;T56),1,0))</f>
        <v>0</v>
      </c>
      <c r="AV56" s="16">
        <f>IF(OR(L56=V56,U56=V56),"",IF((L56&gt;V56)=(U56&gt;V56),1,0))</f>
        <v>0</v>
      </c>
      <c r="AW56" s="16">
        <f>IF(AND(E56&gt;=J56,E56&lt;=K56),1,0)</f>
        <v>1</v>
      </c>
      <c r="AX56" s="16">
        <f>IF(AND(F56&gt;=N56,F56&lt;=O56),1,0)</f>
        <v>1</v>
      </c>
    </row>
    <row r="57" spans="1:50">
      <c r="A57" s="21">
        <f>Oranlar!A57</f>
        <v>46092</v>
      </c>
      <c r="B57" s="22" t="str">
        <f>Oranlar!C57&amp;" @ "&amp;Oranlar!D57</f>
        <v>NYK @ UTA</v>
      </c>
      <c r="C57" s="23">
        <f>Oranlar!F57</f>
        <v>117</v>
      </c>
      <c r="D57" s="23">
        <f>Oranlar!E57</f>
        <v>134</v>
      </c>
      <c r="E57" s="15">
        <f>C57-D57</f>
        <v>-17</v>
      </c>
      <c r="F57" s="16">
        <f>C57+D57</f>
        <v>251</v>
      </c>
      <c r="G57" s="24">
        <v>0.301</v>
      </c>
      <c r="H57" s="10">
        <v>-11.01</v>
      </c>
      <c r="I57" s="10">
        <v>-7.8</v>
      </c>
      <c r="J57" s="10">
        <v>-26</v>
      </c>
      <c r="K57" s="10">
        <v>11</v>
      </c>
      <c r="L57" s="11">
        <v>230.41</v>
      </c>
      <c r="M57" s="11">
        <v>233.8</v>
      </c>
      <c r="N57" s="11">
        <v>206</v>
      </c>
      <c r="O57" s="11">
        <v>261</v>
      </c>
      <c r="P57" s="11">
        <v>112.11</v>
      </c>
      <c r="Q57" s="11">
        <v>121.1</v>
      </c>
      <c r="R57" s="25">
        <f>Oranlar!Y57</f>
        <v>0.12790697674418605</v>
      </c>
      <c r="S57" s="26">
        <f>-Oranlar!O57</f>
        <v>-13.5</v>
      </c>
      <c r="T57" s="26">
        <f>-Oranlar!I57</f>
        <v>-12.5</v>
      </c>
      <c r="U57" s="27">
        <f>Oranlar!V57</f>
        <v>231.5</v>
      </c>
      <c r="V57" s="27">
        <f>Oranlar!L57</f>
        <v>230.5</v>
      </c>
      <c r="W57" s="28">
        <f>(U57+S57)/2</f>
        <v>109.0</v>
      </c>
      <c r="X57" s="28">
        <f>(U57-S57)/2</f>
        <v>122.5</v>
      </c>
      <c r="Y57" s="16">
        <f>IF(G57=0.5,"",IF((G57&gt;0.5)=(E57&gt;0),1,0))</f>
        <v>1</v>
      </c>
      <c r="Z57" s="16">
        <f>IF(R57=0.5,"",IF((R57&gt;0.5)=(E57&gt;0),1,0))</f>
        <v>1</v>
      </c>
      <c r="AA57" s="29">
        <f>(G57-IF(E57&gt;0,1,0))^2</f>
        <v>0.09060099999999999</v>
      </c>
      <c r="AB57" s="29">
        <f>(R57-IF(E57&gt;0,1,0))^2</f>
        <v>0.016360194699837752</v>
      </c>
      <c r="AC57" s="28">
        <f>ABS(H57-E57)</f>
        <v>5.99</v>
      </c>
      <c r="AD57" s="28">
        <f>ABS(I57-E57)</f>
        <v>9.2</v>
      </c>
      <c r="AE57" s="28">
        <f>ABS(S57-E57)</f>
        <v>3.5</v>
      </c>
      <c r="AF57" s="28">
        <f>ABS(L57-F57)</f>
        <v>20.590000000000003</v>
      </c>
      <c r="AG57" s="28">
        <f>ABS(M57-F57)</f>
        <v>17.19999999999999</v>
      </c>
      <c r="AH57" s="28">
        <f>ABS(U57-F57)</f>
        <v>19.5</v>
      </c>
      <c r="AI57" s="28">
        <f>ABS(P57-C57)</f>
        <v>4.890000000000001</v>
      </c>
      <c r="AJ57" s="28">
        <f>ABS(W57-C57)</f>
        <v>8.0</v>
      </c>
      <c r="AK57" s="28">
        <f>ABS(Q57-D57)</f>
        <v>12.900000000000006</v>
      </c>
      <c r="AL57" s="28">
        <f>ABS(X57-D57)</f>
        <v>11.5</v>
      </c>
      <c r="AM57" s="17" t="str">
        <f>IF(H57&gt;S57,"Ev",IF(H57&lt;S57,"Dep",""))</f>
        <v>Ev</v>
      </c>
      <c r="AN57" s="17" t="str">
        <f>IF(AM57="","",IF(E57=S57,"Push",IF((E57&gt;S57)=(AM57="Ev"),"Kazandı","Kaybetti")))</f>
        <v>Kaybetti</v>
      </c>
      <c r="AO57" s="30">
        <f>IF(AM57="","",IF(AN57="Push",0,IF(AN57="Kazandı",IF(AM57="Ev",Oranlar!P57,Oranlar!Q57)-1,-1)))</f>
        <v>-1.0</v>
      </c>
      <c r="AP57" s="17" t="str">
        <f>IF(L57&gt;U57,"Üst",IF(L57&lt;U57,"Alt",""))</f>
        <v>Alt</v>
      </c>
      <c r="AQ57" s="17" t="str">
        <f>IF(AP57="","",IF(F57=U57,"Push",IF((F57&gt;U57)=(AP57="Üst"),"Kazandı","Kaybetti")))</f>
        <v>Kaybetti</v>
      </c>
      <c r="AR57" s="30">
        <f>IF(AP57="","",IF(AQ57="Push",0,IF(AQ57="Kazandı",IF(AP57="Üst",Oranlar!W57,Oranlar!X57)-1,-1)))</f>
        <v>-1.0</v>
      </c>
      <c r="AS57" s="17" t="str">
        <f>IF(G57*Oranlar!R57&gt;1,"Ev",IF((1-G57)*Oranlar!S57&gt;1,"Dep",""))</f>
        <v>Ev</v>
      </c>
      <c r="AT57" s="30">
        <f>IF(AS57="","",IF((AS57="Ev")=(E57&gt;0),IF(AS57="Ev",Oranlar!R57,Oranlar!S57)-1,-1))</f>
        <v>-1.0</v>
      </c>
      <c r="AU57" s="16">
        <f>IF(OR(H57=T57,S57=T57),"",IF((H57&gt;T57)=(S57&gt;T57),1,0))</f>
        <v>0</v>
      </c>
      <c r="AV57" s="16">
        <f>IF(OR(L57=V57,U57=V57),"",IF((L57&gt;V57)=(U57&gt;V57),1,0))</f>
        <v>0</v>
      </c>
      <c r="AW57" s="16">
        <f>IF(AND(E57&gt;=J57,E57&lt;=K57),1,0)</f>
        <v>1</v>
      </c>
      <c r="AX57" s="16">
        <f>IF(AND(F57&gt;=N57,F57&lt;=O57),1,0)</f>
        <v>1</v>
      </c>
    </row>
    <row r="58" spans="1:50">
      <c r="A58" s="21">
        <f>Oranlar!A58</f>
        <v>46092</v>
      </c>
      <c r="B58" s="22" t="str">
        <f>Oranlar!C58&amp;" @ "&amp;Oranlar!D58</f>
        <v>HOU @ DEN</v>
      </c>
      <c r="C58" s="23">
        <f>Oranlar!F58</f>
        <v>129</v>
      </c>
      <c r="D58" s="23">
        <f>Oranlar!E58</f>
        <v>93</v>
      </c>
      <c r="E58" s="15">
        <f>C58-D58</f>
        <v>36</v>
      </c>
      <c r="F58" s="16">
        <f>C58+D58</f>
        <v>222</v>
      </c>
      <c r="G58" s="24">
        <v>0.57</v>
      </c>
      <c r="H58" s="10">
        <v>1.3</v>
      </c>
      <c r="I58" s="10">
        <v>5.8</v>
      </c>
      <c r="J58" s="10">
        <v>-12</v>
      </c>
      <c r="K58" s="10">
        <v>24</v>
      </c>
      <c r="L58" s="11">
        <v>231.51</v>
      </c>
      <c r="M58" s="11">
        <v>229.9</v>
      </c>
      <c r="N58" s="11">
        <v>202</v>
      </c>
      <c r="O58" s="11">
        <v>257</v>
      </c>
      <c r="P58" s="11">
        <v>116.14</v>
      </c>
      <c r="Q58" s="11">
        <v>114.5</v>
      </c>
      <c r="R58" s="25">
        <f>Oranlar!Y58</f>
        <v>0.6957699520733487</v>
      </c>
      <c r="S58" s="26">
        <f>-Oranlar!O58</f>
        <v>6.5</v>
      </c>
      <c r="T58" s="26">
        <f>-Oranlar!I58</f>
        <v>5.5</v>
      </c>
      <c r="U58" s="27">
        <f>Oranlar!V58</f>
        <v>232.5</v>
      </c>
      <c r="V58" s="27">
        <f>Oranlar!L58</f>
        <v>227.5</v>
      </c>
      <c r="W58" s="28">
        <f>(U58+S58)/2</f>
        <v>119.5</v>
      </c>
      <c r="X58" s="28">
        <f>(U58-S58)/2</f>
        <v>113.0</v>
      </c>
      <c r="Y58" s="16">
        <f>IF(G58=0.5,"",IF((G58&gt;0.5)=(E58&gt;0),1,0))</f>
        <v>1</v>
      </c>
      <c r="Z58" s="16">
        <f>IF(R58=0.5,"",IF((R58&gt;0.5)=(E58&gt;0),1,0))</f>
        <v>1</v>
      </c>
      <c r="AA58" s="29">
        <f>(G58-IF(E58&gt;0,1,0))^2</f>
        <v>0.18490000000000004</v>
      </c>
      <c r="AB58" s="29">
        <f>(R58-IF(E58&gt;0,1,0))^2</f>
        <v>0.09255592206145255</v>
      </c>
      <c r="AC58" s="28">
        <f>ABS(H58-E58)</f>
        <v>34.7</v>
      </c>
      <c r="AD58" s="28">
        <f>ABS(I58-E58)</f>
        <v>30.2</v>
      </c>
      <c r="AE58" s="28">
        <f>ABS(S58-E58)</f>
        <v>29.5</v>
      </c>
      <c r="AF58" s="28">
        <f>ABS(L58-F58)</f>
        <v>9.509999999999991</v>
      </c>
      <c r="AG58" s="28">
        <f>ABS(M58-F58)</f>
        <v>7.900000000000006</v>
      </c>
      <c r="AH58" s="28">
        <f>ABS(U58-F58)</f>
        <v>10.5</v>
      </c>
      <c r="AI58" s="28">
        <f>ABS(P58-C58)</f>
        <v>12.86</v>
      </c>
      <c r="AJ58" s="28">
        <f>ABS(W58-C58)</f>
        <v>9.5</v>
      </c>
      <c r="AK58" s="28">
        <f>ABS(Q58-D58)</f>
        <v>21.5</v>
      </c>
      <c r="AL58" s="28">
        <f>ABS(X58-D58)</f>
        <v>20.0</v>
      </c>
      <c r="AM58" s="17" t="str">
        <f>IF(H58&gt;S58,"Ev",IF(H58&lt;S58,"Dep",""))</f>
        <v>Dep</v>
      </c>
      <c r="AN58" s="17" t="str">
        <f>IF(AM58="","",IF(E58=S58,"Push",IF((E58&gt;S58)=(AM58="Ev"),"Kazandı","Kaybetti")))</f>
        <v>Kaybetti</v>
      </c>
      <c r="AO58" s="30">
        <f>IF(AM58="","",IF(AN58="Push",0,IF(AN58="Kazandı",IF(AM58="Ev",Oranlar!P58,Oranlar!Q58)-1,-1)))</f>
        <v>-1.0</v>
      </c>
      <c r="AP58" s="17" t="str">
        <f>IF(L58&gt;U58,"Üst",IF(L58&lt;U58,"Alt",""))</f>
        <v>Alt</v>
      </c>
      <c r="AQ58" s="17" t="str">
        <f>IF(AP58="","",IF(F58=U58,"Push",IF((F58&gt;U58)=(AP58="Üst"),"Kazandı","Kaybetti")))</f>
        <v>Kazandı</v>
      </c>
      <c r="AR58" s="30">
        <f>IF(AP58="","",IF(AQ58="Push",0,IF(AQ58="Kazandı",IF(AP58="Üst",Oranlar!W58,Oranlar!X58)-1,-1)))</f>
        <v>0.8928571428571428</v>
      </c>
      <c r="AS58" s="17" t="str">
        <f>IF(G58*Oranlar!R58&gt;1,"Ev",IF((1-G58)*Oranlar!S58&gt;1,"Dep",""))</f>
        <v>Dep</v>
      </c>
      <c r="AT58" s="30">
        <f>IF(AS58="","",IF((AS58="Ev")=(E58&gt;0),IF(AS58="Ev",Oranlar!R58,Oranlar!S58)-1,-1))</f>
        <v>-1.0</v>
      </c>
      <c r="AU58" s="16">
        <f>IF(OR(H58=T58,S58=T58),"",IF((H58&gt;T58)=(S58&gt;T58),1,0))</f>
        <v>0</v>
      </c>
      <c r="AV58" s="16">
        <f>IF(OR(L58=V58,U58=V58),"",IF((L58&gt;V58)=(U58&gt;V58),1,0))</f>
        <v>1</v>
      </c>
      <c r="AW58" s="16">
        <f>IF(AND(E58&gt;=J58,E58&lt;=K58),1,0)</f>
        <v>0</v>
      </c>
      <c r="AX58" s="16">
        <f>IF(AND(F58&gt;=N58,F58&lt;=O58),1,0)</f>
        <v>1</v>
      </c>
    </row>
    <row r="59" spans="1:50">
      <c r="A59" s="21">
        <f>Oranlar!A59</f>
        <v>46092</v>
      </c>
      <c r="B59" s="22" t="str">
        <f>Oranlar!C59&amp;" @ "&amp;Oranlar!D59</f>
        <v>CHA @ SAC</v>
      </c>
      <c r="C59" s="23">
        <f>Oranlar!F59</f>
        <v>109</v>
      </c>
      <c r="D59" s="23">
        <f>Oranlar!E59</f>
        <v>117</v>
      </c>
      <c r="E59" s="15">
        <f>C59-D59</f>
        <v>-8</v>
      </c>
      <c r="F59" s="16">
        <f>C59+D59</f>
        <v>226</v>
      </c>
      <c r="G59" s="24">
        <v>0.323</v>
      </c>
      <c r="H59" s="10">
        <v>-5.9</v>
      </c>
      <c r="I59" s="10">
        <v>-11.3</v>
      </c>
      <c r="J59" s="10">
        <v>-30</v>
      </c>
      <c r="K59" s="10">
        <v>7</v>
      </c>
      <c r="L59" s="11">
        <v>231.69</v>
      </c>
      <c r="M59" s="11">
        <v>232.7</v>
      </c>
      <c r="N59" s="11">
        <v>205</v>
      </c>
      <c r="O59" s="11">
        <v>260</v>
      </c>
      <c r="P59" s="11">
        <v>111.2</v>
      </c>
      <c r="Q59" s="11">
        <v>122.3</v>
      </c>
      <c r="R59" s="25">
        <f>Oranlar!Y59</f>
        <v>0.12790697674418605</v>
      </c>
      <c r="S59" s="26">
        <f>-Oranlar!O59</f>
        <v>-14.5</v>
      </c>
      <c r="T59" s="26">
        <f>-Oranlar!I59</f>
        <v>-12.5</v>
      </c>
      <c r="U59" s="27">
        <f>Oranlar!V59</f>
        <v>224.5</v>
      </c>
      <c r="V59" s="27">
        <f>Oranlar!L59</f>
        <v>227.5</v>
      </c>
      <c r="W59" s="28">
        <f>(U59+S59)/2</f>
        <v>105.0</v>
      </c>
      <c r="X59" s="28">
        <f>(U59-S59)/2</f>
        <v>119.5</v>
      </c>
      <c r="Y59" s="16">
        <f>IF(G59=0.5,"",IF((G59&gt;0.5)=(E59&gt;0),1,0))</f>
        <v>1</v>
      </c>
      <c r="Z59" s="16">
        <f>IF(R59=0.5,"",IF((R59&gt;0.5)=(E59&gt;0),1,0))</f>
        <v>1</v>
      </c>
      <c r="AA59" s="29">
        <f>(G59-IF(E59&gt;0,1,0))^2</f>
        <v>0.104329</v>
      </c>
      <c r="AB59" s="29">
        <f>(R59-IF(E59&gt;0,1,0))^2</f>
        <v>0.016360194699837752</v>
      </c>
      <c r="AC59" s="28">
        <f>ABS(H59-E59)</f>
        <v>2.0999999999999996</v>
      </c>
      <c r="AD59" s="28">
        <f>ABS(I59-E59)</f>
        <v>3.3000000000000007</v>
      </c>
      <c r="AE59" s="28">
        <f>ABS(S59-E59)</f>
        <v>6.5</v>
      </c>
      <c r="AF59" s="28">
        <f>ABS(L59-F59)</f>
        <v>5.689999999999998</v>
      </c>
      <c r="AG59" s="28">
        <f>ABS(M59-F59)</f>
        <v>6.699999999999989</v>
      </c>
      <c r="AH59" s="28">
        <f>ABS(U59-F59)</f>
        <v>1.5</v>
      </c>
      <c r="AI59" s="28">
        <f>ABS(P59-C59)</f>
        <v>2.200000000000003</v>
      </c>
      <c r="AJ59" s="28">
        <f>ABS(W59-C59)</f>
        <v>4.0</v>
      </c>
      <c r="AK59" s="28">
        <f>ABS(Q59-D59)</f>
        <v>5.299999999999997</v>
      </c>
      <c r="AL59" s="28">
        <f>ABS(X59-D59)</f>
        <v>2.5</v>
      </c>
      <c r="AM59" s="17" t="str">
        <f>IF(H59&gt;S59,"Ev",IF(H59&lt;S59,"Dep",""))</f>
        <v>Ev</v>
      </c>
      <c r="AN59" s="17" t="str">
        <f>IF(AM59="","",IF(E59=S59,"Push",IF((E59&gt;S59)=(AM59="Ev"),"Kazandı","Kaybetti")))</f>
        <v>Kazandı</v>
      </c>
      <c r="AO59" s="30">
        <f>IF(AM59="","",IF(AN59="Push",0,IF(AN59="Kazandı",IF(AM59="Ev",Oranlar!P59,Oranlar!Q59)-1,-1)))</f>
        <v>0.9523809523809523</v>
      </c>
      <c r="AP59" s="17" t="str">
        <f>IF(L59&gt;U59,"Üst",IF(L59&lt;U59,"Alt",""))</f>
        <v>Üst</v>
      </c>
      <c r="AQ59" s="17" t="str">
        <f>IF(AP59="","",IF(F59=U59,"Push",IF((F59&gt;U59)=(AP59="Üst"),"Kazandı","Kaybetti")))</f>
        <v>Kazandı</v>
      </c>
      <c r="AR59" s="30">
        <f>IF(AP59="","",IF(AQ59="Push",0,IF(AQ59="Kazandı",IF(AP59="Üst",Oranlar!W59,Oranlar!X59)-1,-1)))</f>
        <v>0.925925925925926</v>
      </c>
      <c r="AS59" s="17" t="str">
        <f>IF(G59*Oranlar!R59&gt;1,"Ev",IF((1-G59)*Oranlar!S59&gt;1,"Dep",""))</f>
        <v>Ev</v>
      </c>
      <c r="AT59" s="30">
        <f>IF(AS59="","",IF((AS59="Ev")=(E59&gt;0),IF(AS59="Ev",Oranlar!R59,Oranlar!S59)-1,-1))</f>
        <v>-1.0</v>
      </c>
      <c r="AU59" s="16">
        <f>IF(OR(H59=T59,S59=T59),"",IF((H59&gt;T59)=(S59&gt;T59),1,0))</f>
        <v>0</v>
      </c>
      <c r="AV59" s="16">
        <f>IF(OR(L59=V59,U59=V59),"",IF((L59&gt;V59)=(U59&gt;V59),1,0))</f>
        <v>0</v>
      </c>
      <c r="AW59" s="16">
        <f>IF(AND(E59&gt;=J59,E59&lt;=K59),1,0)</f>
        <v>1</v>
      </c>
      <c r="AX59" s="16">
        <f>IF(AND(F59&gt;=N59,F59&lt;=O59),1,0)</f>
        <v>1</v>
      </c>
    </row>
    <row r="60" spans="1:50">
      <c r="A60" s="21">
        <f>Oranlar!A60</f>
        <v>46092</v>
      </c>
      <c r="B60" s="22" t="str">
        <f>Oranlar!C60&amp;" @ "&amp;Oranlar!D60</f>
        <v>MIN @ LAC</v>
      </c>
      <c r="C60" s="23">
        <f>Oranlar!F60</f>
        <v>153</v>
      </c>
      <c r="D60" s="23">
        <f>Oranlar!E60</f>
        <v>128</v>
      </c>
      <c r="E60" s="15">
        <f>C60-D60</f>
        <v>25</v>
      </c>
      <c r="F60" s="16">
        <f>C60+D60</f>
        <v>281</v>
      </c>
      <c r="G60" s="24">
        <v>0.655</v>
      </c>
      <c r="H60" s="10">
        <v>6.79</v>
      </c>
      <c r="I60" s="10">
        <v>3.6</v>
      </c>
      <c r="J60" s="10">
        <v>-15</v>
      </c>
      <c r="K60" s="10">
        <v>22</v>
      </c>
      <c r="L60" s="11">
        <v>229.34</v>
      </c>
      <c r="M60" s="11">
        <v>229.4</v>
      </c>
      <c r="N60" s="11">
        <v>202</v>
      </c>
      <c r="O60" s="11">
        <v>257</v>
      </c>
      <c r="P60" s="11">
        <v>118.46</v>
      </c>
      <c r="Q60" s="11">
        <v>111.55</v>
      </c>
      <c r="R60" s="25">
        <f>Oranlar!Y60</f>
        <v>0.5108342361863489</v>
      </c>
      <c r="S60" s="26">
        <f>-Oranlar!O60</f>
        <v>1.5</v>
      </c>
      <c r="T60" s="26">
        <f>-Oranlar!I60</f>
        <v>1.5</v>
      </c>
      <c r="U60" s="27">
        <f>Oranlar!V60</f>
        <v>226.5</v>
      </c>
      <c r="V60" s="27">
        <f>Oranlar!L60</f>
        <v>225.5</v>
      </c>
      <c r="W60" s="28">
        <f>(U60+S60)/2</f>
        <v>114.0</v>
      </c>
      <c r="X60" s="28">
        <f>(U60-S60)/2</f>
        <v>112.5</v>
      </c>
      <c r="Y60" s="16">
        <f>IF(G60=0.5,"",IF((G60&gt;0.5)=(E60&gt;0),1,0))</f>
        <v>1</v>
      </c>
      <c r="Z60" s="16">
        <f>IF(R60=0.5,"",IF((R60&gt;0.5)=(E60&gt;0),1,0))</f>
        <v>1</v>
      </c>
      <c r="AA60" s="29">
        <f>(G60-IF(E60&gt;0,1,0))^2</f>
        <v>0.11902499999999998</v>
      </c>
      <c r="AB60" s="29">
        <f>(R60-IF(E60&gt;0,1,0))^2</f>
        <v>0.23928314448739266</v>
      </c>
      <c r="AC60" s="28">
        <f>ABS(H60-E60)</f>
        <v>18.21</v>
      </c>
      <c r="AD60" s="28">
        <f>ABS(I60-E60)</f>
        <v>21.4</v>
      </c>
      <c r="AE60" s="28">
        <f>ABS(S60-E60)</f>
        <v>23.5</v>
      </c>
      <c r="AF60" s="28">
        <f>ABS(L60-F60)</f>
        <v>51.66</v>
      </c>
      <c r="AG60" s="28">
        <f>ABS(M60-F60)</f>
        <v>51.599999999999994</v>
      </c>
      <c r="AH60" s="28">
        <f>ABS(U60-F60)</f>
        <v>54.5</v>
      </c>
      <c r="AI60" s="28">
        <f>ABS(P60-C60)</f>
        <v>34.540000000000006</v>
      </c>
      <c r="AJ60" s="28">
        <f>ABS(W60-C60)</f>
        <v>39.0</v>
      </c>
      <c r="AK60" s="28">
        <f>ABS(Q60-D60)</f>
        <v>16.450000000000003</v>
      </c>
      <c r="AL60" s="28">
        <f>ABS(X60-D60)</f>
        <v>15.5</v>
      </c>
      <c r="AM60" s="17" t="str">
        <f>IF(H60&gt;S60,"Ev",IF(H60&lt;S60,"Dep",""))</f>
        <v>Ev</v>
      </c>
      <c r="AN60" s="17" t="str">
        <f>IF(AM60="","",IF(E60=S60,"Push",IF((E60&gt;S60)=(AM60="Ev"),"Kazandı","Kaybetti")))</f>
        <v>Kazandı</v>
      </c>
      <c r="AO60" s="30">
        <f>IF(AM60="","",IF(AN60="Push",0,IF(AN60="Kazandı",IF(AM60="Ev",Oranlar!P60,Oranlar!Q60)-1,-1)))</f>
        <v>0.9523809523809523</v>
      </c>
      <c r="AP60" s="17" t="str">
        <f>IF(L60&gt;U60,"Üst",IF(L60&lt;U60,"Alt",""))</f>
        <v>Üst</v>
      </c>
      <c r="AQ60" s="17" t="str">
        <f>IF(AP60="","",IF(F60=U60,"Push",IF((F60&gt;U60)=(AP60="Üst"),"Kazandı","Kaybetti")))</f>
        <v>Kazandı</v>
      </c>
      <c r="AR60" s="30">
        <f>IF(AP60="","",IF(AQ60="Push",0,IF(AQ60="Kazandı",IF(AP60="Üst",Oranlar!W60,Oranlar!X60)-1,-1)))</f>
        <v>0.8928571428571428</v>
      </c>
      <c r="AS60" s="17" t="str">
        <f>IF(G60*Oranlar!R60&gt;1,"Ev",IF((1-G60)*Oranlar!S60&gt;1,"Dep",""))</f>
        <v>Ev</v>
      </c>
      <c r="AT60" s="30">
        <f>IF(AS60="","",IF((AS60="Ev")=(E60&gt;0),IF(AS60="Ev",Oranlar!R60,Oranlar!S60)-1,-1))</f>
        <v>0.8695652173913042</v>
      </c>
      <c r="AU60" s="16">
        <f>IF(OR(H60=T60,S60=T60),"",IF((H60&gt;T60)=(S60&gt;T60),1,0))</f>
        <v/>
      </c>
      <c r="AV60" s="16">
        <f>IF(OR(L60=V60,U60=V60),"",IF((L60&gt;V60)=(U60&gt;V60),1,0))</f>
        <v>1</v>
      </c>
      <c r="AW60" s="16">
        <f>IF(AND(E60&gt;=J60,E60&lt;=K60),1,0)</f>
        <v>0</v>
      </c>
      <c r="AX60" s="16">
        <f>IF(AND(F60&gt;=N60,F60&lt;=O60),1,0)</f>
        <v>0</v>
      </c>
    </row>
    <row r="61" spans="1:50">
      <c r="A61" s="21">
        <f>Oranlar!A61</f>
        <v>46093</v>
      </c>
      <c r="B61" s="22" t="str">
        <f>Oranlar!C61&amp;" @ "&amp;Oranlar!D61</f>
        <v>PHI @ DET</v>
      </c>
      <c r="C61" s="23">
        <f>Oranlar!F61</f>
        <v>131</v>
      </c>
      <c r="D61" s="23">
        <f>Oranlar!E61</f>
        <v>109</v>
      </c>
      <c r="E61" s="15">
        <f>C61-D61</f>
        <v>22</v>
      </c>
      <c r="F61" s="16">
        <f>C61+D61</f>
        <v>240</v>
      </c>
      <c r="G61" s="24">
        <v>0.834</v>
      </c>
      <c r="H61" s="10">
        <v>16.35</v>
      </c>
      <c r="I61" s="10">
        <v>10.2</v>
      </c>
      <c r="J61" s="10">
        <v>-8</v>
      </c>
      <c r="K61" s="10">
        <v>29</v>
      </c>
      <c r="L61" s="11">
        <v>228.81</v>
      </c>
      <c r="M61" s="11">
        <v>234.6</v>
      </c>
      <c r="N61" s="11">
        <v>207</v>
      </c>
      <c r="O61" s="11">
        <v>262</v>
      </c>
      <c r="P61" s="11">
        <v>123.04</v>
      </c>
      <c r="Q61" s="11">
        <v>105.79</v>
      </c>
      <c r="R61" s="25">
        <f>Oranlar!Y61</f>
        <v>0.8761776581426649</v>
      </c>
      <c r="S61" s="26">
        <f>-Oranlar!O61</f>
        <v>14.5</v>
      </c>
      <c r="T61" s="26">
        <f>-Oranlar!I61</f>
        <v>14.5</v>
      </c>
      <c r="U61" s="27">
        <f>Oranlar!V61</f>
        <v>224.5</v>
      </c>
      <c r="V61" s="27">
        <f>Oranlar!L61</f>
        <v>219.5</v>
      </c>
      <c r="W61" s="28">
        <f>(U61+S61)/2</f>
        <v>119.5</v>
      </c>
      <c r="X61" s="28">
        <f>(U61-S61)/2</f>
        <v>105.0</v>
      </c>
      <c r="Y61" s="16">
        <f>IF(G61=0.5,"",IF((G61&gt;0.5)=(E61&gt;0),1,0))</f>
        <v>1</v>
      </c>
      <c r="Z61" s="16">
        <f>IF(R61=0.5,"",IF((R61&gt;0.5)=(E61&gt;0),1,0))</f>
        <v>1</v>
      </c>
      <c r="AA61" s="29">
        <f>(G61-IF(E61&gt;0,1,0))^2</f>
        <v>0.02755600000000001</v>
      </c>
      <c r="AB61" s="29">
        <f>(R61-IF(E61&gt;0,1,0))^2</f>
        <v>0.015331972343034758</v>
      </c>
      <c r="AC61" s="28">
        <f>ABS(H61-E61)</f>
        <v>5.649999999999999</v>
      </c>
      <c r="AD61" s="28">
        <f>ABS(I61-E61)</f>
        <v>11.8</v>
      </c>
      <c r="AE61" s="28">
        <f>ABS(S61-E61)</f>
        <v>7.5</v>
      </c>
      <c r="AF61" s="28">
        <f>ABS(L61-F61)</f>
        <v>11.189999999999998</v>
      </c>
      <c r="AG61" s="28">
        <f>ABS(M61-F61)</f>
        <v>5.400000000000006</v>
      </c>
      <c r="AH61" s="28">
        <f>ABS(U61-F61)</f>
        <v>15.5</v>
      </c>
      <c r="AI61" s="28">
        <f>ABS(P61-C61)</f>
        <v>7.959999999999994</v>
      </c>
      <c r="AJ61" s="28">
        <f>ABS(W61-C61)</f>
        <v>11.5</v>
      </c>
      <c r="AK61" s="28">
        <f>ABS(Q61-D61)</f>
        <v>3.2099999999999937</v>
      </c>
      <c r="AL61" s="28">
        <f>ABS(X61-D61)</f>
        <v>4.0</v>
      </c>
      <c r="AM61" s="17" t="str">
        <f>IF(H61&gt;S61,"Ev",IF(H61&lt;S61,"Dep",""))</f>
        <v>Ev</v>
      </c>
      <c r="AN61" s="17" t="str">
        <f>IF(AM61="","",IF(E61=S61,"Push",IF((E61&gt;S61)=(AM61="Ev"),"Kazandı","Kaybetti")))</f>
        <v>Kazandı</v>
      </c>
      <c r="AO61" s="30">
        <f>IF(AM61="","",IF(AN61="Push",0,IF(AN61="Kazandı",IF(AM61="Ev",Oranlar!P61,Oranlar!Q61)-1,-1)))</f>
        <v>0.925925925925926</v>
      </c>
      <c r="AP61" s="17" t="str">
        <f>IF(L61&gt;U61,"Üst",IF(L61&lt;U61,"Alt",""))</f>
        <v>Üst</v>
      </c>
      <c r="AQ61" s="17" t="str">
        <f>IF(AP61="","",IF(F61=U61,"Push",IF((F61&gt;U61)=(AP61="Üst"),"Kazandı","Kaybetti")))</f>
        <v>Kazandı</v>
      </c>
      <c r="AR61" s="30">
        <f>IF(AP61="","",IF(AQ61="Push",0,IF(AQ61="Kazandı",IF(AP61="Üst",Oranlar!W61,Oranlar!X61)-1,-1)))</f>
        <v>0.9523809523809523</v>
      </c>
      <c r="AS61" s="17" t="str">
        <f>IF(G61*Oranlar!R61&gt;1,"Ev",IF((1-G61)*Oranlar!S61&gt;1,"Dep",""))</f>
        <v>Dep</v>
      </c>
      <c r="AT61" s="30">
        <f>IF(AS61="","",IF((AS61="Ev")=(E61&gt;0),IF(AS61="Ev",Oranlar!R61,Oranlar!S61)-1,-1))</f>
        <v>-1.0</v>
      </c>
      <c r="AU61" s="16">
        <f>IF(OR(H61=T61,S61=T61),"",IF((H61&gt;T61)=(S61&gt;T61),1,0))</f>
        <v/>
      </c>
      <c r="AV61" s="16">
        <f>IF(OR(L61=V61,U61=V61),"",IF((L61&gt;V61)=(U61&gt;V61),1,0))</f>
        <v>1</v>
      </c>
      <c r="AW61" s="16">
        <f>IF(AND(E61&gt;=J61,E61&lt;=K61),1,0)</f>
        <v>1</v>
      </c>
      <c r="AX61" s="16">
        <f>IF(AND(F61&gt;=N61,F61&lt;=O61),1,0)</f>
        <v>1</v>
      </c>
    </row>
    <row r="62" spans="1:50">
      <c r="A62" s="21">
        <f>Oranlar!A62</f>
        <v>46093</v>
      </c>
      <c r="B62" s="22" t="str">
        <f>Oranlar!C62&amp;" @ "&amp;Oranlar!D62</f>
        <v>PHX @ IND</v>
      </c>
      <c r="C62" s="23">
        <f>Oranlar!F62</f>
        <v>108</v>
      </c>
      <c r="D62" s="23">
        <f>Oranlar!E62</f>
        <v>123</v>
      </c>
      <c r="E62" s="15">
        <f>C62-D62</f>
        <v>-15</v>
      </c>
      <c r="F62" s="16">
        <f>C62+D62</f>
        <v>231</v>
      </c>
      <c r="G62" s="24">
        <v>0.325</v>
      </c>
      <c r="H62" s="10">
        <v>-6.48</v>
      </c>
      <c r="I62" s="10">
        <v>-5.2</v>
      </c>
      <c r="J62" s="10">
        <v>-23</v>
      </c>
      <c r="K62" s="10">
        <v>13</v>
      </c>
      <c r="L62" s="11">
        <v>227.59</v>
      </c>
      <c r="M62" s="11">
        <v>228.2</v>
      </c>
      <c r="N62" s="11">
        <v>201</v>
      </c>
      <c r="O62" s="11">
        <v>255</v>
      </c>
      <c r="P62" s="11">
        <v>110.56</v>
      </c>
      <c r="Q62" s="11">
        <v>117.13</v>
      </c>
      <c r="R62" s="25">
        <f>Oranlar!Y62</f>
        <v>0.22849462365591394</v>
      </c>
      <c r="S62" s="26">
        <f>-Oranlar!O62</f>
        <v>-9.5</v>
      </c>
      <c r="T62" s="26">
        <f>-Oranlar!I62</f>
        <v>-8.5</v>
      </c>
      <c r="U62" s="27">
        <f>Oranlar!V62</f>
        <v>222.5</v>
      </c>
      <c r="V62" s="27">
        <f>Oranlar!L62</f>
        <v>225.5</v>
      </c>
      <c r="W62" s="28">
        <f>(U62+S62)/2</f>
        <v>106.5</v>
      </c>
      <c r="X62" s="28">
        <f>(U62-S62)/2</f>
        <v>116.0</v>
      </c>
      <c r="Y62" s="16">
        <f>IF(G62=0.5,"",IF((G62&gt;0.5)=(E62&gt;0),1,0))</f>
        <v>1</v>
      </c>
      <c r="Z62" s="16">
        <f>IF(R62=0.5,"",IF((R62&gt;0.5)=(E62&gt;0),1,0))</f>
        <v>1</v>
      </c>
      <c r="AA62" s="29">
        <f>(G62-IF(E62&gt;0,1,0))^2</f>
        <v>0.10562500000000001</v>
      </c>
      <c r="AB62" s="29">
        <f>(R62-IF(E62&gt;0,1,0))^2</f>
        <v>0.05220979303965775</v>
      </c>
      <c r="AC62" s="28">
        <f>ABS(H62-E62)</f>
        <v>8.52</v>
      </c>
      <c r="AD62" s="28">
        <f>ABS(I62-E62)</f>
        <v>9.8</v>
      </c>
      <c r="AE62" s="28">
        <f>ABS(S62-E62)</f>
        <v>5.5</v>
      </c>
      <c r="AF62" s="28">
        <f>ABS(L62-F62)</f>
        <v>3.4099999999999966</v>
      </c>
      <c r="AG62" s="28">
        <f>ABS(M62-F62)</f>
        <v>2.8000000000000114</v>
      </c>
      <c r="AH62" s="28">
        <f>ABS(U62-F62)</f>
        <v>8.5</v>
      </c>
      <c r="AI62" s="28">
        <f>ABS(P62-C62)</f>
        <v>2.5600000000000023</v>
      </c>
      <c r="AJ62" s="28">
        <f>ABS(W62-C62)</f>
        <v>1.5</v>
      </c>
      <c r="AK62" s="28">
        <f>ABS(Q62-D62)</f>
        <v>5.8700000000000045</v>
      </c>
      <c r="AL62" s="28">
        <f>ABS(X62-D62)</f>
        <v>7.0</v>
      </c>
      <c r="AM62" s="17" t="str">
        <f>IF(H62&gt;S62,"Ev",IF(H62&lt;S62,"Dep",""))</f>
        <v>Ev</v>
      </c>
      <c r="AN62" s="17" t="str">
        <f>IF(AM62="","",IF(E62=S62,"Push",IF((E62&gt;S62)=(AM62="Ev"),"Kazandı","Kaybetti")))</f>
        <v>Kaybetti</v>
      </c>
      <c r="AO62" s="30">
        <f>IF(AM62="","",IF(AN62="Push",0,IF(AN62="Kazandı",IF(AM62="Ev",Oranlar!P62,Oranlar!Q62)-1,-1)))</f>
        <v>-1.0</v>
      </c>
      <c r="AP62" s="17" t="str">
        <f>IF(L62&gt;U62,"Üst",IF(L62&lt;U62,"Alt",""))</f>
        <v>Üst</v>
      </c>
      <c r="AQ62" s="17" t="str">
        <f>IF(AP62="","",IF(F62=U62,"Push",IF((F62&gt;U62)=(AP62="Üst"),"Kazandı","Kaybetti")))</f>
        <v>Kazandı</v>
      </c>
      <c r="AR62" s="30">
        <f>IF(AP62="","",IF(AQ62="Push",0,IF(AQ62="Kazandı",IF(AP62="Üst",Oranlar!W62,Oranlar!X62)-1,-1)))</f>
        <v>0.8695652173913042</v>
      </c>
      <c r="AS62" s="17" t="str">
        <f>IF(G62*Oranlar!R62&gt;1,"Ev",IF((1-G62)*Oranlar!S62&gt;1,"Dep",""))</f>
        <v>Ev</v>
      </c>
      <c r="AT62" s="30">
        <f>IF(AS62="","",IF((AS62="Ev")=(E62&gt;0),IF(AS62="Ev",Oranlar!R62,Oranlar!S62)-1,-1))</f>
        <v>-1.0</v>
      </c>
      <c r="AU62" s="16">
        <f>IF(OR(H62=T62,S62=T62),"",IF((H62&gt;T62)=(S62&gt;T62),1,0))</f>
        <v>0</v>
      </c>
      <c r="AV62" s="16">
        <f>IF(OR(L62=V62,U62=V62),"",IF((L62&gt;V62)=(U62&gt;V62),1,0))</f>
        <v>0</v>
      </c>
      <c r="AW62" s="16">
        <f>IF(AND(E62&gt;=J62,E62&lt;=K62),1,0)</f>
        <v>1</v>
      </c>
      <c r="AX62" s="16">
        <f>IF(AND(F62&gt;=N62,F62&lt;=O62),1,0)</f>
        <v>1</v>
      </c>
    </row>
    <row r="63" spans="1:50">
      <c r="A63" s="21">
        <f>Oranlar!A63</f>
        <v>46093</v>
      </c>
      <c r="B63" s="22" t="str">
        <f>Oranlar!C63&amp;" @ "&amp;Oranlar!D63</f>
        <v>WAS @ ORL</v>
      </c>
      <c r="C63" s="23">
        <f>Oranlar!F63</f>
        <v>136</v>
      </c>
      <c r="D63" s="23">
        <f>Oranlar!E63</f>
        <v>131</v>
      </c>
      <c r="E63" s="15">
        <f>C63-D63</f>
        <v>5</v>
      </c>
      <c r="F63" s="16">
        <f>C63+D63</f>
        <v>267</v>
      </c>
      <c r="G63" s="24">
        <v>0.779</v>
      </c>
      <c r="H63" s="10">
        <v>10.78</v>
      </c>
      <c r="I63" s="10">
        <v>10.8</v>
      </c>
      <c r="J63" s="10">
        <v>-8</v>
      </c>
      <c r="K63" s="10">
        <v>30</v>
      </c>
      <c r="L63" s="11">
        <v>232.6</v>
      </c>
      <c r="M63" s="11">
        <v>233.8</v>
      </c>
      <c r="N63" s="11">
        <v>206</v>
      </c>
      <c r="O63" s="11">
        <v>261</v>
      </c>
      <c r="P63" s="11">
        <v>121.11</v>
      </c>
      <c r="Q63" s="11">
        <v>110.82</v>
      </c>
      <c r="R63" s="25">
        <f>Oranlar!Y63</f>
        <v>0.8677165354330708</v>
      </c>
      <c r="S63" s="26">
        <f>-Oranlar!O63</f>
        <v>14.5</v>
      </c>
      <c r="T63" s="26">
        <f>-Oranlar!I63</f>
        <v>14.5</v>
      </c>
      <c r="U63" s="27">
        <f>Oranlar!V63</f>
        <v>236.5</v>
      </c>
      <c r="V63" s="27">
        <f>Oranlar!L63</f>
        <v>229.5</v>
      </c>
      <c r="W63" s="28">
        <f>(U63+S63)/2</f>
        <v>125.5</v>
      </c>
      <c r="X63" s="28">
        <f>(U63-S63)/2</f>
        <v>111.0</v>
      </c>
      <c r="Y63" s="16">
        <f>IF(G63=0.5,"",IF((G63&gt;0.5)=(E63&gt;0),1,0))</f>
        <v>1</v>
      </c>
      <c r="Z63" s="16">
        <f>IF(R63=0.5,"",IF((R63&gt;0.5)=(E63&gt;0),1,0))</f>
        <v>1</v>
      </c>
      <c r="AA63" s="29">
        <f>(G63-IF(E63&gt;0,1,0))^2</f>
        <v>0.04884099999999999</v>
      </c>
      <c r="AB63" s="29">
        <f>(R63-IF(E63&gt;0,1,0))^2</f>
        <v>0.01749891499783001</v>
      </c>
      <c r="AC63" s="28">
        <f>ABS(H63-E63)</f>
        <v>5.779999999999999</v>
      </c>
      <c r="AD63" s="28">
        <f>ABS(I63-E63)</f>
        <v>5.800000000000001</v>
      </c>
      <c r="AE63" s="28">
        <f>ABS(S63-E63)</f>
        <v>9.5</v>
      </c>
      <c r="AF63" s="28">
        <f>ABS(L63-F63)</f>
        <v>34.400000000000006</v>
      </c>
      <c r="AG63" s="28">
        <f>ABS(M63-F63)</f>
        <v>33.19999999999999</v>
      </c>
      <c r="AH63" s="28">
        <f>ABS(U63-F63)</f>
        <v>30.5</v>
      </c>
      <c r="AI63" s="28">
        <f>ABS(P63-C63)</f>
        <v>14.89</v>
      </c>
      <c r="AJ63" s="28">
        <f>ABS(W63-C63)</f>
        <v>10.5</v>
      </c>
      <c r="AK63" s="28">
        <f>ABS(Q63-D63)</f>
        <v>20.180000000000007</v>
      </c>
      <c r="AL63" s="28">
        <f>ABS(X63-D63)</f>
        <v>20.0</v>
      </c>
      <c r="AM63" s="17" t="str">
        <f>IF(H63&gt;S63,"Ev",IF(H63&lt;S63,"Dep",""))</f>
        <v>Dep</v>
      </c>
      <c r="AN63" s="17" t="str">
        <f>IF(AM63="","",IF(E63=S63,"Push",IF((E63&gt;S63)=(AM63="Ev"),"Kazandı","Kaybetti")))</f>
        <v>Kazandı</v>
      </c>
      <c r="AO63" s="30">
        <f>IF(AM63="","",IF(AN63="Push",0,IF(AN63="Kazandı",IF(AM63="Ev",Oranlar!P63,Oranlar!Q63)-1,-1)))</f>
        <v>0.8333333333333335</v>
      </c>
      <c r="AP63" s="17" t="str">
        <f>IF(L63&gt;U63,"Üst",IF(L63&lt;U63,"Alt",""))</f>
        <v>Alt</v>
      </c>
      <c r="AQ63" s="17" t="str">
        <f>IF(AP63="","",IF(F63=U63,"Push",IF((F63&gt;U63)=(AP63="Üst"),"Kazandı","Kaybetti")))</f>
        <v>Kaybetti</v>
      </c>
      <c r="AR63" s="30">
        <f>IF(AP63="","",IF(AQ63="Push",0,IF(AQ63="Kazandı",IF(AP63="Üst",Oranlar!W63,Oranlar!X63)-1,-1)))</f>
        <v>-1.0</v>
      </c>
      <c r="AS63" s="17" t="str">
        <f>IF(G63*Oranlar!R63&gt;1,"Ev",IF((1-G63)*Oranlar!S63&gt;1,"Dep",""))</f>
        <v>Dep</v>
      </c>
      <c r="AT63" s="30">
        <f>IF(AS63="","",IF((AS63="Ev")=(E63&gt;0),IF(AS63="Ev",Oranlar!R63,Oranlar!S63)-1,-1))</f>
        <v>-1.0</v>
      </c>
      <c r="AU63" s="16">
        <f>IF(OR(H63=T63,S63=T63),"",IF((H63&gt;T63)=(S63&gt;T63),1,0))</f>
        <v/>
      </c>
      <c r="AV63" s="16">
        <f>IF(OR(L63=V63,U63=V63),"",IF((L63&gt;V63)=(U63&gt;V63),1,0))</f>
        <v>1</v>
      </c>
      <c r="AW63" s="16">
        <f>IF(AND(E63&gt;=J63,E63&lt;=K63),1,0)</f>
        <v>1</v>
      </c>
      <c r="AX63" s="16">
        <f>IF(AND(F63&gt;=N63,F63&lt;=O63),1,0)</f>
        <v>0</v>
      </c>
    </row>
    <row r="64" spans="1:50">
      <c r="A64" s="21">
        <f>Oranlar!A64</f>
        <v>46093</v>
      </c>
      <c r="B64" s="22" t="str">
        <f>Oranlar!C64&amp;" @ "&amp;Oranlar!D64</f>
        <v>BKN @ ATL</v>
      </c>
      <c r="C64" s="23">
        <f>Oranlar!F64</f>
        <v>108</v>
      </c>
      <c r="D64" s="23">
        <f>Oranlar!E64</f>
        <v>97</v>
      </c>
      <c r="E64" s="15">
        <f>C64-D64</f>
        <v>11</v>
      </c>
      <c r="F64" s="16">
        <f>C64+D64</f>
        <v>205</v>
      </c>
      <c r="G64" s="24">
        <v>0.8100000000000001</v>
      </c>
      <c r="H64" s="10">
        <v>10.19</v>
      </c>
      <c r="I64" s="10">
        <v>15.6</v>
      </c>
      <c r="J64" s="10">
        <v>-3</v>
      </c>
      <c r="K64" s="10">
        <v>34</v>
      </c>
      <c r="L64" s="11">
        <v>225.35</v>
      </c>
      <c r="M64" s="11">
        <v>230.9</v>
      </c>
      <c r="N64" s="11">
        <v>204</v>
      </c>
      <c r="O64" s="11">
        <v>258</v>
      </c>
      <c r="P64" s="11">
        <v>119.77</v>
      </c>
      <c r="Q64" s="11">
        <v>107.12</v>
      </c>
      <c r="R64" s="25">
        <f>Oranlar!Y64</f>
        <v>0.8869565217391304</v>
      </c>
      <c r="S64" s="26">
        <f>-Oranlar!O64</f>
        <v>15.5</v>
      </c>
      <c r="T64" s="26">
        <f>-Oranlar!I64</f>
        <v>13.5</v>
      </c>
      <c r="U64" s="27">
        <f>Oranlar!V64</f>
        <v>226.5</v>
      </c>
      <c r="V64" s="27">
        <f>Oranlar!L64</f>
        <v>226.5</v>
      </c>
      <c r="W64" s="28">
        <f>(U64+S64)/2</f>
        <v>121.0</v>
      </c>
      <c r="X64" s="28">
        <f>(U64-S64)/2</f>
        <v>105.5</v>
      </c>
      <c r="Y64" s="16">
        <f>IF(G64=0.5,"",IF((G64&gt;0.5)=(E64&gt;0),1,0))</f>
        <v>1</v>
      </c>
      <c r="Z64" s="16">
        <f>IF(R64=0.5,"",IF((R64&gt;0.5)=(E64&gt;0),1,0))</f>
        <v>1</v>
      </c>
      <c r="AA64" s="29">
        <f>(G64-IF(E64&gt;0,1,0))^2</f>
        <v>0.03609999999999998</v>
      </c>
      <c r="AB64" s="29">
        <f>(R64-IF(E64&gt;0,1,0))^2</f>
        <v>0.012778827977315693</v>
      </c>
      <c r="AC64" s="28">
        <f>ABS(H64-E64)</f>
        <v>0.8100000000000005</v>
      </c>
      <c r="AD64" s="28">
        <f>ABS(I64-E64)</f>
        <v>4.6</v>
      </c>
      <c r="AE64" s="28">
        <f>ABS(S64-E64)</f>
        <v>4.5</v>
      </c>
      <c r="AF64" s="28">
        <f>ABS(L64-F64)</f>
        <v>20.349999999999994</v>
      </c>
      <c r="AG64" s="28">
        <f>ABS(M64-F64)</f>
        <v>25.900000000000006</v>
      </c>
      <c r="AH64" s="28">
        <f>ABS(U64-F64)</f>
        <v>21.5</v>
      </c>
      <c r="AI64" s="28">
        <f>ABS(P64-C64)</f>
        <v>11.769999999999996</v>
      </c>
      <c r="AJ64" s="28">
        <f>ABS(W64-C64)</f>
        <v>13.0</v>
      </c>
      <c r="AK64" s="28">
        <f>ABS(Q64-D64)</f>
        <v>10.120000000000005</v>
      </c>
      <c r="AL64" s="28">
        <f>ABS(X64-D64)</f>
        <v>8.5</v>
      </c>
      <c r="AM64" s="17" t="str">
        <f>IF(H64&gt;S64,"Ev",IF(H64&lt;S64,"Dep",""))</f>
        <v>Dep</v>
      </c>
      <c r="AN64" s="17" t="str">
        <f>IF(AM64="","",IF(E64=S64,"Push",IF((E64&gt;S64)=(AM64="Ev"),"Kazandı","Kaybetti")))</f>
        <v>Kazandı</v>
      </c>
      <c r="AO64" s="30">
        <f>IF(AM64="","",IF(AN64="Push",0,IF(AN64="Kazandı",IF(AM64="Ev",Oranlar!P64,Oranlar!Q64)-1,-1)))</f>
        <v>0.9090909090909092</v>
      </c>
      <c r="AP64" s="17" t="str">
        <f>IF(L64&gt;U64,"Üst",IF(L64&lt;U64,"Alt",""))</f>
        <v>Alt</v>
      </c>
      <c r="AQ64" s="17" t="str">
        <f>IF(AP64="","",IF(F64=U64,"Push",IF((F64&gt;U64)=(AP64="Üst"),"Kazandı","Kaybetti")))</f>
        <v>Kazandı</v>
      </c>
      <c r="AR64" s="30">
        <f>IF(AP64="","",IF(AQ64="Push",0,IF(AQ64="Kazandı",IF(AP64="Üst",Oranlar!W64,Oranlar!X64)-1,-1)))</f>
        <v>0.9090909090909092</v>
      </c>
      <c r="AS64" s="17" t="str">
        <f>IF(G64*Oranlar!R64&gt;1,"Ev",IF((1-G64)*Oranlar!S64&gt;1,"Dep",""))</f>
        <v>Dep</v>
      </c>
      <c r="AT64" s="30">
        <f>IF(AS64="","",IF((AS64="Ev")=(E64&gt;0),IF(AS64="Ev",Oranlar!R64,Oranlar!S64)-1,-1))</f>
        <v>-1.0</v>
      </c>
      <c r="AU64" s="16">
        <f>IF(OR(H64=T64,S64=T64),"",IF((H64&gt;T64)=(S64&gt;T64),1,0))</f>
        <v>0</v>
      </c>
      <c r="AV64" s="16">
        <f>IF(OR(L64=V64,U64=V64),"",IF((L64&gt;V64)=(U64&gt;V64),1,0))</f>
        <v/>
      </c>
      <c r="AW64" s="16">
        <f>IF(AND(E64&gt;=J64,E64&lt;=K64),1,0)</f>
        <v>1</v>
      </c>
      <c r="AX64" s="16">
        <f>IF(AND(F64&gt;=N64,F64&lt;=O64),1,0)</f>
        <v>1</v>
      </c>
    </row>
    <row r="65" spans="1:50">
      <c r="A65" s="21">
        <f>Oranlar!A65</f>
        <v>46093</v>
      </c>
      <c r="B65" s="22" t="str">
        <f>Oranlar!C65&amp;" @ "&amp;Oranlar!D65</f>
        <v>MIL @ MIA</v>
      </c>
      <c r="C65" s="23">
        <f>Oranlar!F65</f>
        <v>112</v>
      </c>
      <c r="D65" s="23">
        <f>Oranlar!E65</f>
        <v>105</v>
      </c>
      <c r="E65" s="15">
        <f>C65-D65</f>
        <v>7</v>
      </c>
      <c r="F65" s="16">
        <f>C65+D65</f>
        <v>217</v>
      </c>
      <c r="G65" s="24">
        <v>0.659</v>
      </c>
      <c r="H65" s="10">
        <v>4.59</v>
      </c>
      <c r="I65" s="10">
        <v>7.3</v>
      </c>
      <c r="J65" s="10">
        <v>-11</v>
      </c>
      <c r="K65" s="10">
        <v>26</v>
      </c>
      <c r="L65" s="11">
        <v>232.84</v>
      </c>
      <c r="M65" s="11">
        <v>232.7</v>
      </c>
      <c r="N65" s="11">
        <v>205</v>
      </c>
      <c r="O65" s="11">
        <v>260</v>
      </c>
      <c r="P65" s="11">
        <v>119.19</v>
      </c>
      <c r="Q65" s="11">
        <v>114.3</v>
      </c>
      <c r="R65" s="25">
        <f>Oranlar!Y65</f>
        <v>0.6574752261956053</v>
      </c>
      <c r="S65" s="26">
        <f>-Oranlar!O65</f>
        <v>5.5</v>
      </c>
      <c r="T65" s="26">
        <f>-Oranlar!I65</f>
        <v>5.5</v>
      </c>
      <c r="U65" s="27">
        <f>Oranlar!V65</f>
        <v>233.5</v>
      </c>
      <c r="V65" s="27">
        <f>Oranlar!L65</f>
        <v>228.5</v>
      </c>
      <c r="W65" s="28">
        <f>(U65+S65)/2</f>
        <v>119.5</v>
      </c>
      <c r="X65" s="28">
        <f>(U65-S65)/2</f>
        <v>114.0</v>
      </c>
      <c r="Y65" s="16">
        <f>IF(G65=0.5,"",IF((G65&gt;0.5)=(E65&gt;0),1,0))</f>
        <v>1</v>
      </c>
      <c r="Z65" s="16">
        <f>IF(R65=0.5,"",IF((R65&gt;0.5)=(E65&gt;0),1,0))</f>
        <v>1</v>
      </c>
      <c r="AA65" s="29">
        <f>(G65-IF(E65&gt;0,1,0))^2</f>
        <v>0.11628099999999998</v>
      </c>
      <c r="AB65" s="29">
        <f>(R65-IF(E65&gt;0,1,0))^2</f>
        <v>0.11732322066975177</v>
      </c>
      <c r="AC65" s="28">
        <f>ABS(H65-E65)</f>
        <v>2.41</v>
      </c>
      <c r="AD65" s="28">
        <f>ABS(I65-E65)</f>
        <v>0.2999999999999998</v>
      </c>
      <c r="AE65" s="28">
        <f>ABS(S65-E65)</f>
        <v>1.5</v>
      </c>
      <c r="AF65" s="28">
        <f>ABS(L65-F65)</f>
        <v>15.840000000000003</v>
      </c>
      <c r="AG65" s="28">
        <f>ABS(M65-F65)</f>
        <v>15.699999999999989</v>
      </c>
      <c r="AH65" s="28">
        <f>ABS(U65-F65)</f>
        <v>16.5</v>
      </c>
      <c r="AI65" s="28">
        <f>ABS(P65-C65)</f>
        <v>7.189999999999998</v>
      </c>
      <c r="AJ65" s="28">
        <f>ABS(W65-C65)</f>
        <v>7.5</v>
      </c>
      <c r="AK65" s="28">
        <f>ABS(Q65-D65)</f>
        <v>9.299999999999997</v>
      </c>
      <c r="AL65" s="28">
        <f>ABS(X65-D65)</f>
        <v>9.0</v>
      </c>
      <c r="AM65" s="17" t="str">
        <f>IF(H65&gt;S65,"Ev",IF(H65&lt;S65,"Dep",""))</f>
        <v>Dep</v>
      </c>
      <c r="AN65" s="17" t="str">
        <f>IF(AM65="","",IF(E65=S65,"Push",IF((E65&gt;S65)=(AM65="Ev"),"Kazandı","Kaybetti")))</f>
        <v>Kaybetti</v>
      </c>
      <c r="AO65" s="30">
        <f>IF(AM65="","",IF(AN65="Push",0,IF(AN65="Kazandı",IF(AM65="Ev",Oranlar!P65,Oranlar!Q65)-1,-1)))</f>
        <v>-1.0</v>
      </c>
      <c r="AP65" s="17" t="str">
        <f>IF(L65&gt;U65,"Üst",IF(L65&lt;U65,"Alt",""))</f>
        <v>Alt</v>
      </c>
      <c r="AQ65" s="17" t="str">
        <f>IF(AP65="","",IF(F65=U65,"Push",IF((F65&gt;U65)=(AP65="Üst"),"Kazandı","Kaybetti")))</f>
        <v>Kazandı</v>
      </c>
      <c r="AR65" s="30">
        <f>IF(AP65="","",IF(AQ65="Push",0,IF(AQ65="Kazandı",IF(AP65="Üst",Oranlar!W65,Oranlar!X65)-1,-1)))</f>
        <v>0.9090909090909092</v>
      </c>
      <c r="AS65" s="17">
        <f>IF(G65*Oranlar!R65&gt;1,"Ev",IF((1-G65)*Oranlar!S65&gt;1,"Dep",""))</f>
        <v/>
      </c>
      <c r="AT65" s="30">
        <f>IF(AS65="","",IF((AS65="Ev")=(E65&gt;0),IF(AS65="Ev",Oranlar!R65,Oranlar!S65)-1,-1))</f>
        <v/>
      </c>
      <c r="AU65" s="16">
        <f>IF(OR(H65=T65,S65=T65),"",IF((H65&gt;T65)=(S65&gt;T65),1,0))</f>
        <v/>
      </c>
      <c r="AV65" s="16">
        <f>IF(OR(L65=V65,U65=V65),"",IF((L65&gt;V65)=(U65&gt;V65),1,0))</f>
        <v>1</v>
      </c>
      <c r="AW65" s="16">
        <f>IF(AND(E65&gt;=J65,E65&lt;=K65),1,0)</f>
        <v>1</v>
      </c>
      <c r="AX65" s="16">
        <f>IF(AND(F65&gt;=N65,F65&lt;=O65),1,0)</f>
        <v>1</v>
      </c>
    </row>
    <row r="66" spans="1:50">
      <c r="A66" s="21">
        <f>Oranlar!A66</f>
        <v>46093</v>
      </c>
      <c r="B66" s="22" t="str">
        <f>Oranlar!C66&amp;" @ "&amp;Oranlar!D66</f>
        <v>DEN @ SAS</v>
      </c>
      <c r="C66" s="23">
        <f>Oranlar!F66</f>
        <v>131</v>
      </c>
      <c r="D66" s="23">
        <f>Oranlar!E66</f>
        <v>136</v>
      </c>
      <c r="E66" s="15">
        <f>C66-D66</f>
        <v>-5</v>
      </c>
      <c r="F66" s="16">
        <f>C66+D66</f>
        <v>267</v>
      </c>
      <c r="G66" s="24">
        <v>0.538</v>
      </c>
      <c r="H66" s="10">
        <v>1.45</v>
      </c>
      <c r="I66" s="10">
        <v>3.9</v>
      </c>
      <c r="J66" s="10">
        <v>-14</v>
      </c>
      <c r="K66" s="10">
        <v>22</v>
      </c>
      <c r="L66" s="11">
        <v>231.34</v>
      </c>
      <c r="M66" s="11">
        <v>230</v>
      </c>
      <c r="N66" s="11">
        <v>203</v>
      </c>
      <c r="O66" s="11">
        <v>257</v>
      </c>
      <c r="P66" s="11">
        <v>117.12</v>
      </c>
      <c r="Q66" s="11">
        <v>116.73</v>
      </c>
      <c r="R66" s="25">
        <f>Oranlar!Y66</f>
        <v>0.5829926410466066</v>
      </c>
      <c r="S66" s="26">
        <f>-Oranlar!O66</f>
        <v>3.5</v>
      </c>
      <c r="T66" s="26">
        <f>-Oranlar!I66</f>
        <v>4.5</v>
      </c>
      <c r="U66" s="27">
        <f>Oranlar!V66</f>
        <v>241.5</v>
      </c>
      <c r="V66" s="27">
        <f>Oranlar!L66</f>
        <v>234.5</v>
      </c>
      <c r="W66" s="28">
        <f>(U66+S66)/2</f>
        <v>122.5</v>
      </c>
      <c r="X66" s="28">
        <f>(U66-S66)/2</f>
        <v>119.0</v>
      </c>
      <c r="Y66" s="16">
        <f>IF(G66=0.5,"",IF((G66&gt;0.5)=(E66&gt;0),1,0))</f>
        <v>0</v>
      </c>
      <c r="Z66" s="16">
        <f>IF(R66=0.5,"",IF((R66&gt;0.5)=(E66&gt;0),1,0))</f>
        <v>0</v>
      </c>
      <c r="AA66" s="29">
        <f>(G66-IF(E66&gt;0,1,0))^2</f>
        <v>0.28944400000000003</v>
      </c>
      <c r="AB66" s="29">
        <f>(R66-IF(E66&gt;0,1,0))^2</f>
        <v>0.33988041951449754</v>
      </c>
      <c r="AC66" s="28">
        <f>ABS(H66-E66)</f>
        <v>6.45</v>
      </c>
      <c r="AD66" s="28">
        <f>ABS(I66-E66)</f>
        <v>8.9</v>
      </c>
      <c r="AE66" s="28">
        <f>ABS(S66-E66)</f>
        <v>8.5</v>
      </c>
      <c r="AF66" s="28">
        <f>ABS(L66-F66)</f>
        <v>35.66</v>
      </c>
      <c r="AG66" s="28">
        <f>ABS(M66-F66)</f>
        <v>37.0</v>
      </c>
      <c r="AH66" s="28">
        <f>ABS(U66-F66)</f>
        <v>25.5</v>
      </c>
      <c r="AI66" s="28">
        <f>ABS(P66-C66)</f>
        <v>13.879999999999995</v>
      </c>
      <c r="AJ66" s="28">
        <f>ABS(W66-C66)</f>
        <v>8.5</v>
      </c>
      <c r="AK66" s="28">
        <f>ABS(Q66-D66)</f>
        <v>19.269999999999996</v>
      </c>
      <c r="AL66" s="28">
        <f>ABS(X66-D66)</f>
        <v>17.0</v>
      </c>
      <c r="AM66" s="17" t="str">
        <f>IF(H66&gt;S66,"Ev",IF(H66&lt;S66,"Dep",""))</f>
        <v>Dep</v>
      </c>
      <c r="AN66" s="17" t="str">
        <f>IF(AM66="","",IF(E66=S66,"Push",IF((E66&gt;S66)=(AM66="Ev"),"Kazandı","Kaybetti")))</f>
        <v>Kazandı</v>
      </c>
      <c r="AO66" s="30">
        <f>IF(AM66="","",IF(AN66="Push",0,IF(AN66="Kazandı",IF(AM66="Ev",Oranlar!P66,Oranlar!Q66)-1,-1)))</f>
        <v>0.8928571428571428</v>
      </c>
      <c r="AP66" s="17" t="str">
        <f>IF(L66&gt;U66,"Üst",IF(L66&lt;U66,"Alt",""))</f>
        <v>Alt</v>
      </c>
      <c r="AQ66" s="17" t="str">
        <f>IF(AP66="","",IF(F66=U66,"Push",IF((F66&gt;U66)=(AP66="Üst"),"Kazandı","Kaybetti")))</f>
        <v>Kaybetti</v>
      </c>
      <c r="AR66" s="30">
        <f>IF(AP66="","",IF(AQ66="Push",0,IF(AQ66="Kazandı",IF(AP66="Üst",Oranlar!W66,Oranlar!X66)-1,-1)))</f>
        <v>-1.0</v>
      </c>
      <c r="AS66" s="17" t="str">
        <f>IF(G66*Oranlar!R66&gt;1,"Ev",IF((1-G66)*Oranlar!S66&gt;1,"Dep",""))</f>
        <v>Dep</v>
      </c>
      <c r="AT66" s="30">
        <f>IF(AS66="","",IF((AS66="Ev")=(E66&gt;0),IF(AS66="Ev",Oranlar!R66,Oranlar!S66)-1,-1))</f>
        <v>1.2999999999999998</v>
      </c>
      <c r="AU66" s="16">
        <f>IF(OR(H66=T66,S66=T66),"",IF((H66&gt;T66)=(S66&gt;T66),1,0))</f>
        <v>1</v>
      </c>
      <c r="AV66" s="16">
        <f>IF(OR(L66=V66,U66=V66),"",IF((L66&gt;V66)=(U66&gt;V66),1,0))</f>
        <v>0</v>
      </c>
      <c r="AW66" s="16">
        <f>IF(AND(E66&gt;=J66,E66&lt;=K66),1,0)</f>
        <v>1</v>
      </c>
      <c r="AX66" s="16">
        <f>IF(AND(F66&gt;=N66,F66&lt;=O66),1,0)</f>
        <v>0</v>
      </c>
    </row>
    <row r="67" spans="1:50">
      <c r="A67" s="21">
        <f>Oranlar!A67</f>
        <v>46093</v>
      </c>
      <c r="B67" s="22" t="str">
        <f>Oranlar!C67&amp;" @ "&amp;Oranlar!D67</f>
        <v>BOS @ OKC</v>
      </c>
      <c r="C67" s="23">
        <f>Oranlar!F67</f>
        <v>104</v>
      </c>
      <c r="D67" s="23">
        <f>Oranlar!E67</f>
        <v>102</v>
      </c>
      <c r="E67" s="15">
        <f>C67-D67</f>
        <v>2</v>
      </c>
      <c r="F67" s="16">
        <f>C67+D67</f>
        <v>206</v>
      </c>
      <c r="G67" s="24">
        <v>0.599</v>
      </c>
      <c r="H67" s="10">
        <v>2.77</v>
      </c>
      <c r="I67" s="10">
        <v>1.6</v>
      </c>
      <c r="J67" s="10">
        <v>-16</v>
      </c>
      <c r="K67" s="10">
        <v>20</v>
      </c>
      <c r="L67" s="11">
        <v>222.83</v>
      </c>
      <c r="M67" s="11">
        <v>221.5</v>
      </c>
      <c r="N67" s="11">
        <v>195</v>
      </c>
      <c r="O67" s="11">
        <v>248</v>
      </c>
      <c r="P67" s="11">
        <v>112.07</v>
      </c>
      <c r="Q67" s="11">
        <v>108.91</v>
      </c>
      <c r="R67" s="25">
        <f>Oranlar!Y67</f>
        <v>0.7440690150970525</v>
      </c>
      <c r="S67" s="26">
        <f>-Oranlar!O67</f>
        <v>8.5</v>
      </c>
      <c r="T67" s="26">
        <f>-Oranlar!I67</f>
        <v>6.5</v>
      </c>
      <c r="U67" s="27">
        <f>Oranlar!V67</f>
        <v>216.5</v>
      </c>
      <c r="V67" s="27">
        <f>Oranlar!L67</f>
        <v>216.5</v>
      </c>
      <c r="W67" s="28">
        <f>(U67+S67)/2</f>
        <v>112.5</v>
      </c>
      <c r="X67" s="28">
        <f>(U67-S67)/2</f>
        <v>104.0</v>
      </c>
      <c r="Y67" s="16">
        <f>IF(G67=0.5,"",IF((G67&gt;0.5)=(E67&gt;0),1,0))</f>
        <v>1</v>
      </c>
      <c r="Z67" s="16">
        <f>IF(R67=0.5,"",IF((R67&gt;0.5)=(E67&gt;0),1,0))</f>
        <v>1</v>
      </c>
      <c r="AA67" s="29">
        <f>(G67-IF(E67&gt;0,1,0))^2</f>
        <v>0.16080100000000003</v>
      </c>
      <c r="AB67" s="29">
        <f>(R67-IF(E67&gt;0,1,0))^2</f>
        <v>0.06550066903339276</v>
      </c>
      <c r="AC67" s="28">
        <f>ABS(H67-E67)</f>
        <v>0.77</v>
      </c>
      <c r="AD67" s="28">
        <f>ABS(I67-E67)</f>
        <v>0.3999999999999999</v>
      </c>
      <c r="AE67" s="28">
        <f>ABS(S67-E67)</f>
        <v>6.5</v>
      </c>
      <c r="AF67" s="28">
        <f>ABS(L67-F67)</f>
        <v>16.830000000000013</v>
      </c>
      <c r="AG67" s="28">
        <f>ABS(M67-F67)</f>
        <v>15.5</v>
      </c>
      <c r="AH67" s="28">
        <f>ABS(U67-F67)</f>
        <v>10.5</v>
      </c>
      <c r="AI67" s="28">
        <f>ABS(P67-C67)</f>
        <v>8.069999999999993</v>
      </c>
      <c r="AJ67" s="28">
        <f>ABS(W67-C67)</f>
        <v>8.5</v>
      </c>
      <c r="AK67" s="28">
        <f>ABS(Q67-D67)</f>
        <v>6.909999999999997</v>
      </c>
      <c r="AL67" s="28">
        <f>ABS(X67-D67)</f>
        <v>2.0</v>
      </c>
      <c r="AM67" s="17" t="str">
        <f>IF(H67&gt;S67,"Ev",IF(H67&lt;S67,"Dep",""))</f>
        <v>Dep</v>
      </c>
      <c r="AN67" s="17" t="str">
        <f>IF(AM67="","",IF(E67=S67,"Push",IF((E67&gt;S67)=(AM67="Ev"),"Kazandı","Kaybetti")))</f>
        <v>Kazandı</v>
      </c>
      <c r="AO67" s="30">
        <f>IF(AM67="","",IF(AN67="Push",0,IF(AN67="Kazandı",IF(AM67="Ev",Oranlar!P67,Oranlar!Q67)-1,-1)))</f>
        <v>0.9090909090909092</v>
      </c>
      <c r="AP67" s="17" t="str">
        <f>IF(L67&gt;U67,"Üst",IF(L67&lt;U67,"Alt",""))</f>
        <v>Üst</v>
      </c>
      <c r="AQ67" s="17" t="str">
        <f>IF(AP67="","",IF(F67=U67,"Push",IF((F67&gt;U67)=(AP67="Üst"),"Kazandı","Kaybetti")))</f>
        <v>Kaybetti</v>
      </c>
      <c r="AR67" s="30">
        <f>IF(AP67="","",IF(AQ67="Push",0,IF(AQ67="Kazandı",IF(AP67="Üst",Oranlar!W67,Oranlar!X67)-1,-1)))</f>
        <v>-1.0</v>
      </c>
      <c r="AS67" s="17" t="str">
        <f>IF(G67*Oranlar!R67&gt;1,"Ev",IF((1-G67)*Oranlar!S67&gt;1,"Dep",""))</f>
        <v>Dep</v>
      </c>
      <c r="AT67" s="30">
        <f>IF(AS67="","",IF((AS67="Ev")=(E67&gt;0),IF(AS67="Ev",Oranlar!R67,Oranlar!S67)-1,-1))</f>
        <v>-1.0</v>
      </c>
      <c r="AU67" s="16">
        <f>IF(OR(H67=T67,S67=T67),"",IF((H67&gt;T67)=(S67&gt;T67),1,0))</f>
        <v>0</v>
      </c>
      <c r="AV67" s="16">
        <f>IF(OR(L67=V67,U67=V67),"",IF((L67&gt;V67)=(U67&gt;V67),1,0))</f>
        <v/>
      </c>
      <c r="AW67" s="16">
        <f>IF(AND(E67&gt;=J67,E67&lt;=K67),1,0)</f>
        <v>1</v>
      </c>
      <c r="AX67" s="16">
        <f>IF(AND(F67&gt;=N67,F67&lt;=O67),1,0)</f>
        <v>1</v>
      </c>
    </row>
    <row r="68" spans="1:50">
      <c r="A68" s="21">
        <f>Oranlar!A68</f>
        <v>46093</v>
      </c>
      <c r="B68" s="22" t="str">
        <f>Oranlar!C68&amp;" @ "&amp;Oranlar!D68</f>
        <v>CHI @ LAL</v>
      </c>
      <c r="C68" s="23">
        <f>Oranlar!F68</f>
        <v>142</v>
      </c>
      <c r="D68" s="23">
        <f>Oranlar!E68</f>
        <v>130</v>
      </c>
      <c r="E68" s="15">
        <f>C68-D68</f>
        <v>12</v>
      </c>
      <c r="F68" s="16">
        <f>C68+D68</f>
        <v>272</v>
      </c>
      <c r="G68" s="24">
        <v>0.6840000000000001</v>
      </c>
      <c r="H68" s="10">
        <v>3.37</v>
      </c>
      <c r="I68" s="10">
        <v>10.1</v>
      </c>
      <c r="J68" s="10">
        <v>-8</v>
      </c>
      <c r="K68" s="10">
        <v>29</v>
      </c>
      <c r="L68" s="11">
        <v>229.2</v>
      </c>
      <c r="M68" s="11">
        <v>229.4</v>
      </c>
      <c r="N68" s="11">
        <v>202</v>
      </c>
      <c r="O68" s="11">
        <v>256</v>
      </c>
      <c r="P68" s="11">
        <v>117.52</v>
      </c>
      <c r="Q68" s="11">
        <v>112.1</v>
      </c>
      <c r="R68" s="25">
        <f>Oranlar!Y68</f>
        <v>0.8172588832487311</v>
      </c>
      <c r="S68" s="26">
        <f>-Oranlar!O68</f>
        <v>10.5</v>
      </c>
      <c r="T68" s="26">
        <f>-Oranlar!I68</f>
        <v>10.5</v>
      </c>
      <c r="U68" s="27">
        <f>Oranlar!V68</f>
        <v>240.5</v>
      </c>
      <c r="V68" s="27">
        <f>Oranlar!L68</f>
        <v>232.5</v>
      </c>
      <c r="W68" s="28">
        <f>(U68+S68)/2</f>
        <v>125.5</v>
      </c>
      <c r="X68" s="28">
        <f>(U68-S68)/2</f>
        <v>115.0</v>
      </c>
      <c r="Y68" s="16">
        <f>IF(G68=0.5,"",IF((G68&gt;0.5)=(E68&gt;0),1,0))</f>
        <v>1</v>
      </c>
      <c r="Z68" s="16">
        <f>IF(R68=0.5,"",IF((R68&gt;0.5)=(E68&gt;0),1,0))</f>
        <v>1</v>
      </c>
      <c r="AA68" s="29">
        <f>(G68-IF(E68&gt;0,1,0))^2</f>
        <v>0.09985599999999997</v>
      </c>
      <c r="AB68" s="29">
        <f>(R68-IF(E68&gt;0,1,0))^2</f>
        <v>0.0333943157515009</v>
      </c>
      <c r="AC68" s="28">
        <f>ABS(H68-E68)</f>
        <v>8.629999999999999</v>
      </c>
      <c r="AD68" s="28">
        <f>ABS(I68-E68)</f>
        <v>1.9000000000000004</v>
      </c>
      <c r="AE68" s="28">
        <f>ABS(S68-E68)</f>
        <v>1.5</v>
      </c>
      <c r="AF68" s="28">
        <f>ABS(L68-F68)</f>
        <v>42.80000000000001</v>
      </c>
      <c r="AG68" s="28">
        <f>ABS(M68-F68)</f>
        <v>42.599999999999994</v>
      </c>
      <c r="AH68" s="28">
        <f>ABS(U68-F68)</f>
        <v>31.5</v>
      </c>
      <c r="AI68" s="28">
        <f>ABS(P68-C68)</f>
        <v>24.480000000000004</v>
      </c>
      <c r="AJ68" s="28">
        <f>ABS(W68-C68)</f>
        <v>16.5</v>
      </c>
      <c r="AK68" s="28">
        <f>ABS(Q68-D68)</f>
        <v>17.900000000000006</v>
      </c>
      <c r="AL68" s="28">
        <f>ABS(X68-D68)</f>
        <v>15.0</v>
      </c>
      <c r="AM68" s="17" t="str">
        <f>IF(H68&gt;S68,"Ev",IF(H68&lt;S68,"Dep",""))</f>
        <v>Dep</v>
      </c>
      <c r="AN68" s="17" t="str">
        <f>IF(AM68="","",IF(E68=S68,"Push",IF((E68&gt;S68)=(AM68="Ev"),"Kazandı","Kaybetti")))</f>
        <v>Kaybetti</v>
      </c>
      <c r="AO68" s="30">
        <f>IF(AM68="","",IF(AN68="Push",0,IF(AN68="Kazandı",IF(AM68="Ev",Oranlar!P68,Oranlar!Q68)-1,-1)))</f>
        <v>-1.0</v>
      </c>
      <c r="AP68" s="17" t="str">
        <f>IF(L68&gt;U68,"Üst",IF(L68&lt;U68,"Alt",""))</f>
        <v>Alt</v>
      </c>
      <c r="AQ68" s="17" t="str">
        <f>IF(AP68="","",IF(F68=U68,"Push",IF((F68&gt;U68)=(AP68="Üst"),"Kazandı","Kaybetti")))</f>
        <v>Kaybetti</v>
      </c>
      <c r="AR68" s="30">
        <f>IF(AP68="","",IF(AQ68="Push",0,IF(AQ68="Kazandı",IF(AP68="Üst",Oranlar!W68,Oranlar!X68)-1,-1)))</f>
        <v>-1.0</v>
      </c>
      <c r="AS68" s="17" t="str">
        <f>IF(G68*Oranlar!R68&gt;1,"Ev",IF((1-G68)*Oranlar!S68&gt;1,"Dep",""))</f>
        <v>Dep</v>
      </c>
      <c r="AT68" s="30">
        <f>IF(AS68="","",IF((AS68="Ev")=(E68&gt;0),IF(AS68="Ev",Oranlar!R68,Oranlar!S68)-1,-1))</f>
        <v>-1.0</v>
      </c>
      <c r="AU68" s="16">
        <f>IF(OR(H68=T68,S68=T68),"",IF((H68&gt;T68)=(S68&gt;T68),1,0))</f>
        <v/>
      </c>
      <c r="AV68" s="16">
        <f>IF(OR(L68=V68,U68=V68),"",IF((L68&gt;V68)=(U68&gt;V68),1,0))</f>
        <v>0</v>
      </c>
      <c r="AW68" s="16">
        <f>IF(AND(E68&gt;=J68,E68&lt;=K68),1,0)</f>
        <v>1</v>
      </c>
      <c r="AX68" s="16">
        <f>IF(AND(F68&gt;=N68,F68&lt;=O68),1,0)</f>
        <v>0</v>
      </c>
    </row>
    <row r="69" spans="1:50">
      <c r="A69" s="21">
        <f>Oranlar!A69</f>
        <v>46093</v>
      </c>
      <c r="B69" s="22" t="str">
        <f>Oranlar!C69&amp;" @ "&amp;Oranlar!D69</f>
        <v>DAL @ MEM</v>
      </c>
      <c r="C69" s="23">
        <f>Oranlar!F69</f>
        <v>112</v>
      </c>
      <c r="D69" s="23">
        <f>Oranlar!E69</f>
        <v>120</v>
      </c>
      <c r="E69" s="15">
        <f>C69-D69</f>
        <v>-8</v>
      </c>
      <c r="F69" s="16">
        <f>C69+D69</f>
        <v>232</v>
      </c>
      <c r="G69" s="24">
        <v>0.578</v>
      </c>
      <c r="H69" s="10">
        <v>2.18</v>
      </c>
      <c r="I69" s="10">
        <v>-0.7</v>
      </c>
      <c r="J69" s="10">
        <v>-19</v>
      </c>
      <c r="K69" s="10">
        <v>18</v>
      </c>
      <c r="L69" s="11">
        <v>231.86</v>
      </c>
      <c r="M69" s="11">
        <v>231.4</v>
      </c>
      <c r="N69" s="11">
        <v>204</v>
      </c>
      <c r="O69" s="11">
        <v>259</v>
      </c>
      <c r="P69" s="11">
        <v>116.01</v>
      </c>
      <c r="Q69" s="11">
        <v>115.69</v>
      </c>
      <c r="R69" s="25">
        <f>Oranlar!Y69</f>
        <v>0.3425247738043946</v>
      </c>
      <c r="S69" s="26">
        <f>-Oranlar!O69</f>
        <v>-5.5</v>
      </c>
      <c r="T69" s="26">
        <f>-Oranlar!I69</f>
        <v>-4.5</v>
      </c>
      <c r="U69" s="27">
        <f>Oranlar!V69</f>
        <v>239.5</v>
      </c>
      <c r="V69" s="27">
        <f>Oranlar!L69</f>
        <v>235.5</v>
      </c>
      <c r="W69" s="28">
        <f>(U69+S69)/2</f>
        <v>117.0</v>
      </c>
      <c r="X69" s="28">
        <f>(U69-S69)/2</f>
        <v>122.5</v>
      </c>
      <c r="Y69" s="16">
        <f>IF(G69=0.5,"",IF((G69&gt;0.5)=(E69&gt;0),1,0))</f>
        <v>0</v>
      </c>
      <c r="Z69" s="16">
        <f>IF(R69=0.5,"",IF((R69&gt;0.5)=(E69&gt;0),1,0))</f>
        <v>1</v>
      </c>
      <c r="AA69" s="29">
        <f>(G69-IF(E69&gt;0,1,0))^2</f>
        <v>0.33408399999999994</v>
      </c>
      <c r="AB69" s="29">
        <f>(R69-IF(E69&gt;0,1,0))^2</f>
        <v>0.11732322066975169</v>
      </c>
      <c r="AC69" s="28">
        <f>ABS(H69-E69)</f>
        <v>10.18</v>
      </c>
      <c r="AD69" s="28">
        <f>ABS(I69-E69)</f>
        <v>7.3</v>
      </c>
      <c r="AE69" s="28">
        <f>ABS(S69-E69)</f>
        <v>2.5</v>
      </c>
      <c r="AF69" s="28">
        <f>ABS(L69-F69)</f>
        <v>0.13999999999998636</v>
      </c>
      <c r="AG69" s="28">
        <f>ABS(M69-F69)</f>
        <v>0.5999999999999943</v>
      </c>
      <c r="AH69" s="28">
        <f>ABS(U69-F69)</f>
        <v>7.5</v>
      </c>
      <c r="AI69" s="28">
        <f>ABS(P69-C69)</f>
        <v>4.010000000000005</v>
      </c>
      <c r="AJ69" s="28">
        <f>ABS(W69-C69)</f>
        <v>5.0</v>
      </c>
      <c r="AK69" s="28">
        <f>ABS(Q69-D69)</f>
        <v>4.310000000000002</v>
      </c>
      <c r="AL69" s="28">
        <f>ABS(X69-D69)</f>
        <v>2.5</v>
      </c>
      <c r="AM69" s="17" t="str">
        <f>IF(H69&gt;S69,"Ev",IF(H69&lt;S69,"Dep",""))</f>
        <v>Ev</v>
      </c>
      <c r="AN69" s="17" t="str">
        <f>IF(AM69="","",IF(E69=S69,"Push",IF((E69&gt;S69)=(AM69="Ev"),"Kazandı","Kaybetti")))</f>
        <v>Kaybetti</v>
      </c>
      <c r="AO69" s="30">
        <f>IF(AM69="","",IF(AN69="Push",0,IF(AN69="Kazandı",IF(AM69="Ev",Oranlar!P69,Oranlar!Q69)-1,-1)))</f>
        <v>-1.0</v>
      </c>
      <c r="AP69" s="17" t="str">
        <f>IF(L69&gt;U69,"Üst",IF(L69&lt;U69,"Alt",""))</f>
        <v>Alt</v>
      </c>
      <c r="AQ69" s="17" t="str">
        <f>IF(AP69="","",IF(F69=U69,"Push",IF((F69&gt;U69)=(AP69="Üst"),"Kazandı","Kaybetti")))</f>
        <v>Kazandı</v>
      </c>
      <c r="AR69" s="30">
        <f>IF(AP69="","",IF(AQ69="Push",0,IF(AQ69="Kazandı",IF(AP69="Üst",Oranlar!W69,Oranlar!X69)-1,-1)))</f>
        <v>0.8695652173913042</v>
      </c>
      <c r="AS69" s="17" t="str">
        <f>IF(G69*Oranlar!R69&gt;1,"Ev",IF((1-G69)*Oranlar!S69&gt;1,"Dep",""))</f>
        <v>Ev</v>
      </c>
      <c r="AT69" s="30">
        <f>IF(AS69="","",IF((AS69="Ev")=(E69&gt;0),IF(AS69="Ev",Oranlar!R69,Oranlar!S69)-1,-1))</f>
        <v>-1.0</v>
      </c>
      <c r="AU69" s="16">
        <f>IF(OR(H69=T69,S69=T69),"",IF((H69&gt;T69)=(S69&gt;T69),1,0))</f>
        <v>0</v>
      </c>
      <c r="AV69" s="16">
        <f>IF(OR(L69=V69,U69=V69),"",IF((L69&gt;V69)=(U69&gt;V69),1,0))</f>
        <v>0</v>
      </c>
      <c r="AW69" s="16">
        <f>IF(AND(E69&gt;=J69,E69&lt;=K69),1,0)</f>
        <v>1</v>
      </c>
      <c r="AX69" s="16">
        <f>IF(AND(F69&gt;=N69,F69&lt;=O69),1,0)</f>
        <v>1</v>
      </c>
    </row>
    <row r="70" spans="1:50">
      <c r="A70" s="21">
        <f>Oranlar!A70</f>
        <v>46094</v>
      </c>
      <c r="B70" s="22" t="str">
        <f>Oranlar!C70&amp;" @ "&amp;Oranlar!D70</f>
        <v>MEM @ DET</v>
      </c>
      <c r="C70" s="23">
        <f>Oranlar!F70</f>
        <v>126</v>
      </c>
      <c r="D70" s="23">
        <f>Oranlar!E70</f>
        <v>110</v>
      </c>
      <c r="E70" s="15">
        <f>C70-D70</f>
        <v>16</v>
      </c>
      <c r="F70" s="16">
        <f>C70+D70</f>
        <v>236</v>
      </c>
      <c r="G70" s="24">
        <v>0.783</v>
      </c>
      <c r="H70" s="10">
        <v>17.21</v>
      </c>
      <c r="I70" s="10">
        <v>17</v>
      </c>
      <c r="J70" s="10">
        <v>-2</v>
      </c>
      <c r="K70" s="10">
        <v>36</v>
      </c>
      <c r="L70" s="11">
        <v>229.07</v>
      </c>
      <c r="M70" s="11">
        <v>231.7</v>
      </c>
      <c r="N70" s="11">
        <v>204</v>
      </c>
      <c r="O70" s="11">
        <v>259</v>
      </c>
      <c r="P70" s="11">
        <v>123.05</v>
      </c>
      <c r="Q70" s="11">
        <v>107.73</v>
      </c>
      <c r="R70" s="25">
        <f>Oranlar!Y70</f>
        <v>0.9039548022598869</v>
      </c>
      <c r="S70" s="26">
        <f>-Oranlar!O70</f>
        <v>16.5</v>
      </c>
      <c r="T70" s="26">
        <f>-Oranlar!I70</f>
        <v>15.5</v>
      </c>
      <c r="U70" s="27">
        <f>Oranlar!V70</f>
        <v>233.5</v>
      </c>
      <c r="V70" s="27">
        <f>Oranlar!L70</f>
        <v>230.5</v>
      </c>
      <c r="W70" s="28">
        <f>(U70+S70)/2</f>
        <v>125.0</v>
      </c>
      <c r="X70" s="28">
        <f>(U70-S70)/2</f>
        <v>108.5</v>
      </c>
      <c r="Y70" s="16">
        <f>IF(G70=0.5,"",IF((G70&gt;0.5)=(E70&gt;0),1,0))</f>
        <v>1</v>
      </c>
      <c r="Z70" s="16">
        <f>IF(R70=0.5,"",IF((R70&gt;0.5)=(E70&gt;0),1,0))</f>
        <v>1</v>
      </c>
      <c r="AA70" s="29">
        <f>(G70-IF(E70&gt;0,1,0))^2</f>
        <v>0.047088999999999985</v>
      </c>
      <c r="AB70" s="29">
        <f>(R70-IF(E70&gt;0,1,0))^2</f>
        <v>0.009224680008937428</v>
      </c>
      <c r="AC70" s="28">
        <f>ABS(H70-E70)</f>
        <v>1.2100000000000009</v>
      </c>
      <c r="AD70" s="28">
        <f>ABS(I70-E70)</f>
        <v>1.0</v>
      </c>
      <c r="AE70" s="28">
        <f>ABS(S70-E70)</f>
        <v>0.5</v>
      </c>
      <c r="AF70" s="28">
        <f>ABS(L70-F70)</f>
        <v>6.930000000000007</v>
      </c>
      <c r="AG70" s="28">
        <f>ABS(M70-F70)</f>
        <v>4.300000000000011</v>
      </c>
      <c r="AH70" s="28">
        <f>ABS(U70-F70)</f>
        <v>2.5</v>
      </c>
      <c r="AI70" s="28">
        <f>ABS(P70-C70)</f>
        <v>2.950000000000003</v>
      </c>
      <c r="AJ70" s="28">
        <f>ABS(W70-C70)</f>
        <v>1.0</v>
      </c>
      <c r="AK70" s="28">
        <f>ABS(Q70-D70)</f>
        <v>2.269999999999996</v>
      </c>
      <c r="AL70" s="28">
        <f>ABS(X70-D70)</f>
        <v>1.5</v>
      </c>
      <c r="AM70" s="17" t="str">
        <f>IF(H70&gt;S70,"Ev",IF(H70&lt;S70,"Dep",""))</f>
        <v>Ev</v>
      </c>
      <c r="AN70" s="17" t="str">
        <f>IF(AM70="","",IF(E70=S70,"Push",IF((E70&gt;S70)=(AM70="Ev"),"Kazandı","Kaybetti")))</f>
        <v>Kaybetti</v>
      </c>
      <c r="AO70" s="30">
        <f>IF(AM70="","",IF(AN70="Push",0,IF(AN70="Kazandı",IF(AM70="Ev",Oranlar!P70,Oranlar!Q70)-1,-1)))</f>
        <v>-1.0</v>
      </c>
      <c r="AP70" s="17" t="str">
        <f>IF(L70&gt;U70,"Üst",IF(L70&lt;U70,"Alt",""))</f>
        <v>Alt</v>
      </c>
      <c r="AQ70" s="17" t="str">
        <f>IF(AP70="","",IF(F70=U70,"Push",IF((F70&gt;U70)=(AP70="Üst"),"Kazandı","Kaybetti")))</f>
        <v>Kaybetti</v>
      </c>
      <c r="AR70" s="30">
        <f>IF(AP70="","",IF(AQ70="Push",0,IF(AQ70="Kazandı",IF(AP70="Üst",Oranlar!W70,Oranlar!X70)-1,-1)))</f>
        <v>-1.0</v>
      </c>
      <c r="AS70" s="17" t="str">
        <f>IF(G70*Oranlar!R70&gt;1,"Ev",IF((1-G70)*Oranlar!S70&gt;1,"Dep",""))</f>
        <v>Dep</v>
      </c>
      <c r="AT70" s="30">
        <f>IF(AS70="","",IF((AS70="Ev")=(E70&gt;0),IF(AS70="Ev",Oranlar!R70,Oranlar!S70)-1,-1))</f>
        <v>-1.0</v>
      </c>
      <c r="AU70" s="16">
        <f>IF(OR(H70=T70,S70=T70),"",IF((H70&gt;T70)=(S70&gt;T70),1,0))</f>
        <v>1</v>
      </c>
      <c r="AV70" s="16">
        <f>IF(OR(L70=V70,U70=V70),"",IF((L70&gt;V70)=(U70&gt;V70),1,0))</f>
        <v>0</v>
      </c>
      <c r="AW70" s="16">
        <f>IF(AND(E70&gt;=J70,E70&lt;=K70),1,0)</f>
        <v>1</v>
      </c>
      <c r="AX70" s="16">
        <f>IF(AND(F70&gt;=N70,F70&lt;=O70),1,0)</f>
        <v>1</v>
      </c>
    </row>
    <row r="71" spans="1:50">
      <c r="A71" s="21">
        <f>Oranlar!A71</f>
        <v>46094</v>
      </c>
      <c r="B71" s="22" t="str">
        <f>Oranlar!C71&amp;" @ "&amp;Oranlar!D71</f>
        <v>NYK @ IND</v>
      </c>
      <c r="C71" s="23">
        <f>Oranlar!F71</f>
        <v>92</v>
      </c>
      <c r="D71" s="23">
        <f>Oranlar!E71</f>
        <v>101</v>
      </c>
      <c r="E71" s="15">
        <f>C71-D71</f>
        <v>-9</v>
      </c>
      <c r="F71" s="16">
        <f>C71+D71</f>
        <v>193</v>
      </c>
      <c r="G71" s="24">
        <v>0.312</v>
      </c>
      <c r="H71" s="10">
        <v>-6.06</v>
      </c>
      <c r="I71" s="10">
        <v>-11.9</v>
      </c>
      <c r="J71" s="10">
        <v>-30</v>
      </c>
      <c r="K71" s="10">
        <v>7</v>
      </c>
      <c r="L71" s="11">
        <v>230.32</v>
      </c>
      <c r="M71" s="11">
        <v>230.4</v>
      </c>
      <c r="N71" s="11">
        <v>203</v>
      </c>
      <c r="O71" s="11">
        <v>257</v>
      </c>
      <c r="P71" s="11">
        <v>111.41</v>
      </c>
      <c r="Q71" s="11">
        <v>120.56</v>
      </c>
      <c r="R71" s="25">
        <f>Oranlar!Y71</f>
        <v>0.16290068313189698</v>
      </c>
      <c r="S71" s="26">
        <f>-Oranlar!O71</f>
        <v>-12.5</v>
      </c>
      <c r="T71" s="26">
        <f>-Oranlar!I71</f>
        <v>-12.5</v>
      </c>
      <c r="U71" s="27">
        <f>Oranlar!V71</f>
        <v>228.5</v>
      </c>
      <c r="V71" s="27">
        <f>Oranlar!L71</f>
        <v>227.5</v>
      </c>
      <c r="W71" s="28">
        <f>(U71+S71)/2</f>
        <v>108.0</v>
      </c>
      <c r="X71" s="28">
        <f>(U71-S71)/2</f>
        <v>120.5</v>
      </c>
      <c r="Y71" s="16">
        <f>IF(G71=0.5,"",IF((G71&gt;0.5)=(E71&gt;0),1,0))</f>
        <v>1</v>
      </c>
      <c r="Z71" s="16">
        <f>IF(R71=0.5,"",IF((R71&gt;0.5)=(E71&gt;0),1,0))</f>
        <v>1</v>
      </c>
      <c r="AA71" s="29">
        <f>(G71-IF(E71&gt;0,1,0))^2</f>
        <v>0.097344</v>
      </c>
      <c r="AB71" s="29">
        <f>(R71-IF(E71&gt;0,1,0))^2</f>
        <v>0.026536632564838708</v>
      </c>
      <c r="AC71" s="28">
        <f>ABS(H71-E71)</f>
        <v>2.9400000000000004</v>
      </c>
      <c r="AD71" s="28">
        <f>ABS(I71-E71)</f>
        <v>2.9000000000000004</v>
      </c>
      <c r="AE71" s="28">
        <f>ABS(S71-E71)</f>
        <v>3.5</v>
      </c>
      <c r="AF71" s="28">
        <f>ABS(L71-F71)</f>
        <v>37.31999999999999</v>
      </c>
      <c r="AG71" s="28">
        <f>ABS(M71-F71)</f>
        <v>37.400000000000006</v>
      </c>
      <c r="AH71" s="28">
        <f>ABS(U71-F71)</f>
        <v>35.5</v>
      </c>
      <c r="AI71" s="28">
        <f>ABS(P71-C71)</f>
        <v>19.409999999999997</v>
      </c>
      <c r="AJ71" s="28">
        <f>ABS(W71-C71)</f>
        <v>16.0</v>
      </c>
      <c r="AK71" s="28">
        <f>ABS(Q71-D71)</f>
        <v>19.560000000000002</v>
      </c>
      <c r="AL71" s="28">
        <f>ABS(X71-D71)</f>
        <v>19.5</v>
      </c>
      <c r="AM71" s="17" t="str">
        <f>IF(H71&gt;S71,"Ev",IF(H71&lt;S71,"Dep",""))</f>
        <v>Ev</v>
      </c>
      <c r="AN71" s="17" t="str">
        <f>IF(AM71="","",IF(E71=S71,"Push",IF((E71&gt;S71)=(AM71="Ev"),"Kazandı","Kaybetti")))</f>
        <v>Kazandı</v>
      </c>
      <c r="AO71" s="30">
        <f>IF(AM71="","",IF(AN71="Push",0,IF(AN71="Kazandı",IF(AM71="Ev",Oranlar!P71,Oranlar!Q71)-1,-1)))</f>
        <v>0.9090909090909092</v>
      </c>
      <c r="AP71" s="17" t="str">
        <f>IF(L71&gt;U71,"Üst",IF(L71&lt;U71,"Alt",""))</f>
        <v>Üst</v>
      </c>
      <c r="AQ71" s="17" t="str">
        <f>IF(AP71="","",IF(F71=U71,"Push",IF((F71&gt;U71)=(AP71="Üst"),"Kazandı","Kaybetti")))</f>
        <v>Kaybetti</v>
      </c>
      <c r="AR71" s="30">
        <f>IF(AP71="","",IF(AQ71="Push",0,IF(AQ71="Kazandı",IF(AP71="Üst",Oranlar!W71,Oranlar!X71)-1,-1)))</f>
        <v>-1.0</v>
      </c>
      <c r="AS71" s="17" t="str">
        <f>IF(G71*Oranlar!R71&gt;1,"Ev",IF((1-G71)*Oranlar!S71&gt;1,"Dep",""))</f>
        <v>Ev</v>
      </c>
      <c r="AT71" s="30">
        <f>IF(AS71="","",IF((AS71="Ev")=(E71&gt;0),IF(AS71="Ev",Oranlar!R71,Oranlar!S71)-1,-1))</f>
        <v>-1.0</v>
      </c>
      <c r="AU71" s="16">
        <f>IF(OR(H71=T71,S71=T71),"",IF((H71&gt;T71)=(S71&gt;T71),1,0))</f>
        <v/>
      </c>
      <c r="AV71" s="16">
        <f>IF(OR(L71=V71,U71=V71),"",IF((L71&gt;V71)=(U71&gt;V71),1,0))</f>
        <v>1</v>
      </c>
      <c r="AW71" s="16">
        <f>IF(AND(E71&gt;=J71,E71&lt;=K71),1,0)</f>
        <v>1</v>
      </c>
      <c r="AX71" s="16">
        <f>IF(AND(F71&gt;=N71,F71&lt;=O71),1,0)</f>
        <v>0</v>
      </c>
    </row>
    <row r="72" spans="1:50">
      <c r="A72" s="21">
        <f>Oranlar!A72</f>
        <v>46094</v>
      </c>
      <c r="B72" s="22" t="str">
        <f>Oranlar!C72&amp;" @ "&amp;Oranlar!D72</f>
        <v>PHX @ TOR</v>
      </c>
      <c r="C72" s="23">
        <f>Oranlar!F72</f>
        <v>122</v>
      </c>
      <c r="D72" s="23">
        <f>Oranlar!E72</f>
        <v>115</v>
      </c>
      <c r="E72" s="15">
        <f>C72-D72</f>
        <v>7</v>
      </c>
      <c r="F72" s="16">
        <f>C72+D72</f>
        <v>237</v>
      </c>
      <c r="G72" s="24">
        <v>0.535</v>
      </c>
      <c r="H72" s="10">
        <v>-1.01</v>
      </c>
      <c r="I72" s="10">
        <v>1.8</v>
      </c>
      <c r="J72" s="10">
        <v>-16</v>
      </c>
      <c r="K72" s="10">
        <v>20</v>
      </c>
      <c r="L72" s="11">
        <v>223.59</v>
      </c>
      <c r="M72" s="11">
        <v>225.3</v>
      </c>
      <c r="N72" s="11">
        <v>198</v>
      </c>
      <c r="O72" s="11">
        <v>252</v>
      </c>
      <c r="P72" s="11">
        <v>112.2</v>
      </c>
      <c r="Q72" s="11">
        <v>113.13</v>
      </c>
      <c r="R72" s="25">
        <f>Oranlar!Y72</f>
        <v>0.644729178800233</v>
      </c>
      <c r="S72" s="26">
        <f>-Oranlar!O72</f>
        <v>5.5</v>
      </c>
      <c r="T72" s="26">
        <f>-Oranlar!I72</f>
        <v>3.5</v>
      </c>
      <c r="U72" s="27">
        <f>Oranlar!V72</f>
        <v>221.5</v>
      </c>
      <c r="V72" s="27">
        <f>Oranlar!L72</f>
        <v>218.5</v>
      </c>
      <c r="W72" s="28">
        <f>(U72+S72)/2</f>
        <v>113.5</v>
      </c>
      <c r="X72" s="28">
        <f>(U72-S72)/2</f>
        <v>108.0</v>
      </c>
      <c r="Y72" s="16">
        <f>IF(G72=0.5,"",IF((G72&gt;0.5)=(E72&gt;0),1,0))</f>
        <v>1</v>
      </c>
      <c r="Z72" s="16">
        <f>IF(R72=0.5,"",IF((R72&gt;0.5)=(E72&gt;0),1,0))</f>
        <v>1</v>
      </c>
      <c r="AA72" s="29">
        <f>(G72-IF(E72&gt;0,1,0))^2</f>
        <v>0.21622499999999997</v>
      </c>
      <c r="AB72" s="29">
        <f>(R72-IF(E72&gt;0,1,0))^2</f>
        <v>0.12621735639595685</v>
      </c>
      <c r="AC72" s="28">
        <f>ABS(H72-E72)</f>
        <v>8.01</v>
      </c>
      <c r="AD72" s="28">
        <f>ABS(I72-E72)</f>
        <v>5.2</v>
      </c>
      <c r="AE72" s="28">
        <f>ABS(S72-E72)</f>
        <v>1.5</v>
      </c>
      <c r="AF72" s="28">
        <f>ABS(L72-F72)</f>
        <v>13.409999999999997</v>
      </c>
      <c r="AG72" s="28">
        <f>ABS(M72-F72)</f>
        <v>11.699999999999989</v>
      </c>
      <c r="AH72" s="28">
        <f>ABS(U72-F72)</f>
        <v>15.5</v>
      </c>
      <c r="AI72" s="28">
        <f>ABS(P72-C72)</f>
        <v>9.799999999999997</v>
      </c>
      <c r="AJ72" s="28">
        <f>ABS(W72-C72)</f>
        <v>8.5</v>
      </c>
      <c r="AK72" s="28">
        <f>ABS(Q72-D72)</f>
        <v>1.8700000000000045</v>
      </c>
      <c r="AL72" s="28">
        <f>ABS(X72-D72)</f>
        <v>7.0</v>
      </c>
      <c r="AM72" s="17" t="str">
        <f>IF(H72&gt;S72,"Ev",IF(H72&lt;S72,"Dep",""))</f>
        <v>Dep</v>
      </c>
      <c r="AN72" s="17" t="str">
        <f>IF(AM72="","",IF(E72=S72,"Push",IF((E72&gt;S72)=(AM72="Ev"),"Kazandı","Kaybetti")))</f>
        <v>Kaybetti</v>
      </c>
      <c r="AO72" s="30">
        <f>IF(AM72="","",IF(AN72="Push",0,IF(AN72="Kazandı",IF(AM72="Ev",Oranlar!P72,Oranlar!Q72)-1,-1)))</f>
        <v>-1.0</v>
      </c>
      <c r="AP72" s="17" t="str">
        <f>IF(L72&gt;U72,"Üst",IF(L72&lt;U72,"Alt",""))</f>
        <v>Üst</v>
      </c>
      <c r="AQ72" s="17" t="str">
        <f>IF(AP72="","",IF(F72=U72,"Push",IF((F72&gt;U72)=(AP72="Üst"),"Kazandı","Kaybetti")))</f>
        <v>Kazandı</v>
      </c>
      <c r="AR72" s="30">
        <f>IF(AP72="","",IF(AQ72="Push",0,IF(AQ72="Kazandı",IF(AP72="Üst",Oranlar!W72,Oranlar!X72)-1,-1)))</f>
        <v>0.9523809523809523</v>
      </c>
      <c r="AS72" s="17" t="str">
        <f>IF(G72*Oranlar!R72&gt;1,"Ev",IF((1-G72)*Oranlar!S72&gt;1,"Dep",""))</f>
        <v>Dep</v>
      </c>
      <c r="AT72" s="30">
        <f>IF(AS72="","",IF((AS72="Ev")=(E72&gt;0),IF(AS72="Ev",Oranlar!R72,Oranlar!S72)-1,-1))</f>
        <v>-1.0</v>
      </c>
      <c r="AU72" s="16">
        <f>IF(OR(H72=T72,S72=T72),"",IF((H72&gt;T72)=(S72&gt;T72),1,0))</f>
        <v>0</v>
      </c>
      <c r="AV72" s="16">
        <f>IF(OR(L72=V72,U72=V72),"",IF((L72&gt;V72)=(U72&gt;V72),1,0))</f>
        <v>1</v>
      </c>
      <c r="AW72" s="16">
        <f>IF(AND(E72&gt;=J72,E72&lt;=K72),1,0)</f>
        <v>1</v>
      </c>
      <c r="AX72" s="16">
        <f>IF(AND(F72&gt;=N72,F72&lt;=O72),1,0)</f>
        <v>1</v>
      </c>
    </row>
    <row r="73" spans="1:50">
      <c r="A73" s="21">
        <f>Oranlar!A73</f>
        <v>46094</v>
      </c>
      <c r="B73" s="22" t="str">
        <f>Oranlar!C73&amp;" @ "&amp;Oranlar!D73</f>
        <v>NOP @ HOU</v>
      </c>
      <c r="C73" s="23">
        <f>Oranlar!F73</f>
        <v>107</v>
      </c>
      <c r="D73" s="23">
        <f>Oranlar!E73</f>
        <v>105</v>
      </c>
      <c r="E73" s="15">
        <f>C73-D73</f>
        <v>2</v>
      </c>
      <c r="F73" s="16">
        <f>C73+D73</f>
        <v>212</v>
      </c>
      <c r="G73" s="24">
        <v>0.586</v>
      </c>
      <c r="H73" s="10">
        <v>2.84</v>
      </c>
      <c r="I73" s="10">
        <v>2.8</v>
      </c>
      <c r="J73" s="10">
        <v>-16</v>
      </c>
      <c r="K73" s="10">
        <v>22</v>
      </c>
      <c r="L73" s="11">
        <v>234.1</v>
      </c>
      <c r="M73" s="11">
        <v>232.4</v>
      </c>
      <c r="N73" s="11">
        <v>205</v>
      </c>
      <c r="O73" s="11">
        <v>260</v>
      </c>
      <c r="P73" s="11">
        <v>118</v>
      </c>
      <c r="Q73" s="11">
        <v>115.21</v>
      </c>
      <c r="R73" s="25">
        <f>Oranlar!Y73</f>
        <v>0.6636481241914618</v>
      </c>
      <c r="S73" s="26">
        <f>-Oranlar!O73</f>
        <v>5.5</v>
      </c>
      <c r="T73" s="26">
        <f>-Oranlar!I73</f>
        <v>6.5</v>
      </c>
      <c r="U73" s="27">
        <f>Oranlar!V73</f>
        <v>230.5</v>
      </c>
      <c r="V73" s="27">
        <f>Oranlar!L73</f>
        <v>225.5</v>
      </c>
      <c r="W73" s="28">
        <f>(U73+S73)/2</f>
        <v>118.0</v>
      </c>
      <c r="X73" s="28">
        <f>(U73-S73)/2</f>
        <v>112.5</v>
      </c>
      <c r="Y73" s="16">
        <f>IF(G73=0.5,"",IF((G73&gt;0.5)=(E73&gt;0),1,0))</f>
        <v>1</v>
      </c>
      <c r="Z73" s="16">
        <f>IF(R73=0.5,"",IF((R73&gt;0.5)=(E73&gt;0),1,0))</f>
        <v>1</v>
      </c>
      <c r="AA73" s="29">
        <f>(G73-IF(E73&gt;0,1,0))^2</f>
        <v>0.17139600000000002</v>
      </c>
      <c r="AB73" s="29">
        <f>(R73-IF(E73&gt;0,1,0))^2</f>
        <v>0.11313258435992231</v>
      </c>
      <c r="AC73" s="28">
        <f>ABS(H73-E73)</f>
        <v>0.8399999999999999</v>
      </c>
      <c r="AD73" s="28">
        <f>ABS(I73-E73)</f>
        <v>0.7999999999999998</v>
      </c>
      <c r="AE73" s="28">
        <f>ABS(S73-E73)</f>
        <v>3.5</v>
      </c>
      <c r="AF73" s="28">
        <f>ABS(L73-F73)</f>
        <v>22.099999999999994</v>
      </c>
      <c r="AG73" s="28">
        <f>ABS(M73-F73)</f>
        <v>20.400000000000006</v>
      </c>
      <c r="AH73" s="28">
        <f>ABS(U73-F73)</f>
        <v>18.5</v>
      </c>
      <c r="AI73" s="28">
        <f>ABS(P73-C73)</f>
        <v>11.0</v>
      </c>
      <c r="AJ73" s="28">
        <f>ABS(W73-C73)</f>
        <v>11.0</v>
      </c>
      <c r="AK73" s="28">
        <f>ABS(Q73-D73)</f>
        <v>10.209999999999994</v>
      </c>
      <c r="AL73" s="28">
        <f>ABS(X73-D73)</f>
        <v>7.5</v>
      </c>
      <c r="AM73" s="17" t="str">
        <f>IF(H73&gt;S73,"Ev",IF(H73&lt;S73,"Dep",""))</f>
        <v>Dep</v>
      </c>
      <c r="AN73" s="17" t="str">
        <f>IF(AM73="","",IF(E73=S73,"Push",IF((E73&gt;S73)=(AM73="Ev"),"Kazandı","Kaybetti")))</f>
        <v>Kazandı</v>
      </c>
      <c r="AO73" s="30">
        <f>IF(AM73="","",IF(AN73="Push",0,IF(AN73="Kazandı",IF(AM73="Ev",Oranlar!P73,Oranlar!Q73)-1,-1)))</f>
        <v>0.925925925925926</v>
      </c>
      <c r="AP73" s="17" t="str">
        <f>IF(L73&gt;U73,"Üst",IF(L73&lt;U73,"Alt",""))</f>
        <v>Üst</v>
      </c>
      <c r="AQ73" s="17" t="str">
        <f>IF(AP73="","",IF(F73=U73,"Push",IF((F73&gt;U73)=(AP73="Üst"),"Kazandı","Kaybetti")))</f>
        <v>Kaybetti</v>
      </c>
      <c r="AR73" s="30">
        <f>IF(AP73="","",IF(AQ73="Push",0,IF(AQ73="Kazandı",IF(AP73="Üst",Oranlar!W73,Oranlar!X73)-1,-1)))</f>
        <v>-1.0</v>
      </c>
      <c r="AS73" s="17" t="str">
        <f>IF(G73*Oranlar!R73&gt;1,"Ev",IF((1-G73)*Oranlar!S73&gt;1,"Dep",""))</f>
        <v>Dep</v>
      </c>
      <c r="AT73" s="30">
        <f>IF(AS73="","",IF((AS73="Ev")=(E73&gt;0),IF(AS73="Ev",Oranlar!R73,Oranlar!S73)-1,-1))</f>
        <v>-1.0</v>
      </c>
      <c r="AU73" s="16">
        <f>IF(OR(H73=T73,S73=T73),"",IF((H73&gt;T73)=(S73&gt;T73),1,0))</f>
        <v>1</v>
      </c>
      <c r="AV73" s="16">
        <f>IF(OR(L73=V73,U73=V73),"",IF((L73&gt;V73)=(U73&gt;V73),1,0))</f>
        <v>1</v>
      </c>
      <c r="AW73" s="16">
        <f>IF(AND(E73&gt;=J73,E73&lt;=K73),1,0)</f>
        <v>1</v>
      </c>
      <c r="AX73" s="16">
        <f>IF(AND(F73&gt;=N73,F73&lt;=O73),1,0)</f>
        <v>1</v>
      </c>
    </row>
    <row r="74" spans="1:50">
      <c r="A74" s="21">
        <f>Oranlar!A74</f>
        <v>46094</v>
      </c>
      <c r="B74" s="22" t="str">
        <f>Oranlar!C74&amp;" @ "&amp;Oranlar!D74</f>
        <v>CLE @ DAL</v>
      </c>
      <c r="C74" s="23">
        <f>Oranlar!F74</f>
        <v>105</v>
      </c>
      <c r="D74" s="23">
        <f>Oranlar!E74</f>
        <v>138</v>
      </c>
      <c r="E74" s="15">
        <f>C74-D74</f>
        <v>-33</v>
      </c>
      <c r="F74" s="16">
        <f>C74+D74</f>
        <v>243</v>
      </c>
      <c r="G74" s="24">
        <v>0.229</v>
      </c>
      <c r="H74" s="10">
        <v>-17.32</v>
      </c>
      <c r="I74" s="10">
        <v>-4.7</v>
      </c>
      <c r="J74" s="10">
        <v>-23</v>
      </c>
      <c r="K74" s="10">
        <v>14</v>
      </c>
      <c r="L74" s="11">
        <v>229.74</v>
      </c>
      <c r="M74" s="11">
        <v>231.9</v>
      </c>
      <c r="N74" s="11">
        <v>204</v>
      </c>
      <c r="O74" s="11">
        <v>259</v>
      </c>
      <c r="P74" s="11">
        <v>113.28</v>
      </c>
      <c r="Q74" s="11">
        <v>121.39</v>
      </c>
      <c r="R74" s="25">
        <f>Oranlar!Y74</f>
        <v>0.15999999999999998</v>
      </c>
      <c r="S74" s="26">
        <f>-Oranlar!O74</f>
        <v>-13.5</v>
      </c>
      <c r="T74" s="26">
        <f>-Oranlar!I74</f>
        <v>-12.5</v>
      </c>
      <c r="U74" s="27">
        <f>Oranlar!V74</f>
        <v>236.5</v>
      </c>
      <c r="V74" s="27">
        <f>Oranlar!L74</f>
        <v>231.5</v>
      </c>
      <c r="W74" s="28">
        <f>(U74+S74)/2</f>
        <v>111.5</v>
      </c>
      <c r="X74" s="28">
        <f>(U74-S74)/2</f>
        <v>125.0</v>
      </c>
      <c r="Y74" s="16">
        <f>IF(G74=0.5,"",IF((G74&gt;0.5)=(E74&gt;0),1,0))</f>
        <v>1</v>
      </c>
      <c r="Z74" s="16">
        <f>IF(R74=0.5,"",IF((R74&gt;0.5)=(E74&gt;0),1,0))</f>
        <v>1</v>
      </c>
      <c r="AA74" s="29">
        <f>(G74-IF(E74&gt;0,1,0))^2</f>
        <v>0.052441</v>
      </c>
      <c r="AB74" s="29">
        <f>(R74-IF(E74&gt;0,1,0))^2</f>
        <v>0.02559999999999999</v>
      </c>
      <c r="AC74" s="28">
        <f>ABS(H74-E74)</f>
        <v>15.68</v>
      </c>
      <c r="AD74" s="28">
        <f>ABS(I74-E74)</f>
        <v>28.3</v>
      </c>
      <c r="AE74" s="28">
        <f>ABS(S74-E74)</f>
        <v>19.5</v>
      </c>
      <c r="AF74" s="28">
        <f>ABS(L74-F74)</f>
        <v>13.259999999999991</v>
      </c>
      <c r="AG74" s="28">
        <f>ABS(M74-F74)</f>
        <v>11.099999999999994</v>
      </c>
      <c r="AH74" s="28">
        <f>ABS(U74-F74)</f>
        <v>6.5</v>
      </c>
      <c r="AI74" s="28">
        <f>ABS(P74-C74)</f>
        <v>8.280000000000001</v>
      </c>
      <c r="AJ74" s="28">
        <f>ABS(W74-C74)</f>
        <v>6.5</v>
      </c>
      <c r="AK74" s="28">
        <f>ABS(Q74-D74)</f>
        <v>16.61</v>
      </c>
      <c r="AL74" s="28">
        <f>ABS(X74-D74)</f>
        <v>13.0</v>
      </c>
      <c r="AM74" s="17" t="str">
        <f>IF(H74&gt;S74,"Ev",IF(H74&lt;S74,"Dep",""))</f>
        <v>Dep</v>
      </c>
      <c r="AN74" s="17" t="str">
        <f>IF(AM74="","",IF(E74=S74,"Push",IF((E74&gt;S74)=(AM74="Ev"),"Kazandı","Kaybetti")))</f>
        <v>Kazandı</v>
      </c>
      <c r="AO74" s="30">
        <f>IF(AM74="","",IF(AN74="Push",0,IF(AN74="Kazandı",IF(AM74="Ev",Oranlar!P74,Oranlar!Q74)-1,-1)))</f>
        <v>0.9803921568627452</v>
      </c>
      <c r="AP74" s="17" t="str">
        <f>IF(L74&gt;U74,"Üst",IF(L74&lt;U74,"Alt",""))</f>
        <v>Alt</v>
      </c>
      <c r="AQ74" s="17" t="str">
        <f>IF(AP74="","",IF(F74=U74,"Push",IF((F74&gt;U74)=(AP74="Üst"),"Kazandı","Kaybetti")))</f>
        <v>Kaybetti</v>
      </c>
      <c r="AR74" s="30">
        <f>IF(AP74="","",IF(AQ74="Push",0,IF(AQ74="Kazandı",IF(AP74="Üst",Oranlar!W74,Oranlar!X74)-1,-1)))</f>
        <v>-1.0</v>
      </c>
      <c r="AS74" s="17" t="str">
        <f>IF(G74*Oranlar!R74&gt;1,"Ev",IF((1-G74)*Oranlar!S74&gt;1,"Dep",""))</f>
        <v>Ev</v>
      </c>
      <c r="AT74" s="30">
        <f>IF(AS74="","",IF((AS74="Ev")=(E74&gt;0),IF(AS74="Ev",Oranlar!R74,Oranlar!S74)-1,-1))</f>
        <v>-1.0</v>
      </c>
      <c r="AU74" s="16">
        <f>IF(OR(H74=T74,S74=T74),"",IF((H74&gt;T74)=(S74&gt;T74),1,0))</f>
        <v>1</v>
      </c>
      <c r="AV74" s="16">
        <f>IF(OR(L74=V74,U74=V74),"",IF((L74&gt;V74)=(U74&gt;V74),1,0))</f>
        <v>0</v>
      </c>
      <c r="AW74" s="16">
        <f>IF(AND(E74&gt;=J74,E74&lt;=K74),1,0)</f>
        <v>0</v>
      </c>
      <c r="AX74" s="16">
        <f>IF(AND(F74&gt;=N74,F74&lt;=O74),1,0)</f>
        <v>1</v>
      </c>
    </row>
    <row r="75" spans="1:50">
      <c r="A75" s="21">
        <f>Oranlar!A75</f>
        <v>46094</v>
      </c>
      <c r="B75" s="22" t="str">
        <f>Oranlar!C75&amp;" @ "&amp;Oranlar!D75</f>
        <v>MIN @ GSW</v>
      </c>
      <c r="C75" s="23">
        <f>Oranlar!F75</f>
        <v>117</v>
      </c>
      <c r="D75" s="23">
        <f>Oranlar!E75</f>
        <v>127</v>
      </c>
      <c r="E75" s="15">
        <f>C75-D75</f>
        <v>-10</v>
      </c>
      <c r="F75" s="16">
        <f>C75+D75</f>
        <v>244</v>
      </c>
      <c r="G75" s="24">
        <v>0.444</v>
      </c>
      <c r="H75" s="10">
        <v>-2.17</v>
      </c>
      <c r="I75" s="10">
        <v>-2.8</v>
      </c>
      <c r="J75" s="10">
        <v>-21</v>
      </c>
      <c r="K75" s="10">
        <v>16</v>
      </c>
      <c r="L75" s="11">
        <v>229.75</v>
      </c>
      <c r="M75" s="11">
        <v>229.5</v>
      </c>
      <c r="N75" s="11">
        <v>202</v>
      </c>
      <c r="O75" s="11">
        <v>257</v>
      </c>
      <c r="P75" s="11">
        <v>115.98</v>
      </c>
      <c r="Q75" s="11">
        <v>116.94</v>
      </c>
      <c r="R75" s="25">
        <f>Oranlar!Y75</f>
        <v>0.35527082119976705</v>
      </c>
      <c r="S75" s="26">
        <f>-Oranlar!O75</f>
        <v>-4.5</v>
      </c>
      <c r="T75" s="26">
        <f>-Oranlar!I75</f>
        <v>-6.5</v>
      </c>
      <c r="U75" s="27">
        <f>Oranlar!V75</f>
        <v>224.5</v>
      </c>
      <c r="V75" s="27">
        <f>Oranlar!L75</f>
        <v>228.5</v>
      </c>
      <c r="W75" s="28">
        <f>(U75+S75)/2</f>
        <v>110.0</v>
      </c>
      <c r="X75" s="28">
        <f>(U75-S75)/2</f>
        <v>114.5</v>
      </c>
      <c r="Y75" s="16">
        <f>IF(G75=0.5,"",IF((G75&gt;0.5)=(E75&gt;0),1,0))</f>
        <v>1</v>
      </c>
      <c r="Z75" s="16">
        <f>IF(R75=0.5,"",IF((R75&gt;0.5)=(E75&gt;0),1,0))</f>
        <v>1</v>
      </c>
      <c r="AA75" s="29">
        <f>(G75-IF(E75&gt;0,1,0))^2</f>
        <v>0.197136</v>
      </c>
      <c r="AB75" s="29">
        <f>(R75-IF(E75&gt;0,1,0))^2</f>
        <v>0.12621735639595685</v>
      </c>
      <c r="AC75" s="28">
        <f>ABS(H75-E75)</f>
        <v>7.83</v>
      </c>
      <c r="AD75" s="28">
        <f>ABS(I75-E75)</f>
        <v>7.2</v>
      </c>
      <c r="AE75" s="28">
        <f>ABS(S75-E75)</f>
        <v>5.5</v>
      </c>
      <c r="AF75" s="28">
        <f>ABS(L75-F75)</f>
        <v>14.25</v>
      </c>
      <c r="AG75" s="28">
        <f>ABS(M75-F75)</f>
        <v>14.5</v>
      </c>
      <c r="AH75" s="28">
        <f>ABS(U75-F75)</f>
        <v>19.5</v>
      </c>
      <c r="AI75" s="28">
        <f>ABS(P75-C75)</f>
        <v>1.019999999999996</v>
      </c>
      <c r="AJ75" s="28">
        <f>ABS(W75-C75)</f>
        <v>7.0</v>
      </c>
      <c r="AK75" s="28">
        <f>ABS(Q75-D75)</f>
        <v>10.060000000000002</v>
      </c>
      <c r="AL75" s="28">
        <f>ABS(X75-D75)</f>
        <v>12.5</v>
      </c>
      <c r="AM75" s="17" t="str">
        <f>IF(H75&gt;S75,"Ev",IF(H75&lt;S75,"Dep",""))</f>
        <v>Ev</v>
      </c>
      <c r="AN75" s="17" t="str">
        <f>IF(AM75="","",IF(E75=S75,"Push",IF((E75&gt;S75)=(AM75="Ev"),"Kazandı","Kaybetti")))</f>
        <v>Kaybetti</v>
      </c>
      <c r="AO75" s="30">
        <f>IF(AM75="","",IF(AN75="Push",0,IF(AN75="Kazandı",IF(AM75="Ev",Oranlar!P75,Oranlar!Q75)-1,-1)))</f>
        <v>-1.0</v>
      </c>
      <c r="AP75" s="17" t="str">
        <f>IF(L75&gt;U75,"Üst",IF(L75&lt;U75,"Alt",""))</f>
        <v>Üst</v>
      </c>
      <c r="AQ75" s="17" t="str">
        <f>IF(AP75="","",IF(F75=U75,"Push",IF((F75&gt;U75)=(AP75="Üst"),"Kazandı","Kaybetti")))</f>
        <v>Kazandı</v>
      </c>
      <c r="AR75" s="30">
        <f>IF(AP75="","",IF(AQ75="Push",0,IF(AQ75="Kazandı",IF(AP75="Üst",Oranlar!W75,Oranlar!X75)-1,-1)))</f>
        <v>0.9523809523809523</v>
      </c>
      <c r="AS75" s="17" t="str">
        <f>IF(G75*Oranlar!R75&gt;1,"Ev",IF((1-G75)*Oranlar!S75&gt;1,"Dep",""))</f>
        <v>Ev</v>
      </c>
      <c r="AT75" s="30">
        <f>IF(AS75="","",IF((AS75="Ev")=(E75&gt;0),IF(AS75="Ev",Oranlar!R75,Oranlar!S75)-1,-1))</f>
        <v>-1.0</v>
      </c>
      <c r="AU75" s="16">
        <f>IF(OR(H75=T75,S75=T75),"",IF((H75&gt;T75)=(S75&gt;T75),1,0))</f>
        <v>1</v>
      </c>
      <c r="AV75" s="16">
        <f>IF(OR(L75=V75,U75=V75),"",IF((L75&gt;V75)=(U75&gt;V75),1,0))</f>
        <v>0</v>
      </c>
      <c r="AW75" s="16">
        <f>IF(AND(E75&gt;=J75,E75&lt;=K75),1,0)</f>
        <v>1</v>
      </c>
      <c r="AX75" s="16">
        <f>IF(AND(F75&gt;=N75,F75&lt;=O75),1,0)</f>
        <v>1</v>
      </c>
    </row>
    <row r="76" spans="1:50">
      <c r="A76" s="21">
        <f>Oranlar!A76</f>
        <v>46094</v>
      </c>
      <c r="B76" s="22" t="str">
        <f>Oranlar!C76&amp;" @ "&amp;Oranlar!D76</f>
        <v>UTA @ POR</v>
      </c>
      <c r="C76" s="23">
        <f>Oranlar!F76</f>
        <v>124</v>
      </c>
      <c r="D76" s="23">
        <f>Oranlar!E76</f>
        <v>114</v>
      </c>
      <c r="E76" s="15">
        <f>C76-D76</f>
        <v>10</v>
      </c>
      <c r="F76" s="16">
        <f>C76+D76</f>
        <v>238</v>
      </c>
      <c r="G76" s="24">
        <v>0.599</v>
      </c>
      <c r="H76" s="10">
        <v>3.79</v>
      </c>
      <c r="I76" s="10">
        <v>2.4</v>
      </c>
      <c r="J76" s="10">
        <v>-16</v>
      </c>
      <c r="K76" s="10">
        <v>21</v>
      </c>
      <c r="L76" s="11">
        <v>227.6</v>
      </c>
      <c r="M76" s="11">
        <v>227.2</v>
      </c>
      <c r="N76" s="11">
        <v>200</v>
      </c>
      <c r="O76" s="11">
        <v>254</v>
      </c>
      <c r="P76" s="11">
        <v>116.02</v>
      </c>
      <c r="Q76" s="11">
        <v>112.33</v>
      </c>
      <c r="R76" s="25">
        <f>Oranlar!Y76</f>
        <v>0.8869565217391304</v>
      </c>
      <c r="S76" s="26">
        <f>-Oranlar!O76</f>
        <v>15.5</v>
      </c>
      <c r="T76" s="26">
        <f>-Oranlar!I76</f>
        <v>12.5</v>
      </c>
      <c r="U76" s="27">
        <f>Oranlar!V76</f>
        <v>235.5</v>
      </c>
      <c r="V76" s="27">
        <f>Oranlar!L76</f>
        <v>235.5</v>
      </c>
      <c r="W76" s="28">
        <f>(U76+S76)/2</f>
        <v>125.5</v>
      </c>
      <c r="X76" s="28">
        <f>(U76-S76)/2</f>
        <v>110.0</v>
      </c>
      <c r="Y76" s="16">
        <f>IF(G76=0.5,"",IF((G76&gt;0.5)=(E76&gt;0),1,0))</f>
        <v>1</v>
      </c>
      <c r="Z76" s="16">
        <f>IF(R76=0.5,"",IF((R76&gt;0.5)=(E76&gt;0),1,0))</f>
        <v>1</v>
      </c>
      <c r="AA76" s="29">
        <f>(G76-IF(E76&gt;0,1,0))^2</f>
        <v>0.16080100000000003</v>
      </c>
      <c r="AB76" s="29">
        <f>(R76-IF(E76&gt;0,1,0))^2</f>
        <v>0.012778827977315693</v>
      </c>
      <c r="AC76" s="28">
        <f>ABS(H76-E76)</f>
        <v>6.21</v>
      </c>
      <c r="AD76" s="28">
        <f>ABS(I76-E76)</f>
        <v>7.6</v>
      </c>
      <c r="AE76" s="28">
        <f>ABS(S76-E76)</f>
        <v>5.5</v>
      </c>
      <c r="AF76" s="28">
        <f>ABS(L76-F76)</f>
        <v>10.400000000000006</v>
      </c>
      <c r="AG76" s="28">
        <f>ABS(M76-F76)</f>
        <v>10.800000000000011</v>
      </c>
      <c r="AH76" s="28">
        <f>ABS(U76-F76)</f>
        <v>2.5</v>
      </c>
      <c r="AI76" s="28">
        <f>ABS(P76-C76)</f>
        <v>7.980000000000004</v>
      </c>
      <c r="AJ76" s="28">
        <f>ABS(W76-C76)</f>
        <v>1.5</v>
      </c>
      <c r="AK76" s="28">
        <f>ABS(Q76-D76)</f>
        <v>1.6700000000000017</v>
      </c>
      <c r="AL76" s="28">
        <f>ABS(X76-D76)</f>
        <v>4.0</v>
      </c>
      <c r="AM76" s="17" t="str">
        <f>IF(H76&gt;S76,"Ev",IF(H76&lt;S76,"Dep",""))</f>
        <v>Dep</v>
      </c>
      <c r="AN76" s="17" t="str">
        <f>IF(AM76="","",IF(E76=S76,"Push",IF((E76&gt;S76)=(AM76="Ev"),"Kazandı","Kaybetti")))</f>
        <v>Kazandı</v>
      </c>
      <c r="AO76" s="30">
        <f>IF(AM76="","",IF(AN76="Push",0,IF(AN76="Kazandı",IF(AM76="Ev",Oranlar!P76,Oranlar!Q76)-1,-1)))</f>
        <v>0.9523809523809523</v>
      </c>
      <c r="AP76" s="17" t="str">
        <f>IF(L76&gt;U76,"Üst",IF(L76&lt;U76,"Alt",""))</f>
        <v>Alt</v>
      </c>
      <c r="AQ76" s="17" t="str">
        <f>IF(AP76="","",IF(F76=U76,"Push",IF((F76&gt;U76)=(AP76="Üst"),"Kazandı","Kaybetti")))</f>
        <v>Kaybetti</v>
      </c>
      <c r="AR76" s="30">
        <f>IF(AP76="","",IF(AQ76="Push",0,IF(AQ76="Kazandı",IF(AP76="Üst",Oranlar!W76,Oranlar!X76)-1,-1)))</f>
        <v>-1.0</v>
      </c>
      <c r="AS76" s="17" t="str">
        <f>IF(G76*Oranlar!R76&gt;1,"Ev",IF((1-G76)*Oranlar!S76&gt;1,"Dep",""))</f>
        <v>Dep</v>
      </c>
      <c r="AT76" s="30">
        <f>IF(AS76="","",IF((AS76="Ev")=(E76&gt;0),IF(AS76="Ev",Oranlar!R76,Oranlar!S76)-1,-1))</f>
        <v>-1.0</v>
      </c>
      <c r="AU76" s="16">
        <f>IF(OR(H76=T76,S76=T76),"",IF((H76&gt;T76)=(S76&gt;T76),1,0))</f>
        <v>0</v>
      </c>
      <c r="AV76" s="16">
        <f>IF(OR(L76=V76,U76=V76),"",IF((L76&gt;V76)=(U76&gt;V76),1,0))</f>
        <v/>
      </c>
      <c r="AW76" s="16">
        <f>IF(AND(E76&gt;=J76,E76&lt;=K76),1,0)</f>
        <v>1</v>
      </c>
      <c r="AX76" s="16">
        <f>IF(AND(F76&gt;=N76,F76&lt;=O76),1,0)</f>
        <v>1</v>
      </c>
    </row>
    <row r="77" spans="1:50">
      <c r="A77" s="21">
        <f>Oranlar!A77</f>
        <v>46094</v>
      </c>
      <c r="B77" s="22" t="str">
        <f>Oranlar!C77&amp;" @ "&amp;Oranlar!D77</f>
        <v>CHI @ LAC</v>
      </c>
      <c r="C77" s="23">
        <f>Oranlar!F77</f>
        <v>119</v>
      </c>
      <c r="D77" s="23">
        <f>Oranlar!E77</f>
        <v>108</v>
      </c>
      <c r="E77" s="15">
        <f>C77-D77</f>
        <v>11</v>
      </c>
      <c r="F77" s="16">
        <f>C77+D77</f>
        <v>227</v>
      </c>
      <c r="G77" s="24">
        <v>0.633</v>
      </c>
      <c r="H77" s="10">
        <v>4.05</v>
      </c>
      <c r="I77" s="10">
        <v>6.4</v>
      </c>
      <c r="J77" s="10">
        <v>-12</v>
      </c>
      <c r="K77" s="10">
        <v>25</v>
      </c>
      <c r="L77" s="11">
        <v>233</v>
      </c>
      <c r="M77" s="11">
        <v>233.4</v>
      </c>
      <c r="N77" s="11">
        <v>206</v>
      </c>
      <c r="O77" s="11">
        <v>261</v>
      </c>
      <c r="P77" s="11">
        <v>118.22</v>
      </c>
      <c r="Q77" s="11">
        <v>115.08</v>
      </c>
      <c r="R77" s="25">
        <f>Oranlar!Y77</f>
        <v>0.8579439252336449</v>
      </c>
      <c r="S77" s="26">
        <f>-Oranlar!O77</f>
        <v>13.5</v>
      </c>
      <c r="T77" s="26">
        <f>-Oranlar!I77</f>
        <v>11.5</v>
      </c>
      <c r="U77" s="27">
        <f>Oranlar!V77</f>
        <v>235.5</v>
      </c>
      <c r="V77" s="27">
        <f>Oranlar!L77</f>
        <v>234.5</v>
      </c>
      <c r="W77" s="28">
        <f>(U77+S77)/2</f>
        <v>124.5</v>
      </c>
      <c r="X77" s="28">
        <f>(U77-S77)/2</f>
        <v>111.0</v>
      </c>
      <c r="Y77" s="16">
        <f>IF(G77=0.5,"",IF((G77&gt;0.5)=(E77&gt;0),1,0))</f>
        <v>1</v>
      </c>
      <c r="Z77" s="16">
        <f>IF(R77=0.5,"",IF((R77&gt;0.5)=(E77&gt;0),1,0))</f>
        <v>1</v>
      </c>
      <c r="AA77" s="29">
        <f>(G77-IF(E77&gt;0,1,0))^2</f>
        <v>0.134689</v>
      </c>
      <c r="AB77" s="29">
        <f>(R77-IF(E77&gt;0,1,0))^2</f>
        <v>0.02017992837802426</v>
      </c>
      <c r="AC77" s="28">
        <f>ABS(H77-E77)</f>
        <v>6.95</v>
      </c>
      <c r="AD77" s="28">
        <f>ABS(I77-E77)</f>
        <v>4.6</v>
      </c>
      <c r="AE77" s="28">
        <f>ABS(S77-E77)</f>
        <v>2.5</v>
      </c>
      <c r="AF77" s="28">
        <f>ABS(L77-F77)</f>
        <v>6.0</v>
      </c>
      <c r="AG77" s="28">
        <f>ABS(M77-F77)</f>
        <v>6.400000000000006</v>
      </c>
      <c r="AH77" s="28">
        <f>ABS(U77-F77)</f>
        <v>8.5</v>
      </c>
      <c r="AI77" s="28">
        <f>ABS(P77-C77)</f>
        <v>0.7800000000000011</v>
      </c>
      <c r="AJ77" s="28">
        <f>ABS(W77-C77)</f>
        <v>5.5</v>
      </c>
      <c r="AK77" s="28">
        <f>ABS(Q77-D77)</f>
        <v>7.079999999999998</v>
      </c>
      <c r="AL77" s="28">
        <f>ABS(X77-D77)</f>
        <v>3.0</v>
      </c>
      <c r="AM77" s="17" t="str">
        <f>IF(H77&gt;S77,"Ev",IF(H77&lt;S77,"Dep",""))</f>
        <v>Dep</v>
      </c>
      <c r="AN77" s="17" t="str">
        <f>IF(AM77="","",IF(E77=S77,"Push",IF((E77&gt;S77)=(AM77="Ev"),"Kazandı","Kaybetti")))</f>
        <v>Kazandı</v>
      </c>
      <c r="AO77" s="30">
        <f>IF(AM77="","",IF(AN77="Push",0,IF(AN77="Kazandı",IF(AM77="Ev",Oranlar!P77,Oranlar!Q77)-1,-1)))</f>
        <v>0.9090909090909092</v>
      </c>
      <c r="AP77" s="17" t="str">
        <f>IF(L77&gt;U77,"Üst",IF(L77&lt;U77,"Alt",""))</f>
        <v>Alt</v>
      </c>
      <c r="AQ77" s="17" t="str">
        <f>IF(AP77="","",IF(F77=U77,"Push",IF((F77&gt;U77)=(AP77="Üst"),"Kazandı","Kaybetti")))</f>
        <v>Kazandı</v>
      </c>
      <c r="AR77" s="30">
        <f>IF(AP77="","",IF(AQ77="Push",0,IF(AQ77="Kazandı",IF(AP77="Üst",Oranlar!W77,Oranlar!X77)-1,-1)))</f>
        <v>0.8928571428571428</v>
      </c>
      <c r="AS77" s="17" t="str">
        <f>IF(G77*Oranlar!R77&gt;1,"Ev",IF((1-G77)*Oranlar!S77&gt;1,"Dep",""))</f>
        <v>Dep</v>
      </c>
      <c r="AT77" s="30">
        <f>IF(AS77="","",IF((AS77="Ev")=(E77&gt;0),IF(AS77="Ev",Oranlar!R77,Oranlar!S77)-1,-1))</f>
        <v>-1.0</v>
      </c>
      <c r="AU77" s="16">
        <f>IF(OR(H77=T77,S77=T77),"",IF((H77&gt;T77)=(S77&gt;T77),1,0))</f>
        <v>0</v>
      </c>
      <c r="AV77" s="16">
        <f>IF(OR(L77=V77,U77=V77),"",IF((L77&gt;V77)=(U77&gt;V77),1,0))</f>
        <v>0</v>
      </c>
      <c r="AW77" s="16">
        <f>IF(AND(E77&gt;=J77,E77&lt;=K77),1,0)</f>
        <v>1</v>
      </c>
      <c r="AX77" s="16">
        <f>IF(AND(F77&gt;=N77,F77&lt;=O77),1,0)</f>
        <v>1</v>
      </c>
    </row>
    <row r="78" spans="1:50">
      <c r="A78" s="21">
        <f>Oranlar!A78</f>
        <v>46095</v>
      </c>
      <c r="B78" s="22" t="str">
        <f>Oranlar!C78&amp;" @ "&amp;Oranlar!D78</f>
        <v>BKN @ PHI</v>
      </c>
      <c r="C78" s="23">
        <f>Oranlar!F78</f>
        <v>104</v>
      </c>
      <c r="D78" s="23">
        <f>Oranlar!E78</f>
        <v>97</v>
      </c>
      <c r="E78" s="15">
        <f>C78-D78</f>
        <v>7</v>
      </c>
      <c r="F78" s="16">
        <f>C78+D78</f>
        <v>201</v>
      </c>
      <c r="G78" s="24">
        <v>0.701</v>
      </c>
      <c r="H78" s="10">
        <v>6.52</v>
      </c>
      <c r="I78" s="10">
        <v>6.7</v>
      </c>
      <c r="J78" s="10">
        <v>-11</v>
      </c>
      <c r="K78" s="10">
        <v>25</v>
      </c>
      <c r="L78" s="11">
        <v>225.97</v>
      </c>
      <c r="M78" s="11">
        <v>227.5</v>
      </c>
      <c r="N78" s="11">
        <v>200</v>
      </c>
      <c r="O78" s="11">
        <v>255</v>
      </c>
      <c r="P78" s="11">
        <v>117.29</v>
      </c>
      <c r="Q78" s="11">
        <v>108.25</v>
      </c>
      <c r="R78" s="25">
        <f>Oranlar!Y78</f>
        <v>0.76</v>
      </c>
      <c r="S78" s="26">
        <f>-Oranlar!O78</f>
        <v>8.5</v>
      </c>
      <c r="T78" s="26">
        <f>-Oranlar!I78</f>
        <v>9.5</v>
      </c>
      <c r="U78" s="27">
        <f>Oranlar!V78</f>
        <v>217.5</v>
      </c>
      <c r="V78" s="27">
        <f>Oranlar!L78</f>
        <v>215.5</v>
      </c>
      <c r="W78" s="28">
        <f>(U78+S78)/2</f>
        <v>113.0</v>
      </c>
      <c r="X78" s="28">
        <f>(U78-S78)/2</f>
        <v>104.5</v>
      </c>
      <c r="Y78" s="16">
        <f>IF(G78=0.5,"",IF((G78&gt;0.5)=(E78&gt;0),1,0))</f>
        <v>1</v>
      </c>
      <c r="Z78" s="16">
        <f>IF(R78=0.5,"",IF((R78&gt;0.5)=(E78&gt;0),1,0))</f>
        <v>1</v>
      </c>
      <c r="AA78" s="29">
        <f>(G78-IF(E78&gt;0,1,0))^2</f>
        <v>0.08940100000000002</v>
      </c>
      <c r="AB78" s="29">
        <f>(R78-IF(E78&gt;0,1,0))^2</f>
        <v>0.0576</v>
      </c>
      <c r="AC78" s="28">
        <f>ABS(H78-E78)</f>
        <v>0.4800000000000004</v>
      </c>
      <c r="AD78" s="28">
        <f>ABS(I78-E78)</f>
        <v>0.2999999999999998</v>
      </c>
      <c r="AE78" s="28">
        <f>ABS(S78-E78)</f>
        <v>1.5</v>
      </c>
      <c r="AF78" s="28">
        <f>ABS(L78-F78)</f>
        <v>24.97</v>
      </c>
      <c r="AG78" s="28">
        <f>ABS(M78-F78)</f>
        <v>26.5</v>
      </c>
      <c r="AH78" s="28">
        <f>ABS(U78-F78)</f>
        <v>16.5</v>
      </c>
      <c r="AI78" s="28">
        <f>ABS(P78-C78)</f>
        <v>13.290000000000006</v>
      </c>
      <c r="AJ78" s="28">
        <f>ABS(W78-C78)</f>
        <v>9.0</v>
      </c>
      <c r="AK78" s="28">
        <f>ABS(Q78-D78)</f>
        <v>11.25</v>
      </c>
      <c r="AL78" s="28">
        <f>ABS(X78-D78)</f>
        <v>7.5</v>
      </c>
      <c r="AM78" s="17" t="str">
        <f>IF(H78&gt;S78,"Ev",IF(H78&lt;S78,"Dep",""))</f>
        <v>Dep</v>
      </c>
      <c r="AN78" s="17" t="str">
        <f>IF(AM78="","",IF(E78=S78,"Push",IF((E78&gt;S78)=(AM78="Ev"),"Kazandı","Kaybetti")))</f>
        <v>Kazandı</v>
      </c>
      <c r="AO78" s="30">
        <f>IF(AM78="","",IF(AN78="Push",0,IF(AN78="Kazandı",IF(AM78="Ev",Oranlar!P78,Oranlar!Q78)-1,-1)))</f>
        <v>0.9090909090909092</v>
      </c>
      <c r="AP78" s="17" t="str">
        <f>IF(L78&gt;U78,"Üst",IF(L78&lt;U78,"Alt",""))</f>
        <v>Üst</v>
      </c>
      <c r="AQ78" s="17" t="str">
        <f>IF(AP78="","",IF(F78=U78,"Push",IF((F78&gt;U78)=(AP78="Üst"),"Kazandı","Kaybetti")))</f>
        <v>Kaybetti</v>
      </c>
      <c r="AR78" s="30">
        <f>IF(AP78="","",IF(AQ78="Push",0,IF(AQ78="Kazandı",IF(AP78="Üst",Oranlar!W78,Oranlar!X78)-1,-1)))</f>
        <v>-1.0</v>
      </c>
      <c r="AS78" s="17" t="str">
        <f>IF(G78*Oranlar!R78&gt;1,"Ev",IF((1-G78)*Oranlar!S78&gt;1,"Dep",""))</f>
        <v>Dep</v>
      </c>
      <c r="AT78" s="30">
        <f>IF(AS78="","",IF((AS78="Ev")=(E78&gt;0),IF(AS78="Ev",Oranlar!R78,Oranlar!S78)-1,-1))</f>
        <v>-1.0</v>
      </c>
      <c r="AU78" s="16">
        <f>IF(OR(H78=T78,S78=T78),"",IF((H78&gt;T78)=(S78&gt;T78),1,0))</f>
        <v>1</v>
      </c>
      <c r="AV78" s="16">
        <f>IF(OR(L78=V78,U78=V78),"",IF((L78&gt;V78)=(U78&gt;V78),1,0))</f>
        <v>1</v>
      </c>
      <c r="AW78" s="16">
        <f>IF(AND(E78&gt;=J78,E78&lt;=K78),1,0)</f>
        <v>1</v>
      </c>
      <c r="AX78" s="16">
        <f>IF(AND(F78&gt;=N78,F78&lt;=O78),1,0)</f>
        <v>1</v>
      </c>
    </row>
    <row r="79" spans="1:50">
      <c r="A79" s="21">
        <f>Oranlar!A79</f>
        <v>46095</v>
      </c>
      <c r="B79" s="22" t="str">
        <f>Oranlar!C79&amp;" @ "&amp;Oranlar!D79</f>
        <v>MIL @ ATL</v>
      </c>
      <c r="C79" s="23">
        <f>Oranlar!F79</f>
        <v>122</v>
      </c>
      <c r="D79" s="23">
        <f>Oranlar!E79</f>
        <v>99</v>
      </c>
      <c r="E79" s="15">
        <f>C79-D79</f>
        <v>23</v>
      </c>
      <c r="F79" s="16">
        <f>C79+D79</f>
        <v>221</v>
      </c>
      <c r="G79" s="24">
        <v>0.852</v>
      </c>
      <c r="H79" s="10">
        <v>21.16</v>
      </c>
      <c r="I79" s="10">
        <v>17</v>
      </c>
      <c r="J79" s="10">
        <v>-1</v>
      </c>
      <c r="K79" s="10">
        <v>36</v>
      </c>
      <c r="L79" s="11">
        <v>227.87</v>
      </c>
      <c r="M79" s="11">
        <v>231</v>
      </c>
      <c r="N79" s="11">
        <v>204</v>
      </c>
      <c r="O79" s="11">
        <v>258</v>
      </c>
      <c r="P79" s="11">
        <v>123.68</v>
      </c>
      <c r="Q79" s="11">
        <v>103.23</v>
      </c>
      <c r="R79" s="25">
        <f>Oranlar!Y79</f>
        <v>0.7999999999999999</v>
      </c>
      <c r="S79" s="26">
        <f>-Oranlar!O79</f>
        <v>11.5</v>
      </c>
      <c r="T79" s="26">
        <f>-Oranlar!I79</f>
        <v>7.5</v>
      </c>
      <c r="U79" s="27">
        <f>Oranlar!V79</f>
        <v>228.5</v>
      </c>
      <c r="V79" s="27">
        <f>Oranlar!L79</f>
        <v>231.5</v>
      </c>
      <c r="W79" s="28">
        <f>(U79+S79)/2</f>
        <v>120.0</v>
      </c>
      <c r="X79" s="28">
        <f>(U79-S79)/2</f>
        <v>108.5</v>
      </c>
      <c r="Y79" s="16">
        <f>IF(G79=0.5,"",IF((G79&gt;0.5)=(E79&gt;0),1,0))</f>
        <v>1</v>
      </c>
      <c r="Z79" s="16">
        <f>IF(R79=0.5,"",IF((R79&gt;0.5)=(E79&gt;0),1,0))</f>
        <v>1</v>
      </c>
      <c r="AA79" s="29">
        <f>(G79-IF(E79&gt;0,1,0))^2</f>
        <v>0.021904000000000007</v>
      </c>
      <c r="AB79" s="29">
        <f>(R79-IF(E79&gt;0,1,0))^2</f>
        <v>0.04000000000000003</v>
      </c>
      <c r="AC79" s="28">
        <f>ABS(H79-E79)</f>
        <v>1.8399999999999999</v>
      </c>
      <c r="AD79" s="28">
        <f>ABS(I79-E79)</f>
        <v>6.0</v>
      </c>
      <c r="AE79" s="28">
        <f>ABS(S79-E79)</f>
        <v>11.5</v>
      </c>
      <c r="AF79" s="28">
        <f>ABS(L79-F79)</f>
        <v>6.8700000000000045</v>
      </c>
      <c r="AG79" s="28">
        <f>ABS(M79-F79)</f>
        <v>10.0</v>
      </c>
      <c r="AH79" s="28">
        <f>ABS(U79-F79)</f>
        <v>7.5</v>
      </c>
      <c r="AI79" s="28">
        <f>ABS(P79-C79)</f>
        <v>1.6800000000000068</v>
      </c>
      <c r="AJ79" s="28">
        <f>ABS(W79-C79)</f>
        <v>2.0</v>
      </c>
      <c r="AK79" s="28">
        <f>ABS(Q79-D79)</f>
        <v>4.230000000000004</v>
      </c>
      <c r="AL79" s="28">
        <f>ABS(X79-D79)</f>
        <v>9.5</v>
      </c>
      <c r="AM79" s="17" t="str">
        <f>IF(H79&gt;S79,"Ev",IF(H79&lt;S79,"Dep",""))</f>
        <v>Ev</v>
      </c>
      <c r="AN79" s="17" t="str">
        <f>IF(AM79="","",IF(E79=S79,"Push",IF((E79&gt;S79)=(AM79="Ev"),"Kazandı","Kaybetti")))</f>
        <v>Kazandı</v>
      </c>
      <c r="AO79" s="30">
        <f>IF(AM79="","",IF(AN79="Push",0,IF(AN79="Kazandı",IF(AM79="Ev",Oranlar!P79,Oranlar!Q79)-1,-1)))</f>
        <v>0.9523809523809523</v>
      </c>
      <c r="AP79" s="17" t="str">
        <f>IF(L79&gt;U79,"Üst",IF(L79&lt;U79,"Alt",""))</f>
        <v>Alt</v>
      </c>
      <c r="AQ79" s="17" t="str">
        <f>IF(AP79="","",IF(F79=U79,"Push",IF((F79&gt;U79)=(AP79="Üst"),"Kazandı","Kaybetti")))</f>
        <v>Kazandı</v>
      </c>
      <c r="AR79" s="30">
        <f>IF(AP79="","",IF(AQ79="Push",0,IF(AQ79="Kazandı",IF(AP79="Üst",Oranlar!W79,Oranlar!X79)-1,-1)))</f>
        <v>0.9090909090909092</v>
      </c>
      <c r="AS79" s="17" t="str">
        <f>IF(G79*Oranlar!R79&gt;1,"Ev",IF((1-G79)*Oranlar!S79&gt;1,"Dep",""))</f>
        <v>Ev</v>
      </c>
      <c r="AT79" s="30">
        <f>IF(AS79="","",IF((AS79="Ev")=(E79&gt;0),IF(AS79="Ev",Oranlar!R79,Oranlar!S79)-1,-1))</f>
        <v>0.19999999999999996</v>
      </c>
      <c r="AU79" s="16">
        <f>IF(OR(H79=T79,S79=T79),"",IF((H79&gt;T79)=(S79&gt;T79),1,0))</f>
        <v>1</v>
      </c>
      <c r="AV79" s="16">
        <f>IF(OR(L79=V79,U79=V79),"",IF((L79&gt;V79)=(U79&gt;V79),1,0))</f>
        <v>1</v>
      </c>
      <c r="AW79" s="16">
        <f>IF(AND(E79&gt;=J79,E79&lt;=K79),1,0)</f>
        <v>1</v>
      </c>
      <c r="AX79" s="16">
        <f>IF(AND(F79&gt;=N79,F79&lt;=O79),1,0)</f>
        <v>1</v>
      </c>
    </row>
    <row r="80" spans="1:50">
      <c r="A80" s="21">
        <f>Oranlar!A80</f>
        <v>46095</v>
      </c>
      <c r="B80" s="22" t="str">
        <f>Oranlar!C80&amp;" @ "&amp;Oranlar!D80</f>
        <v>WAS @ BOS</v>
      </c>
      <c r="C80" s="23">
        <f>Oranlar!F80</f>
        <v>111</v>
      </c>
      <c r="D80" s="23">
        <f>Oranlar!E80</f>
        <v>100</v>
      </c>
      <c r="E80" s="15">
        <f>C80-D80</f>
        <v>11</v>
      </c>
      <c r="F80" s="16">
        <f>C80+D80</f>
        <v>211</v>
      </c>
      <c r="G80" s="24">
        <v>0.789</v>
      </c>
      <c r="H80" s="10">
        <v>8.49</v>
      </c>
      <c r="I80" s="10">
        <v>6.3</v>
      </c>
      <c r="J80" s="10">
        <v>-12</v>
      </c>
      <c r="K80" s="10">
        <v>25</v>
      </c>
      <c r="L80" s="11">
        <v>230.31</v>
      </c>
      <c r="M80" s="11">
        <v>233.5</v>
      </c>
      <c r="N80" s="11">
        <v>206</v>
      </c>
      <c r="O80" s="11">
        <v>261</v>
      </c>
      <c r="P80" s="11">
        <v>118.62</v>
      </c>
      <c r="Q80" s="11">
        <v>112.59</v>
      </c>
      <c r="R80" s="25">
        <f>Oranlar!Y80</f>
        <v>0.9258160237388724</v>
      </c>
      <c r="S80" s="26">
        <f>-Oranlar!O80</f>
        <v>20.5</v>
      </c>
      <c r="T80" s="26">
        <f>-Oranlar!I80</f>
        <v>19.5</v>
      </c>
      <c r="U80" s="27">
        <f>Oranlar!V80</f>
        <v>232.5</v>
      </c>
      <c r="V80" s="27">
        <f>Oranlar!L80</f>
        <v>227.5</v>
      </c>
      <c r="W80" s="28">
        <f>(U80+S80)/2</f>
        <v>126.5</v>
      </c>
      <c r="X80" s="28">
        <f>(U80-S80)/2</f>
        <v>106.0</v>
      </c>
      <c r="Y80" s="16">
        <f>IF(G80=0.5,"",IF((G80&gt;0.5)=(E80&gt;0),1,0))</f>
        <v>1</v>
      </c>
      <c r="Z80" s="16">
        <f>IF(R80=0.5,"",IF((R80&gt;0.5)=(E80&gt;0),1,0))</f>
        <v>1</v>
      </c>
      <c r="AA80" s="29">
        <f>(G80-IF(E80&gt;0,1,0))^2</f>
        <v>0.044520999999999984</v>
      </c>
      <c r="AB80" s="29">
        <f>(R80-IF(E80&gt;0,1,0))^2</f>
        <v>0.005503262333911544</v>
      </c>
      <c r="AC80" s="28">
        <f>ABS(H80-E80)</f>
        <v>2.51</v>
      </c>
      <c r="AD80" s="28">
        <f>ABS(I80-E80)</f>
        <v>4.7</v>
      </c>
      <c r="AE80" s="28">
        <f>ABS(S80-E80)</f>
        <v>9.5</v>
      </c>
      <c r="AF80" s="28">
        <f>ABS(L80-F80)</f>
        <v>19.310000000000002</v>
      </c>
      <c r="AG80" s="28">
        <f>ABS(M80-F80)</f>
        <v>22.5</v>
      </c>
      <c r="AH80" s="28">
        <f>ABS(U80-F80)</f>
        <v>21.5</v>
      </c>
      <c r="AI80" s="28">
        <f>ABS(P80-C80)</f>
        <v>7.6200000000000045</v>
      </c>
      <c r="AJ80" s="28">
        <f>ABS(W80-C80)</f>
        <v>15.5</v>
      </c>
      <c r="AK80" s="28">
        <f>ABS(Q80-D80)</f>
        <v>12.590000000000003</v>
      </c>
      <c r="AL80" s="28">
        <f>ABS(X80-D80)</f>
        <v>6.0</v>
      </c>
      <c r="AM80" s="17" t="str">
        <f>IF(H80&gt;S80,"Ev",IF(H80&lt;S80,"Dep",""))</f>
        <v>Dep</v>
      </c>
      <c r="AN80" s="17" t="str">
        <f>IF(AM80="","",IF(E80=S80,"Push",IF((E80&gt;S80)=(AM80="Ev"),"Kazandı","Kaybetti")))</f>
        <v>Kazandı</v>
      </c>
      <c r="AO80" s="30">
        <f>IF(AM80="","",IF(AN80="Push",0,IF(AN80="Kazandı",IF(AM80="Ev",Oranlar!P80,Oranlar!Q80)-1,-1)))</f>
        <v>0.9090909090909092</v>
      </c>
      <c r="AP80" s="17" t="str">
        <f>IF(L80&gt;U80,"Üst",IF(L80&lt;U80,"Alt",""))</f>
        <v>Alt</v>
      </c>
      <c r="AQ80" s="17" t="str">
        <f>IF(AP80="","",IF(F80=U80,"Push",IF((F80&gt;U80)=(AP80="Üst"),"Kazandı","Kaybetti")))</f>
        <v>Kazandı</v>
      </c>
      <c r="AR80" s="30">
        <f>IF(AP80="","",IF(AQ80="Push",0,IF(AQ80="Kazandı",IF(AP80="Üst",Oranlar!W80,Oranlar!X80)-1,-1)))</f>
        <v>0.9523809523809523</v>
      </c>
      <c r="AS80" s="17" t="str">
        <f>IF(G80*Oranlar!R80&gt;1,"Ev",IF((1-G80)*Oranlar!S80&gt;1,"Dep",""))</f>
        <v>Dep</v>
      </c>
      <c r="AT80" s="30">
        <f>IF(AS80="","",IF((AS80="Ev")=(E80&gt;0),IF(AS80="Ev",Oranlar!R80,Oranlar!S80)-1,-1))</f>
        <v>-1.0</v>
      </c>
      <c r="AU80" s="16">
        <f>IF(OR(H80=T80,S80=T80),"",IF((H80&gt;T80)=(S80&gt;T80),1,0))</f>
        <v>0</v>
      </c>
      <c r="AV80" s="16">
        <f>IF(OR(L80=V80,U80=V80),"",IF((L80&gt;V80)=(U80&gt;V80),1,0))</f>
        <v>1</v>
      </c>
      <c r="AW80" s="16">
        <f>IF(AND(E80&gt;=J80,E80&lt;=K80),1,0)</f>
        <v>1</v>
      </c>
      <c r="AX80" s="16">
        <f>IF(AND(F80&gt;=N80,F80&lt;=O80),1,0)</f>
        <v>1</v>
      </c>
    </row>
    <row r="81" spans="1:50">
      <c r="A81" s="21">
        <f>Oranlar!A81</f>
        <v>46095</v>
      </c>
      <c r="B81" s="22" t="str">
        <f>Oranlar!C81&amp;" @ "&amp;Oranlar!D81</f>
        <v>ORL @ MIA</v>
      </c>
      <c r="C81" s="23">
        <f>Oranlar!F81</f>
        <v>117</v>
      </c>
      <c r="D81" s="23">
        <f>Oranlar!E81</f>
        <v>121</v>
      </c>
      <c r="E81" s="15">
        <f>C81-D81</f>
        <v>-4</v>
      </c>
      <c r="F81" s="16">
        <f>C81+D81</f>
        <v>238</v>
      </c>
      <c r="G81" s="24">
        <v>0.548</v>
      </c>
      <c r="H81" s="10">
        <v>1.11</v>
      </c>
      <c r="I81" s="10">
        <v>2.3</v>
      </c>
      <c r="J81" s="10">
        <v>-16</v>
      </c>
      <c r="K81" s="10">
        <v>21</v>
      </c>
      <c r="L81" s="11">
        <v>237.52</v>
      </c>
      <c r="M81" s="11">
        <v>232.5</v>
      </c>
      <c r="N81" s="11">
        <v>205</v>
      </c>
      <c r="O81" s="11">
        <v>260</v>
      </c>
      <c r="P81" s="11">
        <v>118.67</v>
      </c>
      <c r="Q81" s="11">
        <v>118.23</v>
      </c>
      <c r="R81" s="25">
        <f>Oranlar!Y81</f>
        <v>0.6224665518611737</v>
      </c>
      <c r="S81" s="26">
        <f>-Oranlar!O81</f>
        <v>4.5</v>
      </c>
      <c r="T81" s="26">
        <f>-Oranlar!I81</f>
        <v>2.5</v>
      </c>
      <c r="U81" s="27">
        <f>Oranlar!V81</f>
        <v>236.5</v>
      </c>
      <c r="V81" s="27">
        <f>Oranlar!L81</f>
        <v>235.5</v>
      </c>
      <c r="W81" s="28">
        <f>(U81+S81)/2</f>
        <v>120.5</v>
      </c>
      <c r="X81" s="28">
        <f>(U81-S81)/2</f>
        <v>116.0</v>
      </c>
      <c r="Y81" s="16">
        <f>IF(G81=0.5,"",IF((G81&gt;0.5)=(E81&gt;0),1,0))</f>
        <v>0</v>
      </c>
      <c r="Z81" s="16">
        <f>IF(R81=0.5,"",IF((R81&gt;0.5)=(E81&gt;0),1,0))</f>
        <v>0</v>
      </c>
      <c r="AA81" s="29">
        <f>(G81-IF(E81&gt;0,1,0))^2</f>
        <v>0.30030400000000007</v>
      </c>
      <c r="AB81" s="29">
        <f>(R81-IF(E81&gt;0,1,0))^2</f>
        <v>0.38746460818593925</v>
      </c>
      <c r="AC81" s="28">
        <f>ABS(H81-E81)</f>
        <v>5.11</v>
      </c>
      <c r="AD81" s="28">
        <f>ABS(I81-E81)</f>
        <v>6.3</v>
      </c>
      <c r="AE81" s="28">
        <f>ABS(S81-E81)</f>
        <v>8.5</v>
      </c>
      <c r="AF81" s="28">
        <f>ABS(L81-F81)</f>
        <v>0.47999999999998977</v>
      </c>
      <c r="AG81" s="28">
        <f>ABS(M81-F81)</f>
        <v>5.5</v>
      </c>
      <c r="AH81" s="28">
        <f>ABS(U81-F81)</f>
        <v>1.5</v>
      </c>
      <c r="AI81" s="28">
        <f>ABS(P81-C81)</f>
        <v>1.6700000000000017</v>
      </c>
      <c r="AJ81" s="28">
        <f>ABS(W81-C81)</f>
        <v>3.5</v>
      </c>
      <c r="AK81" s="28">
        <f>ABS(Q81-D81)</f>
        <v>2.769999999999996</v>
      </c>
      <c r="AL81" s="28">
        <f>ABS(X81-D81)</f>
        <v>5.0</v>
      </c>
      <c r="AM81" s="17" t="str">
        <f>IF(H81&gt;S81,"Ev",IF(H81&lt;S81,"Dep",""))</f>
        <v>Dep</v>
      </c>
      <c r="AN81" s="17" t="str">
        <f>IF(AM81="","",IF(E81=S81,"Push",IF((E81&gt;S81)=(AM81="Ev"),"Kazandı","Kaybetti")))</f>
        <v>Kazandı</v>
      </c>
      <c r="AO81" s="30">
        <f>IF(AM81="","",IF(AN81="Push",0,IF(AN81="Kazandı",IF(AM81="Ev",Oranlar!P81,Oranlar!Q81)-1,-1)))</f>
        <v>0.925925925925926</v>
      </c>
      <c r="AP81" s="17" t="str">
        <f>IF(L81&gt;U81,"Üst",IF(L81&lt;U81,"Alt",""))</f>
        <v>Üst</v>
      </c>
      <c r="AQ81" s="17" t="str">
        <f>IF(AP81="","",IF(F81=U81,"Push",IF((F81&gt;U81)=(AP81="Üst"),"Kazandı","Kaybetti")))</f>
        <v>Kazandı</v>
      </c>
      <c r="AR81" s="30">
        <f>IF(AP81="","",IF(AQ81="Push",0,IF(AQ81="Kazandı",IF(AP81="Üst",Oranlar!W81,Oranlar!X81)-1,-1)))</f>
        <v>0.925925925925926</v>
      </c>
      <c r="AS81" s="17" t="str">
        <f>IF(G81*Oranlar!R81&gt;1,"Ev",IF((1-G81)*Oranlar!S81&gt;1,"Dep",""))</f>
        <v>Dep</v>
      </c>
      <c r="AT81" s="30">
        <f>IF(AS81="","",IF((AS81="Ev")=(E81&gt;0),IF(AS81="Ev",Oranlar!R81,Oranlar!S81)-1,-1))</f>
        <v>1.54</v>
      </c>
      <c r="AU81" s="16">
        <f>IF(OR(H81=T81,S81=T81),"",IF((H81&gt;T81)=(S81&gt;T81),1,0))</f>
        <v>0</v>
      </c>
      <c r="AV81" s="16">
        <f>IF(OR(L81=V81,U81=V81),"",IF((L81&gt;V81)=(U81&gt;V81),1,0))</f>
        <v>1</v>
      </c>
      <c r="AW81" s="16">
        <f>IF(AND(E81&gt;=J81,E81&lt;=K81),1,0)</f>
        <v>1</v>
      </c>
      <c r="AX81" s="16">
        <f>IF(AND(F81&gt;=N81,F81&lt;=O81),1,0)</f>
        <v>1</v>
      </c>
    </row>
    <row r="82" spans="1:50">
      <c r="A82" s="21">
        <f>Oranlar!A82</f>
        <v>46095</v>
      </c>
      <c r="B82" s="22" t="str">
        <f>Oranlar!C82&amp;" @ "&amp;Oranlar!D82</f>
        <v>CHA @ SAS</v>
      </c>
      <c r="C82" s="23">
        <f>Oranlar!F82</f>
        <v>115</v>
      </c>
      <c r="D82" s="23">
        <f>Oranlar!E82</f>
        <v>102</v>
      </c>
      <c r="E82" s="15">
        <f>C82-D82</f>
        <v>13</v>
      </c>
      <c r="F82" s="16">
        <f>C82+D82</f>
        <v>217</v>
      </c>
      <c r="G82" s="24">
        <v>0.5580000000000001</v>
      </c>
      <c r="H82" s="10">
        <v>0.36</v>
      </c>
      <c r="I82" s="10">
        <v>2.4</v>
      </c>
      <c r="J82" s="10">
        <v>-16</v>
      </c>
      <c r="K82" s="10">
        <v>21</v>
      </c>
      <c r="L82" s="11">
        <v>225.41</v>
      </c>
      <c r="M82" s="11">
        <v>225.5</v>
      </c>
      <c r="N82" s="11">
        <v>198</v>
      </c>
      <c r="O82" s="11">
        <v>252</v>
      </c>
      <c r="P82" s="11">
        <v>113.58</v>
      </c>
      <c r="Q82" s="11">
        <v>113.95</v>
      </c>
      <c r="R82" s="25">
        <f>Oranlar!Y82</f>
        <v>0.6805555555555556</v>
      </c>
      <c r="S82" s="26">
        <f>-Oranlar!O82</f>
        <v>6.5</v>
      </c>
      <c r="T82" s="26">
        <f>-Oranlar!I82</f>
        <v>5.5</v>
      </c>
      <c r="U82" s="27">
        <f>Oranlar!V82</f>
        <v>232.5</v>
      </c>
      <c r="V82" s="27">
        <f>Oranlar!L82</f>
        <v>228.5</v>
      </c>
      <c r="W82" s="28">
        <f>(U82+S82)/2</f>
        <v>119.5</v>
      </c>
      <c r="X82" s="28">
        <f>(U82-S82)/2</f>
        <v>113.0</v>
      </c>
      <c r="Y82" s="16">
        <f>IF(G82=0.5,"",IF((G82&gt;0.5)=(E82&gt;0),1,0))</f>
        <v>1</v>
      </c>
      <c r="Z82" s="16">
        <f>IF(R82=0.5,"",IF((R82&gt;0.5)=(E82&gt;0),1,0))</f>
        <v>1</v>
      </c>
      <c r="AA82" s="29">
        <f>(G82-IF(E82&gt;0,1,0))^2</f>
        <v>0.19536399999999995</v>
      </c>
      <c r="AB82" s="29">
        <f>(R82-IF(E82&gt;0,1,0))^2</f>
        <v>0.10204475308641973</v>
      </c>
      <c r="AC82" s="28">
        <f>ABS(H82-E82)</f>
        <v>12.64</v>
      </c>
      <c r="AD82" s="28">
        <f>ABS(I82-E82)</f>
        <v>10.6</v>
      </c>
      <c r="AE82" s="28">
        <f>ABS(S82-E82)</f>
        <v>6.5</v>
      </c>
      <c r="AF82" s="28">
        <f>ABS(L82-F82)</f>
        <v>8.409999999999997</v>
      </c>
      <c r="AG82" s="28">
        <f>ABS(M82-F82)</f>
        <v>8.5</v>
      </c>
      <c r="AH82" s="28">
        <f>ABS(U82-F82)</f>
        <v>15.5</v>
      </c>
      <c r="AI82" s="28">
        <f>ABS(P82-C82)</f>
        <v>1.4200000000000017</v>
      </c>
      <c r="AJ82" s="28">
        <f>ABS(W82-C82)</f>
        <v>4.5</v>
      </c>
      <c r="AK82" s="28">
        <f>ABS(Q82-D82)</f>
        <v>11.950000000000003</v>
      </c>
      <c r="AL82" s="28">
        <f>ABS(X82-D82)</f>
        <v>11.0</v>
      </c>
      <c r="AM82" s="17" t="str">
        <f>IF(H82&gt;S82,"Ev",IF(H82&lt;S82,"Dep",""))</f>
        <v>Dep</v>
      </c>
      <c r="AN82" s="17" t="str">
        <f>IF(AM82="","",IF(E82=S82,"Push",IF((E82&gt;S82)=(AM82="Ev"),"Kazandı","Kaybetti")))</f>
        <v>Kaybetti</v>
      </c>
      <c r="AO82" s="30">
        <f>IF(AM82="","",IF(AN82="Push",0,IF(AN82="Kazandı",IF(AM82="Ev",Oranlar!P82,Oranlar!Q82)-1,-1)))</f>
        <v>-1.0</v>
      </c>
      <c r="AP82" s="17" t="str">
        <f>IF(L82&gt;U82,"Üst",IF(L82&lt;U82,"Alt",""))</f>
        <v>Alt</v>
      </c>
      <c r="AQ82" s="17" t="str">
        <f>IF(AP82="","",IF(F82=U82,"Push",IF((F82&gt;U82)=(AP82="Üst"),"Kazandı","Kaybetti")))</f>
        <v>Kazandı</v>
      </c>
      <c r="AR82" s="30">
        <f>IF(AP82="","",IF(AQ82="Push",0,IF(AQ82="Kazandı",IF(AP82="Üst",Oranlar!W82,Oranlar!X82)-1,-1)))</f>
        <v>0.9090909090909092</v>
      </c>
      <c r="AS82" s="17" t="str">
        <f>IF(G82*Oranlar!R82&gt;1,"Ev",IF((1-G82)*Oranlar!S82&gt;1,"Dep",""))</f>
        <v>Dep</v>
      </c>
      <c r="AT82" s="30">
        <f>IF(AS82="","",IF((AS82="Ev")=(E82&gt;0),IF(AS82="Ev",Oranlar!R82,Oranlar!S82)-1,-1))</f>
        <v>-1.0</v>
      </c>
      <c r="AU82" s="16">
        <f>IF(OR(H82=T82,S82=T82),"",IF((H82&gt;T82)=(S82&gt;T82),1,0))</f>
        <v>0</v>
      </c>
      <c r="AV82" s="16">
        <f>IF(OR(L82=V82,U82=V82),"",IF((L82&gt;V82)=(U82&gt;V82),1,0))</f>
        <v>0</v>
      </c>
      <c r="AW82" s="16">
        <f>IF(AND(E82&gt;=J82,E82&lt;=K82),1,0)</f>
        <v>1</v>
      </c>
      <c r="AX82" s="16">
        <f>IF(AND(F82&gt;=N82,F82&lt;=O82),1,0)</f>
        <v>1</v>
      </c>
    </row>
    <row r="83" spans="1:50">
      <c r="A83" s="21">
        <f>Oranlar!A83</f>
        <v>46095</v>
      </c>
      <c r="B83" s="22" t="str">
        <f>Oranlar!C83&amp;" @ "&amp;Oranlar!D83</f>
        <v>DEN @ LAL</v>
      </c>
      <c r="C83" s="23">
        <f>Oranlar!F83</f>
        <v>127</v>
      </c>
      <c r="D83" s="23">
        <f>Oranlar!E83</f>
        <v>125</v>
      </c>
      <c r="E83" s="15">
        <f>C83-D83</f>
        <v>2</v>
      </c>
      <c r="F83" s="16">
        <f>C83+D83</f>
        <v>252</v>
      </c>
      <c r="G83" s="24">
        <v>0.529</v>
      </c>
      <c r="H83" s="10">
        <v>0.48</v>
      </c>
      <c r="I83" s="10">
        <v>2.2</v>
      </c>
      <c r="J83" s="10">
        <v>-16</v>
      </c>
      <c r="K83" s="10">
        <v>21</v>
      </c>
      <c r="L83" s="11">
        <v>231.62</v>
      </c>
      <c r="M83" s="11">
        <v>231.6</v>
      </c>
      <c r="N83" s="11">
        <v>204</v>
      </c>
      <c r="O83" s="11">
        <v>259</v>
      </c>
      <c r="P83" s="11">
        <v>118.32</v>
      </c>
      <c r="Q83" s="11">
        <v>115.7</v>
      </c>
      <c r="R83" s="25">
        <f>Oranlar!Y83</f>
        <v>0.47391341473828025</v>
      </c>
      <c r="S83" s="26">
        <f>-Oranlar!O83</f>
        <v>-1.5</v>
      </c>
      <c r="T83" s="26">
        <f>-Oranlar!I83</f>
        <v>-1.5</v>
      </c>
      <c r="U83" s="27">
        <f>Oranlar!V83</f>
        <v>244.5</v>
      </c>
      <c r="V83" s="27">
        <f>Oranlar!L83</f>
        <v>240.5</v>
      </c>
      <c r="W83" s="28">
        <f>(U83+S83)/2</f>
        <v>121.5</v>
      </c>
      <c r="X83" s="28">
        <f>(U83-S83)/2</f>
        <v>123.0</v>
      </c>
      <c r="Y83" s="16">
        <f>IF(G83=0.5,"",IF((G83&gt;0.5)=(E83&gt;0),1,0))</f>
        <v>1</v>
      </c>
      <c r="Z83" s="16">
        <f>IF(R83=0.5,"",IF((R83&gt;0.5)=(E83&gt;0),1,0))</f>
        <v>0</v>
      </c>
      <c r="AA83" s="29">
        <f>(G83-IF(E83&gt;0,1,0))^2</f>
        <v>0.22184099999999998</v>
      </c>
      <c r="AB83" s="29">
        <f>(R83-IF(E83&gt;0,1,0))^2</f>
        <v>0.2767670951923368</v>
      </c>
      <c r="AC83" s="28">
        <f>ABS(H83-E83)</f>
        <v>1.52</v>
      </c>
      <c r="AD83" s="28">
        <f>ABS(I83-E83)</f>
        <v>0.20000000000000018</v>
      </c>
      <c r="AE83" s="28">
        <f>ABS(S83-E83)</f>
        <v>3.5</v>
      </c>
      <c r="AF83" s="28">
        <f>ABS(L83-F83)</f>
        <v>20.379999999999995</v>
      </c>
      <c r="AG83" s="28">
        <f>ABS(M83-F83)</f>
        <v>20.400000000000006</v>
      </c>
      <c r="AH83" s="28">
        <f>ABS(U83-F83)</f>
        <v>7.5</v>
      </c>
      <c r="AI83" s="28">
        <f>ABS(P83-C83)</f>
        <v>8.680000000000007</v>
      </c>
      <c r="AJ83" s="28">
        <f>ABS(W83-C83)</f>
        <v>5.5</v>
      </c>
      <c r="AK83" s="28">
        <f>ABS(Q83-D83)</f>
        <v>9.299999999999997</v>
      </c>
      <c r="AL83" s="28">
        <f>ABS(X83-D83)</f>
        <v>2.0</v>
      </c>
      <c r="AM83" s="17" t="str">
        <f>IF(H83&gt;S83,"Ev",IF(H83&lt;S83,"Dep",""))</f>
        <v>Ev</v>
      </c>
      <c r="AN83" s="17" t="str">
        <f>IF(AM83="","",IF(E83=S83,"Push",IF((E83&gt;S83)=(AM83="Ev"),"Kazandı","Kaybetti")))</f>
        <v>Kazandı</v>
      </c>
      <c r="AO83" s="30">
        <f>IF(AM83="","",IF(AN83="Push",0,IF(AN83="Kazandı",IF(AM83="Ev",Oranlar!P83,Oranlar!Q83)-1,-1)))</f>
        <v>0.9523809523809523</v>
      </c>
      <c r="AP83" s="17" t="str">
        <f>IF(L83&gt;U83,"Üst",IF(L83&lt;U83,"Alt",""))</f>
        <v>Alt</v>
      </c>
      <c r="AQ83" s="17" t="str">
        <f>IF(AP83="","",IF(F83=U83,"Push",IF((F83&gt;U83)=(AP83="Üst"),"Kazandı","Kaybetti")))</f>
        <v>Kaybetti</v>
      </c>
      <c r="AR83" s="30">
        <f>IF(AP83="","",IF(AQ83="Push",0,IF(AQ83="Kazandı",IF(AP83="Üst",Oranlar!W83,Oranlar!X83)-1,-1)))</f>
        <v>-1.0</v>
      </c>
      <c r="AS83" s="17" t="str">
        <f>IF(G83*Oranlar!R83&gt;1,"Ev",IF((1-G83)*Oranlar!S83&gt;1,"Dep",""))</f>
        <v>Ev</v>
      </c>
      <c r="AT83" s="30">
        <f>IF(AS83="","",IF((AS83="Ev")=(E83&gt;0),IF(AS83="Ev",Oranlar!R83,Oranlar!S83)-1,-1))</f>
        <v>1.02</v>
      </c>
      <c r="AU83" s="16">
        <f>IF(OR(H83=T83,S83=T83),"",IF((H83&gt;T83)=(S83&gt;T83),1,0))</f>
        <v/>
      </c>
      <c r="AV83" s="16">
        <f>IF(OR(L83=V83,U83=V83),"",IF((L83&gt;V83)=(U83&gt;V83),1,0))</f>
        <v>0</v>
      </c>
      <c r="AW83" s="16">
        <f>IF(AND(E83&gt;=J83,E83&lt;=K83),1,0)</f>
        <v>1</v>
      </c>
      <c r="AX83" s="16">
        <f>IF(AND(F83&gt;=N83,F83&lt;=O83),1,0)</f>
        <v>1</v>
      </c>
    </row>
    <row r="84" spans="1:50">
      <c r="A84" s="21">
        <f>Oranlar!A84</f>
        <v>46095</v>
      </c>
      <c r="B84" s="22" t="str">
        <f>Oranlar!C84&amp;" @ "&amp;Oranlar!D84</f>
        <v>SAC @ LAC</v>
      </c>
      <c r="C84" s="23">
        <f>Oranlar!F84</f>
        <v>109</v>
      </c>
      <c r="D84" s="23">
        <f>Oranlar!E84</f>
        <v>118</v>
      </c>
      <c r="E84" s="15">
        <f>C84-D84</f>
        <v>-9</v>
      </c>
      <c r="F84" s="16">
        <f>C84+D84</f>
        <v>227</v>
      </c>
      <c r="G84" s="24">
        <v>0.705</v>
      </c>
      <c r="H84" s="10">
        <v>5.92</v>
      </c>
      <c r="I84" s="10">
        <v>5.6</v>
      </c>
      <c r="J84" s="10">
        <v>-13</v>
      </c>
      <c r="K84" s="10">
        <v>24</v>
      </c>
      <c r="L84" s="11">
        <v>232.42</v>
      </c>
      <c r="M84" s="11">
        <v>231.4</v>
      </c>
      <c r="N84" s="11">
        <v>204</v>
      </c>
      <c r="O84" s="11">
        <v>259</v>
      </c>
      <c r="P84" s="11">
        <v>120.98</v>
      </c>
      <c r="Q84" s="11">
        <v>113.32</v>
      </c>
      <c r="R84" s="25">
        <f>Oranlar!Y84</f>
        <v>0.8677165354330708</v>
      </c>
      <c r="S84" s="26">
        <f>-Oranlar!O84</f>
        <v>13.5</v>
      </c>
      <c r="T84" s="26">
        <f>-Oranlar!I84</f>
        <v>13.5</v>
      </c>
      <c r="U84" s="27">
        <f>Oranlar!V84</f>
        <v>231.5</v>
      </c>
      <c r="V84" s="27">
        <f>Oranlar!L84</f>
        <v>230.5</v>
      </c>
      <c r="W84" s="28">
        <f>(U84+S84)/2</f>
        <v>122.5</v>
      </c>
      <c r="X84" s="28">
        <f>(U84-S84)/2</f>
        <v>109.0</v>
      </c>
      <c r="Y84" s="16">
        <f>IF(G84=0.5,"",IF((G84&gt;0.5)=(E84&gt;0),1,0))</f>
        <v>0</v>
      </c>
      <c r="Z84" s="16">
        <f>IF(R84=0.5,"",IF((R84&gt;0.5)=(E84&gt;0),1,0))</f>
        <v>0</v>
      </c>
      <c r="AA84" s="29">
        <f>(G84-IF(E84&gt;0,1,0))^2</f>
        <v>0.49702499999999994</v>
      </c>
      <c r="AB84" s="29">
        <f>(R84-IF(E84&gt;0,1,0))^2</f>
        <v>0.7529319858639716</v>
      </c>
      <c r="AC84" s="28">
        <f>ABS(H84-E84)</f>
        <v>14.92</v>
      </c>
      <c r="AD84" s="28">
        <f>ABS(I84-E84)</f>
        <v>14.6</v>
      </c>
      <c r="AE84" s="28">
        <f>ABS(S84-E84)</f>
        <v>22.5</v>
      </c>
      <c r="AF84" s="28">
        <f>ABS(L84-F84)</f>
        <v>5.4199999999999875</v>
      </c>
      <c r="AG84" s="28">
        <f>ABS(M84-F84)</f>
        <v>4.400000000000006</v>
      </c>
      <c r="AH84" s="28">
        <f>ABS(U84-F84)</f>
        <v>4.5</v>
      </c>
      <c r="AI84" s="28">
        <f>ABS(P84-C84)</f>
        <v>11.980000000000004</v>
      </c>
      <c r="AJ84" s="28">
        <f>ABS(W84-C84)</f>
        <v>13.5</v>
      </c>
      <c r="AK84" s="28">
        <f>ABS(Q84-D84)</f>
        <v>4.680000000000007</v>
      </c>
      <c r="AL84" s="28">
        <f>ABS(X84-D84)</f>
        <v>9.0</v>
      </c>
      <c r="AM84" s="17" t="str">
        <f>IF(H84&gt;S84,"Ev",IF(H84&lt;S84,"Dep",""))</f>
        <v>Dep</v>
      </c>
      <c r="AN84" s="17" t="str">
        <f>IF(AM84="","",IF(E84=S84,"Push",IF((E84&gt;S84)=(AM84="Ev"),"Kazandı","Kaybetti")))</f>
        <v>Kazandı</v>
      </c>
      <c r="AO84" s="30">
        <f>IF(AM84="","",IF(AN84="Push",0,IF(AN84="Kazandı",IF(AM84="Ev",Oranlar!P84,Oranlar!Q84)-1,-1)))</f>
        <v>0.9523809523809523</v>
      </c>
      <c r="AP84" s="17" t="str">
        <f>IF(L84&gt;U84,"Üst",IF(L84&lt;U84,"Alt",""))</f>
        <v>Üst</v>
      </c>
      <c r="AQ84" s="17" t="str">
        <f>IF(AP84="","",IF(F84=U84,"Push",IF((F84&gt;U84)=(AP84="Üst"),"Kazandı","Kaybetti")))</f>
        <v>Kaybetti</v>
      </c>
      <c r="AR84" s="30">
        <f>IF(AP84="","",IF(AQ84="Push",0,IF(AQ84="Kazandı",IF(AP84="Üst",Oranlar!W84,Oranlar!X84)-1,-1)))</f>
        <v>-1.0</v>
      </c>
      <c r="AS84" s="17" t="str">
        <f>IF(G84*Oranlar!R84&gt;1,"Ev",IF((1-G84)*Oranlar!S84&gt;1,"Dep",""))</f>
        <v>Dep</v>
      </c>
      <c r="AT84" s="30">
        <f>IF(AS84="","",IF((AS84="Ev")=(E84&gt;0),IF(AS84="Ev",Oranlar!R84,Oranlar!S84)-1,-1))</f>
        <v>6.25</v>
      </c>
      <c r="AU84" s="16">
        <f>IF(OR(H84=T84,S84=T84),"",IF((H84&gt;T84)=(S84&gt;T84),1,0))</f>
        <v/>
      </c>
      <c r="AV84" s="16">
        <f>IF(OR(L84=V84,U84=V84),"",IF((L84&gt;V84)=(U84&gt;V84),1,0))</f>
        <v>1</v>
      </c>
      <c r="AW84" s="16">
        <f>IF(AND(E84&gt;=J84,E84&lt;=K84),1,0)</f>
        <v>1</v>
      </c>
      <c r="AX84" s="16">
        <f>IF(AND(F84&gt;=N84,F84&lt;=O84),1,0)</f>
        <v>1</v>
      </c>
    </row>
    <row r="85" spans="1:50">
      <c r="A85" s="21">
        <f>Oranlar!A85</f>
        <v>46096</v>
      </c>
      <c r="B85" s="22" t="str">
        <f>Oranlar!C85&amp;" @ "&amp;Oranlar!D85</f>
        <v>MIN @ OKC</v>
      </c>
      <c r="C85" s="23">
        <f>Oranlar!F85</f>
        <v>116</v>
      </c>
      <c r="D85" s="23">
        <f>Oranlar!E85</f>
        <v>103</v>
      </c>
      <c r="E85" s="15">
        <f>C85-D85</f>
        <v>13</v>
      </c>
      <c r="F85" s="16">
        <f>C85+D85</f>
        <v>219</v>
      </c>
      <c r="G85" s="24">
        <v>0.778</v>
      </c>
      <c r="H85" s="10">
        <v>9.19</v>
      </c>
      <c r="I85" s="10">
        <v>12.2</v>
      </c>
      <c r="J85" s="10">
        <v>-6</v>
      </c>
      <c r="K85" s="10">
        <v>31</v>
      </c>
      <c r="L85" s="11">
        <v>228.9</v>
      </c>
      <c r="M85" s="11">
        <v>231</v>
      </c>
      <c r="N85" s="11">
        <v>204</v>
      </c>
      <c r="O85" s="11">
        <v>258</v>
      </c>
      <c r="P85" s="11">
        <v>119.53</v>
      </c>
      <c r="Q85" s="11">
        <v>106.92</v>
      </c>
      <c r="R85" s="25">
        <f>Oranlar!Y85</f>
        <v>0.76</v>
      </c>
      <c r="S85" s="26">
        <f>-Oranlar!O85</f>
        <v>8.5</v>
      </c>
      <c r="T85" s="26">
        <f>-Oranlar!I85</f>
        <v>8.5</v>
      </c>
      <c r="U85" s="27">
        <f>Oranlar!V85</f>
        <v>227.5</v>
      </c>
      <c r="V85" s="27">
        <f>Oranlar!L85</f>
        <v>225.5</v>
      </c>
      <c r="W85" s="28">
        <f>(U85+S85)/2</f>
        <v>118.0</v>
      </c>
      <c r="X85" s="28">
        <f>(U85-S85)/2</f>
        <v>109.5</v>
      </c>
      <c r="Y85" s="16">
        <f>IF(G85=0.5,"",IF((G85&gt;0.5)=(E85&gt;0),1,0))</f>
        <v>1</v>
      </c>
      <c r="Z85" s="16">
        <f>IF(R85=0.5,"",IF((R85&gt;0.5)=(E85&gt;0),1,0))</f>
        <v>1</v>
      </c>
      <c r="AA85" s="29">
        <f>(G85-IF(E85&gt;0,1,0))^2</f>
        <v>0.04928399999999999</v>
      </c>
      <c r="AB85" s="29">
        <f>(R85-IF(E85&gt;0,1,0))^2</f>
        <v>0.0576</v>
      </c>
      <c r="AC85" s="28">
        <f>ABS(H85-E85)</f>
        <v>3.8100000000000005</v>
      </c>
      <c r="AD85" s="28">
        <f>ABS(I85-E85)</f>
        <v>0.8000000000000007</v>
      </c>
      <c r="AE85" s="28">
        <f>ABS(S85-E85)</f>
        <v>4.5</v>
      </c>
      <c r="AF85" s="28">
        <f>ABS(L85-F85)</f>
        <v>9.900000000000006</v>
      </c>
      <c r="AG85" s="28">
        <f>ABS(M85-F85)</f>
        <v>12.0</v>
      </c>
      <c r="AH85" s="28">
        <f>ABS(U85-F85)</f>
        <v>8.5</v>
      </c>
      <c r="AI85" s="28">
        <f>ABS(P85-C85)</f>
        <v>3.530000000000001</v>
      </c>
      <c r="AJ85" s="28">
        <f>ABS(W85-C85)</f>
        <v>2.0</v>
      </c>
      <c r="AK85" s="28">
        <f>ABS(Q85-D85)</f>
        <v>3.9200000000000017</v>
      </c>
      <c r="AL85" s="28">
        <f>ABS(X85-D85)</f>
        <v>6.5</v>
      </c>
      <c r="AM85" s="17" t="str">
        <f>IF(H85&gt;S85,"Ev",IF(H85&lt;S85,"Dep",""))</f>
        <v>Ev</v>
      </c>
      <c r="AN85" s="17" t="str">
        <f>IF(AM85="","",IF(E85=S85,"Push",IF((E85&gt;S85)=(AM85="Ev"),"Kazandı","Kaybetti")))</f>
        <v>Kazandı</v>
      </c>
      <c r="AO85" s="30">
        <f>IF(AM85="","",IF(AN85="Push",0,IF(AN85="Kazandı",IF(AM85="Ev",Oranlar!P85,Oranlar!Q85)-1,-1)))</f>
        <v>0.847457627118644</v>
      </c>
      <c r="AP85" s="17" t="str">
        <f>IF(L85&gt;U85,"Üst",IF(L85&lt;U85,"Alt",""))</f>
        <v>Üst</v>
      </c>
      <c r="AQ85" s="17" t="str">
        <f>IF(AP85="","",IF(F85=U85,"Push",IF((F85&gt;U85)=(AP85="Üst"),"Kazandı","Kaybetti")))</f>
        <v>Kaybetti</v>
      </c>
      <c r="AR85" s="30">
        <f>IF(AP85="","",IF(AQ85="Push",0,IF(AQ85="Kazandı",IF(AP85="Üst",Oranlar!W85,Oranlar!X85)-1,-1)))</f>
        <v>-1.0</v>
      </c>
      <c r="AS85" s="17">
        <f>IF(G85*Oranlar!R85&gt;1,"Ev",IF((1-G85)*Oranlar!S85&gt;1,"Dep",""))</f>
        <v/>
      </c>
      <c r="AT85" s="30">
        <f>IF(AS85="","",IF((AS85="Ev")=(E85&gt;0),IF(AS85="Ev",Oranlar!R85,Oranlar!S85)-1,-1))</f>
        <v/>
      </c>
      <c r="AU85" s="16">
        <f>IF(OR(H85=T85,S85=T85),"",IF((H85&gt;T85)=(S85&gt;T85),1,0))</f>
        <v/>
      </c>
      <c r="AV85" s="16">
        <f>IF(OR(L85=V85,U85=V85),"",IF((L85&gt;V85)=(U85&gt;V85),1,0))</f>
        <v>1</v>
      </c>
      <c r="AW85" s="16">
        <f>IF(AND(E85&gt;=J85,E85&lt;=K85),1,0)</f>
        <v>1</v>
      </c>
      <c r="AX85" s="16">
        <f>IF(AND(F85&gt;=N85,F85&lt;=O85),1,0)</f>
        <v>1</v>
      </c>
    </row>
    <row r="86" spans="1:50">
      <c r="A86" s="21">
        <f>Oranlar!A86</f>
        <v>46096</v>
      </c>
      <c r="B86" s="22" t="str">
        <f>Oranlar!C86&amp;" @ "&amp;Oranlar!D86</f>
        <v>DAL @ CLE</v>
      </c>
      <c r="C86" s="23">
        <f>Oranlar!F86</f>
        <v>120</v>
      </c>
      <c r="D86" s="23">
        <f>Oranlar!E86</f>
        <v>130</v>
      </c>
      <c r="E86" s="15">
        <f>C86-D86</f>
        <v>-10</v>
      </c>
      <c r="F86" s="16">
        <f>C86+D86</f>
        <v>250</v>
      </c>
      <c r="G86" s="24">
        <v>0.788</v>
      </c>
      <c r="H86" s="10">
        <v>8.880000000000001</v>
      </c>
      <c r="I86" s="10">
        <v>14</v>
      </c>
      <c r="J86" s="10">
        <v>-4</v>
      </c>
      <c r="K86" s="10">
        <v>33</v>
      </c>
      <c r="L86" s="11">
        <v>228.5</v>
      </c>
      <c r="M86" s="11">
        <v>233.1</v>
      </c>
      <c r="N86" s="11">
        <v>205</v>
      </c>
      <c r="O86" s="11">
        <v>261</v>
      </c>
      <c r="P86" s="11">
        <v>121.14</v>
      </c>
      <c r="Q86" s="11">
        <v>108.41</v>
      </c>
      <c r="R86" s="25">
        <f>Oranlar!Y86</f>
        <v>0.8869565217391304</v>
      </c>
      <c r="S86" s="26">
        <f>-Oranlar!O86</f>
        <v>14.5</v>
      </c>
      <c r="T86" s="26">
        <f>-Oranlar!I86</f>
        <v>16.5</v>
      </c>
      <c r="U86" s="27">
        <f>Oranlar!V86</f>
        <v>233.5</v>
      </c>
      <c r="V86" s="27">
        <f>Oranlar!L86</f>
        <v>239.5</v>
      </c>
      <c r="W86" s="28">
        <f>(U86+S86)/2</f>
        <v>124.0</v>
      </c>
      <c r="X86" s="28">
        <f>(U86-S86)/2</f>
        <v>109.5</v>
      </c>
      <c r="Y86" s="16">
        <f>IF(G86=0.5,"",IF((G86&gt;0.5)=(E86&gt;0),1,0))</f>
        <v>0</v>
      </c>
      <c r="Z86" s="16">
        <f>IF(R86=0.5,"",IF((R86&gt;0.5)=(E86&gt;0),1,0))</f>
        <v>0</v>
      </c>
      <c r="AA86" s="29">
        <f>(G86-IF(E86&gt;0,1,0))^2</f>
        <v>0.620944</v>
      </c>
      <c r="AB86" s="29">
        <f>(R86-IF(E86&gt;0,1,0))^2</f>
        <v>0.7866918714555765</v>
      </c>
      <c r="AC86" s="28">
        <f>ABS(H86-E86)</f>
        <v>18.880000000000003</v>
      </c>
      <c r="AD86" s="28">
        <f>ABS(I86-E86)</f>
        <v>24.0</v>
      </c>
      <c r="AE86" s="28">
        <f>ABS(S86-E86)</f>
        <v>24.5</v>
      </c>
      <c r="AF86" s="28">
        <f>ABS(L86-F86)</f>
        <v>21.5</v>
      </c>
      <c r="AG86" s="28">
        <f>ABS(M86-F86)</f>
        <v>16.900000000000006</v>
      </c>
      <c r="AH86" s="28">
        <f>ABS(U86-F86)</f>
        <v>16.5</v>
      </c>
      <c r="AI86" s="28">
        <f>ABS(P86-C86)</f>
        <v>1.1400000000000006</v>
      </c>
      <c r="AJ86" s="28">
        <f>ABS(W86-C86)</f>
        <v>4.0</v>
      </c>
      <c r="AK86" s="28">
        <f>ABS(Q86-D86)</f>
        <v>21.590000000000003</v>
      </c>
      <c r="AL86" s="28">
        <f>ABS(X86-D86)</f>
        <v>20.5</v>
      </c>
      <c r="AM86" s="17" t="str">
        <f>IF(H86&gt;S86,"Ev",IF(H86&lt;S86,"Dep",""))</f>
        <v>Dep</v>
      </c>
      <c r="AN86" s="17" t="str">
        <f>IF(AM86="","",IF(E86=S86,"Push",IF((E86&gt;S86)=(AM86="Ev"),"Kazandı","Kaybetti")))</f>
        <v>Kazandı</v>
      </c>
      <c r="AO86" s="30">
        <f>IF(AM86="","",IF(AN86="Push",0,IF(AN86="Kazandı",IF(AM86="Ev",Oranlar!P86,Oranlar!Q86)-1,-1)))</f>
        <v>0.925925925925926</v>
      </c>
      <c r="AP86" s="17" t="str">
        <f>IF(L86&gt;U86,"Üst",IF(L86&lt;U86,"Alt",""))</f>
        <v>Alt</v>
      </c>
      <c r="AQ86" s="17" t="str">
        <f>IF(AP86="","",IF(F86=U86,"Push",IF((F86&gt;U86)=(AP86="Üst"),"Kazandı","Kaybetti")))</f>
        <v>Kaybetti</v>
      </c>
      <c r="AR86" s="30">
        <f>IF(AP86="","",IF(AQ86="Push",0,IF(AQ86="Kazandı",IF(AP86="Üst",Oranlar!W86,Oranlar!X86)-1,-1)))</f>
        <v>-1.0</v>
      </c>
      <c r="AS86" s="17" t="str">
        <f>IF(G86*Oranlar!R86&gt;1,"Ev",IF((1-G86)*Oranlar!S86&gt;1,"Dep",""))</f>
        <v>Dep</v>
      </c>
      <c r="AT86" s="30">
        <f>IF(AS86="","",IF((AS86="Ev")=(E86&gt;0),IF(AS86="Ev",Oranlar!R86,Oranlar!S86)-1,-1))</f>
        <v>7.5</v>
      </c>
      <c r="AU86" s="16">
        <f>IF(OR(H86=T86,S86=T86),"",IF((H86&gt;T86)=(S86&gt;T86),1,0))</f>
        <v>1</v>
      </c>
      <c r="AV86" s="16">
        <f>IF(OR(L86=V86,U86=V86),"",IF((L86&gt;V86)=(U86&gt;V86),1,0))</f>
        <v>1</v>
      </c>
      <c r="AW86" s="16">
        <f>IF(AND(E86&gt;=J86,E86&lt;=K86),1,0)</f>
        <v>0</v>
      </c>
      <c r="AX86" s="16">
        <f>IF(AND(F86&gt;=N86,F86&lt;=O86),1,0)</f>
        <v>1</v>
      </c>
    </row>
    <row r="87" spans="1:50">
      <c r="A87" s="21">
        <f>Oranlar!A87</f>
        <v>46096</v>
      </c>
      <c r="B87" s="22" t="str">
        <f>Oranlar!C87&amp;" @ "&amp;Oranlar!D87</f>
        <v>DET @ TOR</v>
      </c>
      <c r="C87" s="23">
        <f>Oranlar!F87</f>
        <v>119</v>
      </c>
      <c r="D87" s="23">
        <f>Oranlar!E87</f>
        <v>108</v>
      </c>
      <c r="E87" s="15">
        <f>C87-D87</f>
        <v>11</v>
      </c>
      <c r="F87" s="16">
        <f>C87+D87</f>
        <v>227</v>
      </c>
      <c r="G87" s="24">
        <v>0.486</v>
      </c>
      <c r="H87" s="10">
        <v>-1.82</v>
      </c>
      <c r="I87" s="10">
        <v>1</v>
      </c>
      <c r="J87" s="10">
        <v>-17</v>
      </c>
      <c r="K87" s="10">
        <v>19</v>
      </c>
      <c r="L87" s="11">
        <v>225.82</v>
      </c>
      <c r="M87" s="11">
        <v>226.8</v>
      </c>
      <c r="N87" s="11">
        <v>200</v>
      </c>
      <c r="O87" s="11">
        <v>254</v>
      </c>
      <c r="P87" s="11">
        <v>113.16</v>
      </c>
      <c r="Q87" s="11">
        <v>114.37</v>
      </c>
      <c r="R87" s="25">
        <f>Oranlar!Y87</f>
        <v>0.41700735895339325</v>
      </c>
      <c r="S87" s="26">
        <f>-Oranlar!O87</f>
        <v>-3.5</v>
      </c>
      <c r="T87" s="26">
        <f>-Oranlar!I87</f>
        <v>-4.5</v>
      </c>
      <c r="U87" s="27">
        <f>Oranlar!V87</f>
        <v>224.5</v>
      </c>
      <c r="V87" s="27">
        <f>Oranlar!L87</f>
        <v>220.5</v>
      </c>
      <c r="W87" s="28">
        <f>(U87+S87)/2</f>
        <v>110.5</v>
      </c>
      <c r="X87" s="28">
        <f>(U87-S87)/2</f>
        <v>114.0</v>
      </c>
      <c r="Y87" s="16">
        <f>IF(G87=0.5,"",IF((G87&gt;0.5)=(E87&gt;0),1,0))</f>
        <v>0</v>
      </c>
      <c r="Z87" s="16">
        <f>IF(R87=0.5,"",IF((R87&gt;0.5)=(E87&gt;0),1,0))</f>
        <v>0</v>
      </c>
      <c r="AA87" s="29">
        <f>(G87-IF(E87&gt;0,1,0))^2</f>
        <v>0.264196</v>
      </c>
      <c r="AB87" s="29">
        <f>(R87-IF(E87&gt;0,1,0))^2</f>
        <v>0.33988041951449766</v>
      </c>
      <c r="AC87" s="28">
        <f>ABS(H87-E87)</f>
        <v>12.82</v>
      </c>
      <c r="AD87" s="28">
        <f>ABS(I87-E87)</f>
        <v>10.0</v>
      </c>
      <c r="AE87" s="28">
        <f>ABS(S87-E87)</f>
        <v>14.5</v>
      </c>
      <c r="AF87" s="28">
        <f>ABS(L87-F87)</f>
        <v>1.1800000000000068</v>
      </c>
      <c r="AG87" s="28">
        <f>ABS(M87-F87)</f>
        <v>0.19999999999998863</v>
      </c>
      <c r="AH87" s="28">
        <f>ABS(U87-F87)</f>
        <v>2.5</v>
      </c>
      <c r="AI87" s="28">
        <f>ABS(P87-C87)</f>
        <v>5.840000000000003</v>
      </c>
      <c r="AJ87" s="28">
        <f>ABS(W87-C87)</f>
        <v>8.5</v>
      </c>
      <c r="AK87" s="28">
        <f>ABS(Q87-D87)</f>
        <v>6.3700000000000045</v>
      </c>
      <c r="AL87" s="28">
        <f>ABS(X87-D87)</f>
        <v>6.0</v>
      </c>
      <c r="AM87" s="17" t="str">
        <f>IF(H87&gt;S87,"Ev",IF(H87&lt;S87,"Dep",""))</f>
        <v>Ev</v>
      </c>
      <c r="AN87" s="17" t="str">
        <f>IF(AM87="","",IF(E87=S87,"Push",IF((E87&gt;S87)=(AM87="Ev"),"Kazandı","Kaybetti")))</f>
        <v>Kazandı</v>
      </c>
      <c r="AO87" s="30">
        <f>IF(AM87="","",IF(AN87="Push",0,IF(AN87="Kazandı",IF(AM87="Ev",Oranlar!P87,Oranlar!Q87)-1,-1)))</f>
        <v>0.847457627118644</v>
      </c>
      <c r="AP87" s="17" t="str">
        <f>IF(L87&gt;U87,"Üst",IF(L87&lt;U87,"Alt",""))</f>
        <v>Üst</v>
      </c>
      <c r="AQ87" s="17" t="str">
        <f>IF(AP87="","",IF(F87=U87,"Push",IF((F87&gt;U87)=(AP87="Üst"),"Kazandı","Kaybetti")))</f>
        <v>Kazandı</v>
      </c>
      <c r="AR87" s="30">
        <f>IF(AP87="","",IF(AQ87="Push",0,IF(AQ87="Kazandı",IF(AP87="Üst",Oranlar!W87,Oranlar!X87)-1,-1)))</f>
        <v>0.9090909090909092</v>
      </c>
      <c r="AS87" s="17" t="str">
        <f>IF(G87*Oranlar!R87&gt;1,"Ev",IF((1-G87)*Oranlar!S87&gt;1,"Dep",""))</f>
        <v>Ev</v>
      </c>
      <c r="AT87" s="30">
        <f>IF(AS87="","",IF((AS87="Ev")=(E87&gt;0),IF(AS87="Ev",Oranlar!R87,Oranlar!S87)-1,-1))</f>
        <v>1.2999999999999998</v>
      </c>
      <c r="AU87" s="16">
        <f>IF(OR(H87=T87,S87=T87),"",IF((H87&gt;T87)=(S87&gt;T87),1,0))</f>
        <v>1</v>
      </c>
      <c r="AV87" s="16">
        <f>IF(OR(L87=V87,U87=V87),"",IF((L87&gt;V87)=(U87&gt;V87),1,0))</f>
        <v>1</v>
      </c>
      <c r="AW87" s="16">
        <f>IF(AND(E87&gt;=J87,E87&lt;=K87),1,0)</f>
        <v>1</v>
      </c>
      <c r="AX87" s="16">
        <f>IF(AND(F87&gt;=N87,F87&lt;=O87),1,0)</f>
        <v>1</v>
      </c>
    </row>
    <row r="88" spans="1:50">
      <c r="A88" s="21">
        <f>Oranlar!A88</f>
        <v>46096</v>
      </c>
      <c r="B88" s="22" t="str">
        <f>Oranlar!C88&amp;" @ "&amp;Oranlar!D88</f>
        <v>IND @ MIL</v>
      </c>
      <c r="C88" s="23">
        <f>Oranlar!F88</f>
        <v>134</v>
      </c>
      <c r="D88" s="23">
        <f>Oranlar!E88</f>
        <v>123</v>
      </c>
      <c r="E88" s="15">
        <f>C88-D88</f>
        <v>11</v>
      </c>
      <c r="F88" s="16">
        <f>C88+D88</f>
        <v>257</v>
      </c>
      <c r="G88" s="24">
        <v>0.68</v>
      </c>
      <c r="H88" s="10">
        <v>7.04</v>
      </c>
      <c r="I88" s="10">
        <v>6</v>
      </c>
      <c r="J88" s="10">
        <v>-12</v>
      </c>
      <c r="K88" s="10">
        <v>24</v>
      </c>
      <c r="L88" s="11">
        <v>227.39</v>
      </c>
      <c r="M88" s="11">
        <v>226</v>
      </c>
      <c r="N88" s="11">
        <v>199</v>
      </c>
      <c r="O88" s="11">
        <v>253</v>
      </c>
      <c r="P88" s="11">
        <v>116.62</v>
      </c>
      <c r="Q88" s="11">
        <v>111.42</v>
      </c>
      <c r="R88" s="25">
        <f>Oranlar!Y88</f>
        <v>0.7179705215419501</v>
      </c>
      <c r="S88" s="26">
        <f>-Oranlar!O88</f>
        <v>7.5</v>
      </c>
      <c r="T88" s="26">
        <f>-Oranlar!I88</f>
        <v>6.5</v>
      </c>
      <c r="U88" s="27">
        <f>Oranlar!V88</f>
        <v>227.5</v>
      </c>
      <c r="V88" s="27">
        <f>Oranlar!L88</f>
        <v>228.5</v>
      </c>
      <c r="W88" s="28">
        <f>(U88+S88)/2</f>
        <v>117.5</v>
      </c>
      <c r="X88" s="28">
        <f>(U88-S88)/2</f>
        <v>110.0</v>
      </c>
      <c r="Y88" s="16">
        <f>IF(G88=0.5,"",IF((G88&gt;0.5)=(E88&gt;0),1,0))</f>
        <v>1</v>
      </c>
      <c r="Z88" s="16">
        <f>IF(R88=0.5,"",IF((R88&gt;0.5)=(E88&gt;0),1,0))</f>
        <v>1</v>
      </c>
      <c r="AA88" s="29">
        <f>(G88-IF(E88&gt;0,1,0))^2</f>
        <v>0.10239999999999996</v>
      </c>
      <c r="AB88" s="29">
        <f>(R88-IF(E88&gt;0,1,0))^2</f>
        <v>0.07954062671931965</v>
      </c>
      <c r="AC88" s="28">
        <f>ABS(H88-E88)</f>
        <v>3.96</v>
      </c>
      <c r="AD88" s="28">
        <f>ABS(I88-E88)</f>
        <v>5.0</v>
      </c>
      <c r="AE88" s="28">
        <f>ABS(S88-E88)</f>
        <v>3.5</v>
      </c>
      <c r="AF88" s="28">
        <f>ABS(L88-F88)</f>
        <v>29.610000000000014</v>
      </c>
      <c r="AG88" s="28">
        <f>ABS(M88-F88)</f>
        <v>31.0</v>
      </c>
      <c r="AH88" s="28">
        <f>ABS(U88-F88)</f>
        <v>29.5</v>
      </c>
      <c r="AI88" s="28">
        <f>ABS(P88-C88)</f>
        <v>17.379999999999995</v>
      </c>
      <c r="AJ88" s="28">
        <f>ABS(W88-C88)</f>
        <v>16.5</v>
      </c>
      <c r="AK88" s="28">
        <f>ABS(Q88-D88)</f>
        <v>11.579999999999998</v>
      </c>
      <c r="AL88" s="28">
        <f>ABS(X88-D88)</f>
        <v>13.0</v>
      </c>
      <c r="AM88" s="17" t="str">
        <f>IF(H88&gt;S88,"Ev",IF(H88&lt;S88,"Dep",""))</f>
        <v>Dep</v>
      </c>
      <c r="AN88" s="17" t="str">
        <f>IF(AM88="","",IF(E88=S88,"Push",IF((E88&gt;S88)=(AM88="Ev"),"Kazandı","Kaybetti")))</f>
        <v>Kaybetti</v>
      </c>
      <c r="AO88" s="30">
        <f>IF(AM88="","",IF(AN88="Push",0,IF(AN88="Kazandı",IF(AM88="Ev",Oranlar!P88,Oranlar!Q88)-1,-1)))</f>
        <v>-1.0</v>
      </c>
      <c r="AP88" s="17" t="str">
        <f>IF(L88&gt;U88,"Üst",IF(L88&lt;U88,"Alt",""))</f>
        <v>Alt</v>
      </c>
      <c r="AQ88" s="17" t="str">
        <f>IF(AP88="","",IF(F88=U88,"Push",IF((F88&gt;U88)=(AP88="Üst"),"Kazandı","Kaybetti")))</f>
        <v>Kaybetti</v>
      </c>
      <c r="AR88" s="30">
        <f>IF(AP88="","",IF(AQ88="Push",0,IF(AQ88="Kazandı",IF(AP88="Üst",Oranlar!W88,Oranlar!X88)-1,-1)))</f>
        <v>-1.0</v>
      </c>
      <c r="AS88" s="17" t="str">
        <f>IF(G88*Oranlar!R88&gt;1,"Ev",IF((1-G88)*Oranlar!S88&gt;1,"Dep",""))</f>
        <v>Dep</v>
      </c>
      <c r="AT88" s="30">
        <f>IF(AS88="","",IF((AS88="Ev")=(E88&gt;0),IF(AS88="Ev",Oranlar!R88,Oranlar!S88)-1,-1))</f>
        <v>-1.0</v>
      </c>
      <c r="AU88" s="16">
        <f>IF(OR(H88=T88,S88=T88),"",IF((H88&gt;T88)=(S88&gt;T88),1,0))</f>
        <v>1</v>
      </c>
      <c r="AV88" s="16">
        <f>IF(OR(L88=V88,U88=V88),"",IF((L88&gt;V88)=(U88&gt;V88),1,0))</f>
        <v>1</v>
      </c>
      <c r="AW88" s="16">
        <f>IF(AND(E88&gt;=J88,E88&lt;=K88),1,0)</f>
        <v>1</v>
      </c>
      <c r="AX88" s="16">
        <f>IF(AND(F88&gt;=N88,F88&lt;=O88),1,0)</f>
        <v>0</v>
      </c>
    </row>
    <row r="89" spans="1:50">
      <c r="A89" s="21">
        <f>Oranlar!A89</f>
        <v>46096</v>
      </c>
      <c r="B89" s="22" t="str">
        <f>Oranlar!C89&amp;" @ "&amp;Oranlar!D89</f>
        <v>POR @ PHI</v>
      </c>
      <c r="C89" s="23">
        <f>Oranlar!F89</f>
        <v>109</v>
      </c>
      <c r="D89" s="23">
        <f>Oranlar!E89</f>
        <v>103</v>
      </c>
      <c r="E89" s="15">
        <f>C89-D89</f>
        <v>6</v>
      </c>
      <c r="F89" s="16">
        <f>C89+D89</f>
        <v>212</v>
      </c>
      <c r="G89" s="24">
        <v>0.449</v>
      </c>
      <c r="H89" s="10">
        <v>-1.35</v>
      </c>
      <c r="I89" s="10">
        <v>-2</v>
      </c>
      <c r="J89" s="10">
        <v>-20</v>
      </c>
      <c r="K89" s="10">
        <v>17</v>
      </c>
      <c r="L89" s="11">
        <v>231.32</v>
      </c>
      <c r="M89" s="11">
        <v>232.9</v>
      </c>
      <c r="N89" s="11">
        <v>205</v>
      </c>
      <c r="O89" s="11">
        <v>260</v>
      </c>
      <c r="P89" s="11">
        <v>114.24</v>
      </c>
      <c r="Q89" s="11">
        <v>117.71</v>
      </c>
      <c r="R89" s="25">
        <f>Oranlar!Y89</f>
        <v>0.2591283863368669</v>
      </c>
      <c r="S89" s="26">
        <f>-Oranlar!O89</f>
        <v>-8.5</v>
      </c>
      <c r="T89" s="26">
        <f>-Oranlar!I89</f>
        <v>-6.5</v>
      </c>
      <c r="U89" s="27">
        <f>Oranlar!V89</f>
        <v>228.5</v>
      </c>
      <c r="V89" s="27">
        <f>Oranlar!L89</f>
        <v>229.5</v>
      </c>
      <c r="W89" s="28">
        <f>(U89+S89)/2</f>
        <v>110.0</v>
      </c>
      <c r="X89" s="28">
        <f>(U89-S89)/2</f>
        <v>118.5</v>
      </c>
      <c r="Y89" s="16">
        <f>IF(G89=0.5,"",IF((G89&gt;0.5)=(E89&gt;0),1,0))</f>
        <v>0</v>
      </c>
      <c r="Z89" s="16">
        <f>IF(R89=0.5,"",IF((R89&gt;0.5)=(E89&gt;0),1,0))</f>
        <v>0</v>
      </c>
      <c r="AA89" s="29">
        <f>(G89-IF(E89&gt;0,1,0))^2</f>
        <v>0.30360099999999995</v>
      </c>
      <c r="AB89" s="29">
        <f>(R89-IF(E89&gt;0,1,0))^2</f>
        <v>0.5488907479318147</v>
      </c>
      <c r="AC89" s="28">
        <f>ABS(H89-E89)</f>
        <v>7.35</v>
      </c>
      <c r="AD89" s="28">
        <f>ABS(I89-E89)</f>
        <v>8.0</v>
      </c>
      <c r="AE89" s="28">
        <f>ABS(S89-E89)</f>
        <v>14.5</v>
      </c>
      <c r="AF89" s="28">
        <f>ABS(L89-F89)</f>
        <v>19.319999999999993</v>
      </c>
      <c r="AG89" s="28">
        <f>ABS(M89-F89)</f>
        <v>20.900000000000006</v>
      </c>
      <c r="AH89" s="28">
        <f>ABS(U89-F89)</f>
        <v>16.5</v>
      </c>
      <c r="AI89" s="28">
        <f>ABS(P89-C89)</f>
        <v>5.239999999999995</v>
      </c>
      <c r="AJ89" s="28">
        <f>ABS(W89-C89)</f>
        <v>1.0</v>
      </c>
      <c r="AK89" s="28">
        <f>ABS(Q89-D89)</f>
        <v>14.709999999999994</v>
      </c>
      <c r="AL89" s="28">
        <f>ABS(X89-D89)</f>
        <v>15.5</v>
      </c>
      <c r="AM89" s="17" t="str">
        <f>IF(H89&gt;S89,"Ev",IF(H89&lt;S89,"Dep",""))</f>
        <v>Ev</v>
      </c>
      <c r="AN89" s="17" t="str">
        <f>IF(AM89="","",IF(E89=S89,"Push",IF((E89&gt;S89)=(AM89="Ev"),"Kazandı","Kaybetti")))</f>
        <v>Kazandı</v>
      </c>
      <c r="AO89" s="30">
        <f>IF(AM89="","",IF(AN89="Push",0,IF(AN89="Kazandı",IF(AM89="Ev",Oranlar!P89,Oranlar!Q89)-1,-1)))</f>
        <v>0.8695652173913042</v>
      </c>
      <c r="AP89" s="17" t="str">
        <f>IF(L89&gt;U89,"Üst",IF(L89&lt;U89,"Alt",""))</f>
        <v>Üst</v>
      </c>
      <c r="AQ89" s="17" t="str">
        <f>IF(AP89="","",IF(F89=U89,"Push",IF((F89&gt;U89)=(AP89="Üst"),"Kazandı","Kaybetti")))</f>
        <v>Kaybetti</v>
      </c>
      <c r="AR89" s="30">
        <f>IF(AP89="","",IF(AQ89="Push",0,IF(AQ89="Kazandı",IF(AP89="Üst",Oranlar!W89,Oranlar!X89)-1,-1)))</f>
        <v>-1.0</v>
      </c>
      <c r="AS89" s="17" t="str">
        <f>IF(G89*Oranlar!R89&gt;1,"Ev",IF((1-G89)*Oranlar!S89&gt;1,"Dep",""))</f>
        <v>Ev</v>
      </c>
      <c r="AT89" s="30">
        <f>IF(AS89="","",IF((AS89="Ev")=(E89&gt;0),IF(AS89="Ev",Oranlar!R89,Oranlar!S89)-1,-1))</f>
        <v>2.7</v>
      </c>
      <c r="AU89" s="16">
        <f>IF(OR(H89=T89,S89=T89),"",IF((H89&gt;T89)=(S89&gt;T89),1,0))</f>
        <v>0</v>
      </c>
      <c r="AV89" s="16">
        <f>IF(OR(L89=V89,U89=V89),"",IF((L89&gt;V89)=(U89&gt;V89),1,0))</f>
        <v>0</v>
      </c>
      <c r="AW89" s="16">
        <f>IF(AND(E89&gt;=J89,E89&lt;=K89),1,0)</f>
        <v>1</v>
      </c>
      <c r="AX89" s="16">
        <f>IF(AND(F89&gt;=N89,F89&lt;=O89),1,0)</f>
        <v>1</v>
      </c>
    </row>
    <row r="90" spans="1:50">
      <c r="A90" s="21">
        <f>Oranlar!A90</f>
        <v>46096</v>
      </c>
      <c r="B90" s="22" t="str">
        <f>Oranlar!C90&amp;" @ "&amp;Oranlar!D90</f>
        <v>GSW @ NYK</v>
      </c>
      <c r="C90" s="23">
        <f>Oranlar!F90</f>
        <v>110</v>
      </c>
      <c r="D90" s="23">
        <f>Oranlar!E90</f>
        <v>107</v>
      </c>
      <c r="E90" s="15">
        <f>C90-D90</f>
        <v>3</v>
      </c>
      <c r="F90" s="16">
        <f>C90+D90</f>
        <v>217</v>
      </c>
      <c r="G90" s="24">
        <v>0.676</v>
      </c>
      <c r="H90" s="10">
        <v>4.06</v>
      </c>
      <c r="I90" s="10">
        <v>7.5</v>
      </c>
      <c r="J90" s="10">
        <v>-11</v>
      </c>
      <c r="K90" s="10">
        <v>26</v>
      </c>
      <c r="L90" s="11">
        <v>230</v>
      </c>
      <c r="M90" s="11">
        <v>234.6</v>
      </c>
      <c r="N90" s="11">
        <v>207</v>
      </c>
      <c r="O90" s="11">
        <v>262</v>
      </c>
      <c r="P90" s="11">
        <v>118.46</v>
      </c>
      <c r="Q90" s="11">
        <v>111.79</v>
      </c>
      <c r="R90" s="25">
        <f>Oranlar!Y90</f>
        <v>0.8677165354330708</v>
      </c>
      <c r="S90" s="26">
        <f>-Oranlar!O90</f>
        <v>14.5</v>
      </c>
      <c r="T90" s="26">
        <f>-Oranlar!I90</f>
        <v>13.5</v>
      </c>
      <c r="U90" s="27">
        <f>Oranlar!V90</f>
        <v>218.5</v>
      </c>
      <c r="V90" s="27">
        <f>Oranlar!L90</f>
        <v>216.5</v>
      </c>
      <c r="W90" s="28">
        <f>(U90+S90)/2</f>
        <v>116.5</v>
      </c>
      <c r="X90" s="28">
        <f>(U90-S90)/2</f>
        <v>102.0</v>
      </c>
      <c r="Y90" s="16">
        <f>IF(G90=0.5,"",IF((G90&gt;0.5)=(E90&gt;0),1,0))</f>
        <v>1</v>
      </c>
      <c r="Z90" s="16">
        <f>IF(R90=0.5,"",IF((R90&gt;0.5)=(E90&gt;0),1,0))</f>
        <v>1</v>
      </c>
      <c r="AA90" s="29">
        <f>(G90-IF(E90&gt;0,1,0))^2</f>
        <v>0.10497599999999997</v>
      </c>
      <c r="AB90" s="29">
        <f>(R90-IF(E90&gt;0,1,0))^2</f>
        <v>0.01749891499783001</v>
      </c>
      <c r="AC90" s="28">
        <f>ABS(H90-E90)</f>
        <v>1.0599999999999996</v>
      </c>
      <c r="AD90" s="28">
        <f>ABS(I90-E90)</f>
        <v>4.5</v>
      </c>
      <c r="AE90" s="28">
        <f>ABS(S90-E90)</f>
        <v>11.5</v>
      </c>
      <c r="AF90" s="28">
        <f>ABS(L90-F90)</f>
        <v>13.0</v>
      </c>
      <c r="AG90" s="28">
        <f>ABS(M90-F90)</f>
        <v>17.599999999999994</v>
      </c>
      <c r="AH90" s="28">
        <f>ABS(U90-F90)</f>
        <v>1.5</v>
      </c>
      <c r="AI90" s="28">
        <f>ABS(P90-C90)</f>
        <v>8.459999999999994</v>
      </c>
      <c r="AJ90" s="28">
        <f>ABS(W90-C90)</f>
        <v>6.5</v>
      </c>
      <c r="AK90" s="28">
        <f>ABS(Q90-D90)</f>
        <v>4.790000000000006</v>
      </c>
      <c r="AL90" s="28">
        <f>ABS(X90-D90)</f>
        <v>5.0</v>
      </c>
      <c r="AM90" s="17" t="str">
        <f>IF(H90&gt;S90,"Ev",IF(H90&lt;S90,"Dep",""))</f>
        <v>Dep</v>
      </c>
      <c r="AN90" s="17" t="str">
        <f>IF(AM90="","",IF(E90=S90,"Push",IF((E90&gt;S90)=(AM90="Ev"),"Kazandı","Kaybetti")))</f>
        <v>Kazandı</v>
      </c>
      <c r="AO90" s="30">
        <f>IF(AM90="","",IF(AN90="Push",0,IF(AN90="Kazandı",IF(AM90="Ev",Oranlar!P90,Oranlar!Q90)-1,-1)))</f>
        <v>0.9523809523809523</v>
      </c>
      <c r="AP90" s="17" t="str">
        <f>IF(L90&gt;U90,"Üst",IF(L90&lt;U90,"Alt",""))</f>
        <v>Üst</v>
      </c>
      <c r="AQ90" s="17" t="str">
        <f>IF(AP90="","",IF(F90=U90,"Push",IF((F90&gt;U90)=(AP90="Üst"),"Kazandı","Kaybetti")))</f>
        <v>Kaybetti</v>
      </c>
      <c r="AR90" s="30">
        <f>IF(AP90="","",IF(AQ90="Push",0,IF(AQ90="Kazandı",IF(AP90="Üst",Oranlar!W90,Oranlar!X90)-1,-1)))</f>
        <v>-1.0</v>
      </c>
      <c r="AS90" s="17" t="str">
        <f>IF(G90*Oranlar!R90&gt;1,"Ev",IF((1-G90)*Oranlar!S90&gt;1,"Dep",""))</f>
        <v>Dep</v>
      </c>
      <c r="AT90" s="30">
        <f>IF(AS90="","",IF((AS90="Ev")=(E90&gt;0),IF(AS90="Ev",Oranlar!R90,Oranlar!S90)-1,-1))</f>
        <v>-1.0</v>
      </c>
      <c r="AU90" s="16">
        <f>IF(OR(H90=T90,S90=T90),"",IF((H90&gt;T90)=(S90&gt;T90),1,0))</f>
        <v>0</v>
      </c>
      <c r="AV90" s="16">
        <f>IF(OR(L90=V90,U90=V90),"",IF((L90&gt;V90)=(U90&gt;V90),1,0))</f>
        <v>1</v>
      </c>
      <c r="AW90" s="16">
        <f>IF(AND(E90&gt;=J90,E90&lt;=K90),1,0)</f>
        <v>1</v>
      </c>
      <c r="AX90" s="16">
        <f>IF(AND(F90&gt;=N90,F90&lt;=O90),1,0)</f>
        <v>1</v>
      </c>
    </row>
    <row r="91" spans="1:50">
      <c r="A91" s="21">
        <f>Oranlar!A91</f>
        <v>46096</v>
      </c>
      <c r="B91" s="22" t="str">
        <f>Oranlar!C91&amp;" @ "&amp;Oranlar!D91</f>
        <v>UTA @ SAC</v>
      </c>
      <c r="C91" s="23">
        <f>Oranlar!F91</f>
        <v>116</v>
      </c>
      <c r="D91" s="23">
        <f>Oranlar!E91</f>
        <v>111</v>
      </c>
      <c r="E91" s="15">
        <f>C91-D91</f>
        <v>5</v>
      </c>
      <c r="F91" s="16">
        <f>C91+D91</f>
        <v>227</v>
      </c>
      <c r="G91" s="24">
        <v>0.587</v>
      </c>
      <c r="H91" s="10">
        <v>1.55</v>
      </c>
      <c r="I91" s="10">
        <v>0.7</v>
      </c>
      <c r="J91" s="10">
        <v>-18</v>
      </c>
      <c r="K91" s="10">
        <v>20</v>
      </c>
      <c r="L91" s="11">
        <v>233.54</v>
      </c>
      <c r="M91" s="11">
        <v>236.8</v>
      </c>
      <c r="N91" s="11">
        <v>209</v>
      </c>
      <c r="O91" s="11">
        <v>265</v>
      </c>
      <c r="P91" s="11">
        <v>119.2</v>
      </c>
      <c r="Q91" s="11">
        <v>116.41</v>
      </c>
      <c r="R91" s="25">
        <f>Oranlar!Y91</f>
        <v>0.593369754159424</v>
      </c>
      <c r="S91" s="26">
        <f>-Oranlar!O91</f>
        <v>3.5</v>
      </c>
      <c r="T91" s="26">
        <f>-Oranlar!I91</f>
        <v>2.5</v>
      </c>
      <c r="U91" s="27">
        <f>Oranlar!V91</f>
        <v>230.5</v>
      </c>
      <c r="V91" s="27">
        <f>Oranlar!L91</f>
        <v>232.5</v>
      </c>
      <c r="W91" s="28">
        <f>(U91+S91)/2</f>
        <v>117.0</v>
      </c>
      <c r="X91" s="28">
        <f>(U91-S91)/2</f>
        <v>113.5</v>
      </c>
      <c r="Y91" s="16">
        <f>IF(G91=0.5,"",IF((G91&gt;0.5)=(E91&gt;0),1,0))</f>
        <v>1</v>
      </c>
      <c r="Z91" s="16">
        <f>IF(R91=0.5,"",IF((R91&gt;0.5)=(E91&gt;0),1,0))</f>
        <v>1</v>
      </c>
      <c r="AA91" s="29">
        <f>(G91-IF(E91&gt;0,1,0))^2</f>
        <v>0.17056900000000003</v>
      </c>
      <c r="AB91" s="29">
        <f>(R91-IF(E91&gt;0,1,0))^2</f>
        <v>0.1653481568323673</v>
      </c>
      <c r="AC91" s="28">
        <f>ABS(H91-E91)</f>
        <v>3.45</v>
      </c>
      <c r="AD91" s="28">
        <f>ABS(I91-E91)</f>
        <v>4.3</v>
      </c>
      <c r="AE91" s="28">
        <f>ABS(S91-E91)</f>
        <v>1.5</v>
      </c>
      <c r="AF91" s="28">
        <f>ABS(L91-F91)</f>
        <v>6.539999999999992</v>
      </c>
      <c r="AG91" s="28">
        <f>ABS(M91-F91)</f>
        <v>9.800000000000011</v>
      </c>
      <c r="AH91" s="28">
        <f>ABS(U91-F91)</f>
        <v>3.5</v>
      </c>
      <c r="AI91" s="28">
        <f>ABS(P91-C91)</f>
        <v>3.200000000000003</v>
      </c>
      <c r="AJ91" s="28">
        <f>ABS(W91-C91)</f>
        <v>1.0</v>
      </c>
      <c r="AK91" s="28">
        <f>ABS(Q91-D91)</f>
        <v>5.409999999999997</v>
      </c>
      <c r="AL91" s="28">
        <f>ABS(X91-D91)</f>
        <v>2.5</v>
      </c>
      <c r="AM91" s="17" t="str">
        <f>IF(H91&gt;S91,"Ev",IF(H91&lt;S91,"Dep",""))</f>
        <v>Dep</v>
      </c>
      <c r="AN91" s="17" t="str">
        <f>IF(AM91="","",IF(E91=S91,"Push",IF((E91&gt;S91)=(AM91="Ev"),"Kazandı","Kaybetti")))</f>
        <v>Kaybetti</v>
      </c>
      <c r="AO91" s="30">
        <f>IF(AM91="","",IF(AN91="Push",0,IF(AN91="Kazandı",IF(AM91="Ev",Oranlar!P91,Oranlar!Q91)-1,-1)))</f>
        <v>-1.0</v>
      </c>
      <c r="AP91" s="17" t="str">
        <f>IF(L91&gt;U91,"Üst",IF(L91&lt;U91,"Alt",""))</f>
        <v>Üst</v>
      </c>
      <c r="AQ91" s="17" t="str">
        <f>IF(AP91="","",IF(F91=U91,"Push",IF((F91&gt;U91)=(AP91="Üst"),"Kazandı","Kaybetti")))</f>
        <v>Kaybetti</v>
      </c>
      <c r="AR91" s="30">
        <f>IF(AP91="","",IF(AQ91="Push",0,IF(AQ91="Kazandı",IF(AP91="Üst",Oranlar!W91,Oranlar!X91)-1,-1)))</f>
        <v>-1.0</v>
      </c>
      <c r="AS91" s="17">
        <f>IF(G91*Oranlar!R91&gt;1,"Ev",IF((1-G91)*Oranlar!S91&gt;1,"Dep",""))</f>
        <v/>
      </c>
      <c r="AT91" s="30">
        <f>IF(AS91="","",IF((AS91="Ev")=(E91&gt;0),IF(AS91="Ev",Oranlar!R91,Oranlar!S91)-1,-1))</f>
        <v/>
      </c>
      <c r="AU91" s="16">
        <f>IF(OR(H91=T91,S91=T91),"",IF((H91&gt;T91)=(S91&gt;T91),1,0))</f>
        <v>0</v>
      </c>
      <c r="AV91" s="16">
        <f>IF(OR(L91=V91,U91=V91),"",IF((L91&gt;V91)=(U91&gt;V91),1,0))</f>
        <v>0</v>
      </c>
      <c r="AW91" s="16">
        <f>IF(AND(E91&gt;=J91,E91&lt;=K91),1,0)</f>
        <v>1</v>
      </c>
      <c r="AX91" s="16">
        <f>IF(AND(F91&gt;=N91,F91&lt;=O91),1,0)</f>
        <v>1</v>
      </c>
    </row>
    <row r="92" spans="1:50">
      <c r="A92" s="21">
        <f>Oranlar!A92</f>
        <v>46097</v>
      </c>
      <c r="B92" s="22" t="str">
        <f>Oranlar!C92&amp;" @ "&amp;Oranlar!D92</f>
        <v>ORL @ ATL</v>
      </c>
      <c r="C92" s="23">
        <f>Oranlar!F92</f>
        <v>124</v>
      </c>
      <c r="D92" s="23">
        <f>Oranlar!E92</f>
        <v>112</v>
      </c>
      <c r="E92" s="15">
        <f>C92-D92</f>
        <v>12</v>
      </c>
      <c r="F92" s="16">
        <f>C92+D92</f>
        <v>236</v>
      </c>
      <c r="G92" s="24">
        <v>0.649</v>
      </c>
      <c r="H92" s="10">
        <v>4</v>
      </c>
      <c r="I92" s="10">
        <v>3.9</v>
      </c>
      <c r="J92" s="10">
        <v>-14</v>
      </c>
      <c r="K92" s="10">
        <v>22</v>
      </c>
      <c r="L92" s="11">
        <v>230.78</v>
      </c>
      <c r="M92" s="11">
        <v>228.8</v>
      </c>
      <c r="N92" s="11">
        <v>201</v>
      </c>
      <c r="O92" s="11">
        <v>256</v>
      </c>
      <c r="P92" s="11">
        <v>118.28</v>
      </c>
      <c r="Q92" s="11">
        <v>112.65</v>
      </c>
      <c r="R92" s="25">
        <f>Oranlar!Y92</f>
        <v>0.5829926410466066</v>
      </c>
      <c r="S92" s="26">
        <f>-Oranlar!O92</f>
        <v>3.5</v>
      </c>
      <c r="T92" s="26">
        <f>-Oranlar!I92</f>
        <v>1.5</v>
      </c>
      <c r="U92" s="27">
        <f>Oranlar!V92</f>
        <v>232.5</v>
      </c>
      <c r="V92" s="27">
        <f>Oranlar!L92</f>
        <v>231.5</v>
      </c>
      <c r="W92" s="28">
        <f>(U92+S92)/2</f>
        <v>118.0</v>
      </c>
      <c r="X92" s="28">
        <f>(U92-S92)/2</f>
        <v>114.5</v>
      </c>
      <c r="Y92" s="16">
        <f>IF(G92=0.5,"",IF((G92&gt;0.5)=(E92&gt;0),1,0))</f>
        <v>1</v>
      </c>
      <c r="Z92" s="16">
        <f>IF(R92=0.5,"",IF((R92&gt;0.5)=(E92&gt;0),1,0))</f>
        <v>1</v>
      </c>
      <c r="AA92" s="29">
        <f>(G92-IF(E92&gt;0,1,0))^2</f>
        <v>0.12320099999999999</v>
      </c>
      <c r="AB92" s="29">
        <f>(R92-IF(E92&gt;0,1,0))^2</f>
        <v>0.17389513742128426</v>
      </c>
      <c r="AC92" s="28">
        <f>ABS(H92-E92)</f>
        <v>8.0</v>
      </c>
      <c r="AD92" s="28">
        <f>ABS(I92-E92)</f>
        <v>8.1</v>
      </c>
      <c r="AE92" s="28">
        <f>ABS(S92-E92)</f>
        <v>8.5</v>
      </c>
      <c r="AF92" s="28">
        <f>ABS(L92-F92)</f>
        <v>5.219999999999999</v>
      </c>
      <c r="AG92" s="28">
        <f>ABS(M92-F92)</f>
        <v>7.199999999999989</v>
      </c>
      <c r="AH92" s="28">
        <f>ABS(U92-F92)</f>
        <v>3.5</v>
      </c>
      <c r="AI92" s="28">
        <f>ABS(P92-C92)</f>
        <v>5.719999999999999</v>
      </c>
      <c r="AJ92" s="28">
        <f>ABS(W92-C92)</f>
        <v>6.0</v>
      </c>
      <c r="AK92" s="28">
        <f>ABS(Q92-D92)</f>
        <v>0.6500000000000057</v>
      </c>
      <c r="AL92" s="28">
        <f>ABS(X92-D92)</f>
        <v>2.5</v>
      </c>
      <c r="AM92" s="17" t="str">
        <f>IF(H92&gt;S92,"Ev",IF(H92&lt;S92,"Dep",""))</f>
        <v>Ev</v>
      </c>
      <c r="AN92" s="17" t="str">
        <f>IF(AM92="","",IF(E92=S92,"Push",IF((E92&gt;S92)=(AM92="Ev"),"Kazandı","Kaybetti")))</f>
        <v>Kazandı</v>
      </c>
      <c r="AO92" s="30">
        <f>IF(AM92="","",IF(AN92="Push",0,IF(AN92="Kazandı",IF(AM92="Ev",Oranlar!P92,Oranlar!Q92)-1,-1)))</f>
        <v>0.925925925925926</v>
      </c>
      <c r="AP92" s="17" t="str">
        <f>IF(L92&gt;U92,"Üst",IF(L92&lt;U92,"Alt",""))</f>
        <v>Alt</v>
      </c>
      <c r="AQ92" s="17" t="str">
        <f>IF(AP92="","",IF(F92=U92,"Push",IF((F92&gt;U92)=(AP92="Üst"),"Kazandı","Kaybetti")))</f>
        <v>Kaybetti</v>
      </c>
      <c r="AR92" s="30">
        <f>IF(AP92="","",IF(AQ92="Push",0,IF(AQ92="Kazandı",IF(AP92="Üst",Oranlar!W92,Oranlar!X92)-1,-1)))</f>
        <v>-1.0</v>
      </c>
      <c r="AS92" s="17" t="str">
        <f>IF(G92*Oranlar!R92&gt;1,"Ev",IF((1-G92)*Oranlar!S92&gt;1,"Dep",""))</f>
        <v>Ev</v>
      </c>
      <c r="AT92" s="30">
        <f>IF(AS92="","",IF((AS92="Ev")=(E92&gt;0),IF(AS92="Ev",Oranlar!R92,Oranlar!S92)-1,-1))</f>
        <v>0.6451612903225805</v>
      </c>
      <c r="AU92" s="16">
        <f>IF(OR(H92=T92,S92=T92),"",IF((H92&gt;T92)=(S92&gt;T92),1,0))</f>
        <v>1</v>
      </c>
      <c r="AV92" s="16">
        <f>IF(OR(L92=V92,U92=V92),"",IF((L92&gt;V92)=(U92&gt;V92),1,0))</f>
        <v>0</v>
      </c>
      <c r="AW92" s="16">
        <f>IF(AND(E92&gt;=J92,E92&lt;=K92),1,0)</f>
        <v>1</v>
      </c>
      <c r="AX92" s="16">
        <f>IF(AND(F92&gt;=N92,F92&lt;=O92),1,0)</f>
        <v>1</v>
      </c>
    </row>
    <row r="93" spans="1:50">
      <c r="A93" s="21">
        <f>Oranlar!A93</f>
        <v>46097</v>
      </c>
      <c r="B93" s="22" t="str">
        <f>Oranlar!C93&amp;" @ "&amp;Oranlar!D93</f>
        <v>GSW @ WAS</v>
      </c>
      <c r="C93" s="23">
        <f>Oranlar!F93</f>
        <v>117</v>
      </c>
      <c r="D93" s="23">
        <f>Oranlar!E93</f>
        <v>125</v>
      </c>
      <c r="E93" s="15">
        <f>C93-D93</f>
        <v>-8</v>
      </c>
      <c r="F93" s="16">
        <f>C93+D93</f>
        <v>242</v>
      </c>
      <c r="G93" s="24">
        <v>0.354</v>
      </c>
      <c r="H93" s="10">
        <v>-3.79</v>
      </c>
      <c r="I93" s="10">
        <v>-1.5</v>
      </c>
      <c r="J93" s="10">
        <v>-20</v>
      </c>
      <c r="K93" s="10">
        <v>18</v>
      </c>
      <c r="L93" s="11">
        <v>238.7</v>
      </c>
      <c r="M93" s="11">
        <v>240.2</v>
      </c>
      <c r="N93" s="11">
        <v>212</v>
      </c>
      <c r="O93" s="11">
        <v>268</v>
      </c>
      <c r="P93" s="11">
        <v>118.19</v>
      </c>
      <c r="Q93" s="11">
        <v>120.92</v>
      </c>
      <c r="R93" s="25">
        <f>Oranlar!Y93</f>
        <v>0.27424749163879597</v>
      </c>
      <c r="S93" s="26">
        <f>-Oranlar!O93</f>
        <v>-7.5</v>
      </c>
      <c r="T93" s="26">
        <f>-Oranlar!I93</f>
        <v>-6.5</v>
      </c>
      <c r="U93" s="27">
        <f>Oranlar!V93</f>
        <v>234.5</v>
      </c>
      <c r="V93" s="27">
        <f>Oranlar!L93</f>
        <v>230.5</v>
      </c>
      <c r="W93" s="28">
        <f>(U93+S93)/2</f>
        <v>113.5</v>
      </c>
      <c r="X93" s="28">
        <f>(U93-S93)/2</f>
        <v>121.0</v>
      </c>
      <c r="Y93" s="16">
        <f>IF(G93=0.5,"",IF((G93&gt;0.5)=(E93&gt;0),1,0))</f>
        <v>1</v>
      </c>
      <c r="Z93" s="16">
        <f>IF(R93=0.5,"",IF((R93&gt;0.5)=(E93&gt;0),1,0))</f>
        <v>1</v>
      </c>
      <c r="AA93" s="29">
        <f>(G93-IF(E93&gt;0,1,0))^2</f>
        <v>0.12531599999999998</v>
      </c>
      <c r="AB93" s="29">
        <f>(R93-IF(E93&gt;0,1,0))^2</f>
        <v>0.07521168667017146</v>
      </c>
      <c r="AC93" s="28">
        <f>ABS(H93-E93)</f>
        <v>4.21</v>
      </c>
      <c r="AD93" s="28">
        <f>ABS(I93-E93)</f>
        <v>6.5</v>
      </c>
      <c r="AE93" s="28">
        <f>ABS(S93-E93)</f>
        <v>0.5</v>
      </c>
      <c r="AF93" s="28">
        <f>ABS(L93-F93)</f>
        <v>3.3000000000000114</v>
      </c>
      <c r="AG93" s="28">
        <f>ABS(M93-F93)</f>
        <v>1.8000000000000114</v>
      </c>
      <c r="AH93" s="28">
        <f>ABS(U93-F93)</f>
        <v>7.5</v>
      </c>
      <c r="AI93" s="28">
        <f>ABS(P93-C93)</f>
        <v>1.1899999999999977</v>
      </c>
      <c r="AJ93" s="28">
        <f>ABS(W93-C93)</f>
        <v>3.5</v>
      </c>
      <c r="AK93" s="28">
        <f>ABS(Q93-D93)</f>
        <v>4.079999999999998</v>
      </c>
      <c r="AL93" s="28">
        <f>ABS(X93-D93)</f>
        <v>4.0</v>
      </c>
      <c r="AM93" s="17" t="str">
        <f>IF(H93&gt;S93,"Ev",IF(H93&lt;S93,"Dep",""))</f>
        <v>Ev</v>
      </c>
      <c r="AN93" s="17" t="str">
        <f>IF(AM93="","",IF(E93=S93,"Push",IF((E93&gt;S93)=(AM93="Ev"),"Kazandı","Kaybetti")))</f>
        <v>Kaybetti</v>
      </c>
      <c r="AO93" s="30">
        <f>IF(AM93="","",IF(AN93="Push",0,IF(AN93="Kazandı",IF(AM93="Ev",Oranlar!P93,Oranlar!Q93)-1,-1)))</f>
        <v>-1.0</v>
      </c>
      <c r="AP93" s="17" t="str">
        <f>IF(L93&gt;U93,"Üst",IF(L93&lt;U93,"Alt",""))</f>
        <v>Üst</v>
      </c>
      <c r="AQ93" s="17" t="str">
        <f>IF(AP93="","",IF(F93=U93,"Push",IF((F93&gt;U93)=(AP93="Üst"),"Kazandı","Kaybetti")))</f>
        <v>Kazandı</v>
      </c>
      <c r="AR93" s="30">
        <f>IF(AP93="","",IF(AQ93="Push",0,IF(AQ93="Kazandı",IF(AP93="Üst",Oranlar!W93,Oranlar!X93)-1,-1)))</f>
        <v>0.9090909090909092</v>
      </c>
      <c r="AS93" s="17" t="str">
        <f>IF(G93*Oranlar!R93&gt;1,"Ev",IF((1-G93)*Oranlar!S93&gt;1,"Dep",""))</f>
        <v>Ev</v>
      </c>
      <c r="AT93" s="30">
        <f>IF(AS93="","",IF((AS93="Ev")=(E93&gt;0),IF(AS93="Ev",Oranlar!R93,Oranlar!S93)-1,-1))</f>
        <v>-1.0</v>
      </c>
      <c r="AU93" s="16">
        <f>IF(OR(H93=T93,S93=T93),"",IF((H93&gt;T93)=(S93&gt;T93),1,0))</f>
        <v>0</v>
      </c>
      <c r="AV93" s="16">
        <f>IF(OR(L93=V93,U93=V93),"",IF((L93&gt;V93)=(U93&gt;V93),1,0))</f>
        <v>1</v>
      </c>
      <c r="AW93" s="16">
        <f>IF(AND(E93&gt;=J93,E93&lt;=K93),1,0)</f>
        <v>1</v>
      </c>
      <c r="AX93" s="16">
        <f>IF(AND(F93&gt;=N93,F93&lt;=O93),1,0)</f>
        <v>1</v>
      </c>
    </row>
    <row r="94" spans="1:50">
      <c r="A94" s="21">
        <f>Oranlar!A94</f>
        <v>46097</v>
      </c>
      <c r="B94" s="22" t="str">
        <f>Oranlar!C94&amp;" @ "&amp;Oranlar!D94</f>
        <v>POR @ BKN</v>
      </c>
      <c r="C94" s="23">
        <f>Oranlar!F94</f>
        <v>95</v>
      </c>
      <c r="D94" s="23">
        <f>Oranlar!E94</f>
        <v>114</v>
      </c>
      <c r="E94" s="15">
        <f>C94-D94</f>
        <v>-19</v>
      </c>
      <c r="F94" s="16">
        <f>C94+D94</f>
        <v>209</v>
      </c>
      <c r="G94" s="24">
        <v>0.311</v>
      </c>
      <c r="H94" s="10">
        <v>-6.42</v>
      </c>
      <c r="I94" s="10">
        <v>-11.9</v>
      </c>
      <c r="J94" s="10">
        <v>-30</v>
      </c>
      <c r="K94" s="10">
        <v>6</v>
      </c>
      <c r="L94" s="11">
        <v>224.32</v>
      </c>
      <c r="M94" s="11">
        <v>222.2</v>
      </c>
      <c r="N94" s="11">
        <v>195</v>
      </c>
      <c r="O94" s="11">
        <v>249</v>
      </c>
      <c r="P94" s="11">
        <v>107.11</v>
      </c>
      <c r="Q94" s="11">
        <v>115.91</v>
      </c>
      <c r="R94" s="25">
        <f>Oranlar!Y94</f>
        <v>0.1957070707070707</v>
      </c>
      <c r="S94" s="26">
        <f>-Oranlar!O94</f>
        <v>-10.5</v>
      </c>
      <c r="T94" s="26">
        <f>-Oranlar!I94</f>
        <v>-10.5</v>
      </c>
      <c r="U94" s="27">
        <f>Oranlar!V94</f>
        <v>221.5</v>
      </c>
      <c r="V94" s="27">
        <f>Oranlar!L94</f>
        <v>222.5</v>
      </c>
      <c r="W94" s="28">
        <f>(U94+S94)/2</f>
        <v>105.5</v>
      </c>
      <c r="X94" s="28">
        <f>(U94-S94)/2</f>
        <v>116.0</v>
      </c>
      <c r="Y94" s="16">
        <f>IF(G94=0.5,"",IF((G94&gt;0.5)=(E94&gt;0),1,0))</f>
        <v>1</v>
      </c>
      <c r="Z94" s="16">
        <f>IF(R94=0.5,"",IF((R94&gt;0.5)=(E94&gt;0),1,0))</f>
        <v>1</v>
      </c>
      <c r="AA94" s="29">
        <f>(G94-IF(E94&gt;0,1,0))^2</f>
        <v>0.096721</v>
      </c>
      <c r="AB94" s="29">
        <f>(R94-IF(E94&gt;0,1,0))^2</f>
        <v>0.038301257524742366</v>
      </c>
      <c r="AC94" s="28">
        <f>ABS(H94-E94)</f>
        <v>12.58</v>
      </c>
      <c r="AD94" s="28">
        <f>ABS(I94-E94)</f>
        <v>7.1</v>
      </c>
      <c r="AE94" s="28">
        <f>ABS(S94-E94)</f>
        <v>8.5</v>
      </c>
      <c r="AF94" s="28">
        <f>ABS(L94-F94)</f>
        <v>15.319999999999993</v>
      </c>
      <c r="AG94" s="28">
        <f>ABS(M94-F94)</f>
        <v>13.199999999999989</v>
      </c>
      <c r="AH94" s="28">
        <f>ABS(U94-F94)</f>
        <v>12.5</v>
      </c>
      <c r="AI94" s="28">
        <f>ABS(P94-C94)</f>
        <v>12.11</v>
      </c>
      <c r="AJ94" s="28">
        <f>ABS(W94-C94)</f>
        <v>10.5</v>
      </c>
      <c r="AK94" s="28">
        <f>ABS(Q94-D94)</f>
        <v>1.9099999999999966</v>
      </c>
      <c r="AL94" s="28">
        <f>ABS(X94-D94)</f>
        <v>2.0</v>
      </c>
      <c r="AM94" s="17" t="str">
        <f>IF(H94&gt;S94,"Ev",IF(H94&lt;S94,"Dep",""))</f>
        <v>Ev</v>
      </c>
      <c r="AN94" s="17" t="str">
        <f>IF(AM94="","",IF(E94=S94,"Push",IF((E94&gt;S94)=(AM94="Ev"),"Kazandı","Kaybetti")))</f>
        <v>Kaybetti</v>
      </c>
      <c r="AO94" s="30">
        <f>IF(AM94="","",IF(AN94="Push",0,IF(AN94="Kazandı",IF(AM94="Ev",Oranlar!P94,Oranlar!Q94)-1,-1)))</f>
        <v>-1.0</v>
      </c>
      <c r="AP94" s="17" t="str">
        <f>IF(L94&gt;U94,"Üst",IF(L94&lt;U94,"Alt",""))</f>
        <v>Üst</v>
      </c>
      <c r="AQ94" s="17" t="str">
        <f>IF(AP94="","",IF(F94=U94,"Push",IF((F94&gt;U94)=(AP94="Üst"),"Kazandı","Kaybetti")))</f>
        <v>Kaybetti</v>
      </c>
      <c r="AR94" s="30">
        <f>IF(AP94="","",IF(AQ94="Push",0,IF(AQ94="Kazandı",IF(AP94="Üst",Oranlar!W94,Oranlar!X94)-1,-1)))</f>
        <v>-1.0</v>
      </c>
      <c r="AS94" s="17" t="str">
        <f>IF(G94*Oranlar!R94&gt;1,"Ev",IF((1-G94)*Oranlar!S94&gt;1,"Dep",""))</f>
        <v>Ev</v>
      </c>
      <c r="AT94" s="30">
        <f>IF(AS94="","",IF((AS94="Ev")=(E94&gt;0),IF(AS94="Ev",Oranlar!R94,Oranlar!S94)-1,-1))</f>
        <v>-1.0</v>
      </c>
      <c r="AU94" s="16">
        <f>IF(OR(H94=T94,S94=T94),"",IF((H94&gt;T94)=(S94&gt;T94),1,0))</f>
        <v/>
      </c>
      <c r="AV94" s="16">
        <f>IF(OR(L94=V94,U94=V94),"",IF((L94&gt;V94)=(U94&gt;V94),1,0))</f>
        <v>0</v>
      </c>
      <c r="AW94" s="16">
        <f>IF(AND(E94&gt;=J94,E94&lt;=K94),1,0)</f>
        <v>1</v>
      </c>
      <c r="AX94" s="16">
        <f>IF(AND(F94&gt;=N94,F94&lt;=O94),1,0)</f>
        <v>1</v>
      </c>
    </row>
    <row r="95" spans="1:50">
      <c r="A95" s="21">
        <f>Oranlar!A95</f>
        <v>46097</v>
      </c>
      <c r="B95" s="22" t="str">
        <f>Oranlar!C95&amp;" @ "&amp;Oranlar!D95</f>
        <v>PHX @ BOS</v>
      </c>
      <c r="C95" s="23">
        <f>Oranlar!F95</f>
        <v>120</v>
      </c>
      <c r="D95" s="23">
        <f>Oranlar!E95</f>
        <v>112</v>
      </c>
      <c r="E95" s="15">
        <f>C95-D95</f>
        <v>8</v>
      </c>
      <c r="F95" s="16">
        <f>C95+D95</f>
        <v>232</v>
      </c>
      <c r="G95" s="24">
        <v>0.6870000000000001</v>
      </c>
      <c r="H95" s="10">
        <v>3.56</v>
      </c>
      <c r="I95" s="10">
        <v>7.4</v>
      </c>
      <c r="J95" s="10">
        <v>-11</v>
      </c>
      <c r="K95" s="10">
        <v>26</v>
      </c>
      <c r="L95" s="11">
        <v>222.67</v>
      </c>
      <c r="M95" s="11">
        <v>224</v>
      </c>
      <c r="N95" s="11">
        <v>197</v>
      </c>
      <c r="O95" s="11">
        <v>251</v>
      </c>
      <c r="P95" s="11">
        <v>111.92</v>
      </c>
      <c r="Q95" s="11">
        <v>110.71</v>
      </c>
      <c r="R95" s="25">
        <f>Oranlar!Y95</f>
        <v>0.7571884984025559</v>
      </c>
      <c r="S95" s="26">
        <f>-Oranlar!O95</f>
        <v>8.5</v>
      </c>
      <c r="T95" s="26">
        <f>-Oranlar!I95</f>
        <v>9.5</v>
      </c>
      <c r="U95" s="27">
        <f>Oranlar!V95</f>
        <v>216.5</v>
      </c>
      <c r="V95" s="27">
        <f>Oranlar!L95</f>
        <v>214.5</v>
      </c>
      <c r="W95" s="28">
        <f>(U95+S95)/2</f>
        <v>112.5</v>
      </c>
      <c r="X95" s="28">
        <f>(U95-S95)/2</f>
        <v>104.0</v>
      </c>
      <c r="Y95" s="16">
        <f>IF(G95=0.5,"",IF((G95&gt;0.5)=(E95&gt;0),1,0))</f>
        <v>1</v>
      </c>
      <c r="Z95" s="16">
        <f>IF(R95=0.5,"",IF((R95&gt;0.5)=(E95&gt;0),1,0))</f>
        <v>1</v>
      </c>
      <c r="AA95" s="29">
        <f>(G95-IF(E95&gt;0,1,0))^2</f>
        <v>0.09796899999999996</v>
      </c>
      <c r="AB95" s="29">
        <f>(R95-IF(E95&gt;0,1,0))^2</f>
        <v>0.058957425308005615</v>
      </c>
      <c r="AC95" s="28">
        <f>ABS(H95-E95)</f>
        <v>4.4399999999999995</v>
      </c>
      <c r="AD95" s="28">
        <f>ABS(I95-E95)</f>
        <v>0.5999999999999996</v>
      </c>
      <c r="AE95" s="28">
        <f>ABS(S95-E95)</f>
        <v>0.5</v>
      </c>
      <c r="AF95" s="28">
        <f>ABS(L95-F95)</f>
        <v>9.330000000000013</v>
      </c>
      <c r="AG95" s="28">
        <f>ABS(M95-F95)</f>
        <v>8.0</v>
      </c>
      <c r="AH95" s="28">
        <f>ABS(U95-F95)</f>
        <v>15.5</v>
      </c>
      <c r="AI95" s="28">
        <f>ABS(P95-C95)</f>
        <v>8.079999999999998</v>
      </c>
      <c r="AJ95" s="28">
        <f>ABS(W95-C95)</f>
        <v>7.5</v>
      </c>
      <c r="AK95" s="28">
        <f>ABS(Q95-D95)</f>
        <v>1.2900000000000063</v>
      </c>
      <c r="AL95" s="28">
        <f>ABS(X95-D95)</f>
        <v>8.0</v>
      </c>
      <c r="AM95" s="17" t="str">
        <f>IF(H95&gt;S95,"Ev",IF(H95&lt;S95,"Dep",""))</f>
        <v>Dep</v>
      </c>
      <c r="AN95" s="17" t="str">
        <f>IF(AM95="","",IF(E95=S95,"Push",IF((E95&gt;S95)=(AM95="Ev"),"Kazandı","Kaybetti")))</f>
        <v>Kazandı</v>
      </c>
      <c r="AO95" s="30">
        <f>IF(AM95="","",IF(AN95="Push",0,IF(AN95="Kazandı",IF(AM95="Ev",Oranlar!P95,Oranlar!Q95)-1,-1)))</f>
        <v>0.9523809523809523</v>
      </c>
      <c r="AP95" s="17" t="str">
        <f>IF(L95&gt;U95,"Üst",IF(L95&lt;U95,"Alt",""))</f>
        <v>Üst</v>
      </c>
      <c r="AQ95" s="17" t="str">
        <f>IF(AP95="","",IF(F95=U95,"Push",IF((F95&gt;U95)=(AP95="Üst"),"Kazandı","Kaybetti")))</f>
        <v>Kazandı</v>
      </c>
      <c r="AR95" s="30">
        <f>IF(AP95="","",IF(AQ95="Push",0,IF(AQ95="Kazandı",IF(AP95="Üst",Oranlar!W95,Oranlar!X95)-1,-1)))</f>
        <v>0.9090909090909092</v>
      </c>
      <c r="AS95" s="17" t="str">
        <f>IF(G95*Oranlar!R95&gt;1,"Ev",IF((1-G95)*Oranlar!S95&gt;1,"Dep",""))</f>
        <v>Dep</v>
      </c>
      <c r="AT95" s="30">
        <f>IF(AS95="","",IF((AS95="Ev")=(E95&gt;0),IF(AS95="Ev",Oranlar!R95,Oranlar!S95)-1,-1))</f>
        <v>-1.0</v>
      </c>
      <c r="AU95" s="16">
        <f>IF(OR(H95=T95,S95=T95),"",IF((H95&gt;T95)=(S95&gt;T95),1,0))</f>
        <v>1</v>
      </c>
      <c r="AV95" s="16">
        <f>IF(OR(L95=V95,U95=V95),"",IF((L95&gt;V95)=(U95&gt;V95),1,0))</f>
        <v>1</v>
      </c>
      <c r="AW95" s="16">
        <f>IF(AND(E95&gt;=J95,E95&lt;=K95),1,0)</f>
        <v>1</v>
      </c>
      <c r="AX95" s="16">
        <f>IF(AND(F95&gt;=N95,F95&lt;=O95),1,0)</f>
        <v>1</v>
      </c>
    </row>
    <row r="96" spans="1:50">
      <c r="A96" s="21">
        <f>Oranlar!A96</f>
        <v>46097</v>
      </c>
      <c r="B96" s="22" t="str">
        <f>Oranlar!C96&amp;" @ "&amp;Oranlar!D96</f>
        <v>MEM @ CHI</v>
      </c>
      <c r="C96" s="23">
        <f>Oranlar!F96</f>
        <v>132</v>
      </c>
      <c r="D96" s="23">
        <f>Oranlar!E96</f>
        <v>107</v>
      </c>
      <c r="E96" s="15">
        <f>C96-D96</f>
        <v>25</v>
      </c>
      <c r="F96" s="16">
        <f>C96+D96</f>
        <v>239</v>
      </c>
      <c r="G96" s="24">
        <v>0.523</v>
      </c>
      <c r="H96" s="10">
        <v>0.99</v>
      </c>
      <c r="I96" s="10">
        <v>-1.3</v>
      </c>
      <c r="J96" s="10">
        <v>-20</v>
      </c>
      <c r="K96" s="10">
        <v>17</v>
      </c>
      <c r="L96" s="11">
        <v>234.04</v>
      </c>
      <c r="M96" s="11">
        <v>230.2</v>
      </c>
      <c r="N96" s="11">
        <v>203</v>
      </c>
      <c r="O96" s="11">
        <v>257</v>
      </c>
      <c r="P96" s="11">
        <v>118.47</v>
      </c>
      <c r="Q96" s="11">
        <v>117.03</v>
      </c>
      <c r="R96" s="25">
        <f>Oranlar!Y96</f>
        <v>0.705033164260632</v>
      </c>
      <c r="S96" s="26">
        <f>-Oranlar!O96</f>
        <v>7.5</v>
      </c>
      <c r="T96" s="26">
        <f>-Oranlar!I96</f>
        <v>4.5</v>
      </c>
      <c r="U96" s="27">
        <f>Oranlar!V96</f>
        <v>243.5</v>
      </c>
      <c r="V96" s="27">
        <f>Oranlar!L96</f>
        <v>239.5</v>
      </c>
      <c r="W96" s="28">
        <f>(U96+S96)/2</f>
        <v>125.5</v>
      </c>
      <c r="X96" s="28">
        <f>(U96-S96)/2</f>
        <v>118.0</v>
      </c>
      <c r="Y96" s="16">
        <f>IF(G96=0.5,"",IF((G96&gt;0.5)=(E96&gt;0),1,0))</f>
        <v>1</v>
      </c>
      <c r="Z96" s="16">
        <f>IF(R96=0.5,"",IF((R96&gt;0.5)=(E96&gt;0),1,0))</f>
        <v>1</v>
      </c>
      <c r="AA96" s="29">
        <f>(G96-IF(E96&gt;0,1,0))^2</f>
        <v>0.22752899999999998</v>
      </c>
      <c r="AB96" s="29">
        <f>(R96-IF(E96&gt;0,1,0))^2</f>
        <v>0.0870054341860953</v>
      </c>
      <c r="AC96" s="28">
        <f>ABS(H96-E96)</f>
        <v>24.01</v>
      </c>
      <c r="AD96" s="28">
        <f>ABS(I96-E96)</f>
        <v>26.3</v>
      </c>
      <c r="AE96" s="28">
        <f>ABS(S96-E96)</f>
        <v>17.5</v>
      </c>
      <c r="AF96" s="28">
        <f>ABS(L96-F96)</f>
        <v>4.960000000000008</v>
      </c>
      <c r="AG96" s="28">
        <f>ABS(M96-F96)</f>
        <v>8.800000000000011</v>
      </c>
      <c r="AH96" s="28">
        <f>ABS(U96-F96)</f>
        <v>4.5</v>
      </c>
      <c r="AI96" s="28">
        <f>ABS(P96-C96)</f>
        <v>13.530000000000001</v>
      </c>
      <c r="AJ96" s="28">
        <f>ABS(W96-C96)</f>
        <v>6.5</v>
      </c>
      <c r="AK96" s="28">
        <f>ABS(Q96-D96)</f>
        <v>10.030000000000001</v>
      </c>
      <c r="AL96" s="28">
        <f>ABS(X96-D96)</f>
        <v>11.0</v>
      </c>
      <c r="AM96" s="17" t="str">
        <f>IF(H96&gt;S96,"Ev",IF(H96&lt;S96,"Dep",""))</f>
        <v>Dep</v>
      </c>
      <c r="AN96" s="17" t="str">
        <f>IF(AM96="","",IF(E96=S96,"Push",IF((E96&gt;S96)=(AM96="Ev"),"Kazandı","Kaybetti")))</f>
        <v>Kaybetti</v>
      </c>
      <c r="AO96" s="30">
        <f>IF(AM96="","",IF(AN96="Push",0,IF(AN96="Kazandı",IF(AM96="Ev",Oranlar!P96,Oranlar!Q96)-1,-1)))</f>
        <v>-1.0</v>
      </c>
      <c r="AP96" s="17" t="str">
        <f>IF(L96&gt;U96,"Üst",IF(L96&lt;U96,"Alt",""))</f>
        <v>Alt</v>
      </c>
      <c r="AQ96" s="17" t="str">
        <f>IF(AP96="","",IF(F96=U96,"Push",IF((F96&gt;U96)=(AP96="Üst"),"Kazandı","Kaybetti")))</f>
        <v>Kazandı</v>
      </c>
      <c r="AR96" s="30">
        <f>IF(AP96="","",IF(AQ96="Push",0,IF(AQ96="Kazandı",IF(AP96="Üst",Oranlar!W96,Oranlar!X96)-1,-1)))</f>
        <v>0.925925925925926</v>
      </c>
      <c r="AS96" s="17" t="str">
        <f>IF(G96*Oranlar!R96&gt;1,"Ev",IF((1-G96)*Oranlar!S96&gt;1,"Dep",""))</f>
        <v>Dep</v>
      </c>
      <c r="AT96" s="30">
        <f>IF(AS96="","",IF((AS96="Ev")=(E96&gt;0),IF(AS96="Ev",Oranlar!R96,Oranlar!S96)-1,-1))</f>
        <v>-1.0</v>
      </c>
      <c r="AU96" s="16">
        <f>IF(OR(H96=T96,S96=T96),"",IF((H96&gt;T96)=(S96&gt;T96),1,0))</f>
        <v>0</v>
      </c>
      <c r="AV96" s="16">
        <f>IF(OR(L96=V96,U96=V96),"",IF((L96&gt;V96)=(U96&gt;V96),1,0))</f>
        <v>0</v>
      </c>
      <c r="AW96" s="16">
        <f>IF(AND(E96&gt;=J96,E96&lt;=K96),1,0)</f>
        <v>0</v>
      </c>
      <c r="AX96" s="16">
        <f>IF(AND(F96&gt;=N96,F96&lt;=O96),1,0)</f>
        <v>1</v>
      </c>
    </row>
    <row r="97" spans="1:50">
      <c r="A97" s="21">
        <f>Oranlar!A97</f>
        <v>46097</v>
      </c>
      <c r="B97" s="22" t="str">
        <f>Oranlar!C97&amp;" @ "&amp;Oranlar!D97</f>
        <v>DAL @ NOP</v>
      </c>
      <c r="C97" s="23">
        <f>Oranlar!F97</f>
        <v>129</v>
      </c>
      <c r="D97" s="23">
        <f>Oranlar!E97</f>
        <v>111</v>
      </c>
      <c r="E97" s="15">
        <f>C97-D97</f>
        <v>18</v>
      </c>
      <c r="F97" s="16">
        <f>C97+D97</f>
        <v>240</v>
      </c>
      <c r="G97" s="24">
        <v>0.769</v>
      </c>
      <c r="H97" s="10">
        <v>12.26</v>
      </c>
      <c r="I97" s="10">
        <v>8.800000000000001</v>
      </c>
      <c r="J97" s="10">
        <v>-10</v>
      </c>
      <c r="K97" s="10">
        <v>28</v>
      </c>
      <c r="L97" s="11">
        <v>230.47</v>
      </c>
      <c r="M97" s="11">
        <v>234.3</v>
      </c>
      <c r="N97" s="11">
        <v>207</v>
      </c>
      <c r="O97" s="11">
        <v>262</v>
      </c>
      <c r="P97" s="11">
        <v>119.57</v>
      </c>
      <c r="Q97" s="11">
        <v>113.31</v>
      </c>
      <c r="R97" s="25">
        <f>Oranlar!Y97</f>
        <v>0.7408716136631331</v>
      </c>
      <c r="S97" s="26">
        <f>-Oranlar!O97</f>
        <v>8.5</v>
      </c>
      <c r="T97" s="26">
        <f>-Oranlar!I97</f>
        <v>7.5</v>
      </c>
      <c r="U97" s="27">
        <f>Oranlar!V97</f>
        <v>240.5</v>
      </c>
      <c r="V97" s="27">
        <f>Oranlar!L97</f>
        <v>235.5</v>
      </c>
      <c r="W97" s="28">
        <f>(U97+S97)/2</f>
        <v>124.5</v>
      </c>
      <c r="X97" s="28">
        <f>(U97-S97)/2</f>
        <v>116.0</v>
      </c>
      <c r="Y97" s="16">
        <f>IF(G97=0.5,"",IF((G97&gt;0.5)=(E97&gt;0),1,0))</f>
        <v>1</v>
      </c>
      <c r="Z97" s="16">
        <f>IF(R97=0.5,"",IF((R97&gt;0.5)=(E97&gt;0),1,0))</f>
        <v>1</v>
      </c>
      <c r="AA97" s="29">
        <f>(G97-IF(E97&gt;0,1,0))^2</f>
        <v>0.05336099999999999</v>
      </c>
      <c r="AB97" s="29">
        <f>(R97-IF(E97&gt;0,1,0))^2</f>
        <v>0.06714752060554853</v>
      </c>
      <c r="AC97" s="28">
        <f>ABS(H97-E97)</f>
        <v>5.74</v>
      </c>
      <c r="AD97" s="28">
        <f>ABS(I97-E97)</f>
        <v>9.2</v>
      </c>
      <c r="AE97" s="28">
        <f>ABS(S97-E97)</f>
        <v>9.5</v>
      </c>
      <c r="AF97" s="28">
        <f>ABS(L97-F97)</f>
        <v>9.530000000000001</v>
      </c>
      <c r="AG97" s="28">
        <f>ABS(M97-F97)</f>
        <v>5.699999999999989</v>
      </c>
      <c r="AH97" s="28">
        <f>ABS(U97-F97)</f>
        <v>0.5</v>
      </c>
      <c r="AI97" s="28">
        <f>ABS(P97-C97)</f>
        <v>9.430000000000007</v>
      </c>
      <c r="AJ97" s="28">
        <f>ABS(W97-C97)</f>
        <v>4.5</v>
      </c>
      <c r="AK97" s="28">
        <f>ABS(Q97-D97)</f>
        <v>2.3100000000000023</v>
      </c>
      <c r="AL97" s="28">
        <f>ABS(X97-D97)</f>
        <v>5.0</v>
      </c>
      <c r="AM97" s="17" t="str">
        <f>IF(H97&gt;S97,"Ev",IF(H97&lt;S97,"Dep",""))</f>
        <v>Ev</v>
      </c>
      <c r="AN97" s="17" t="str">
        <f>IF(AM97="","",IF(E97=S97,"Push",IF((E97&gt;S97)=(AM97="Ev"),"Kazandı","Kaybetti")))</f>
        <v>Kazandı</v>
      </c>
      <c r="AO97" s="30">
        <f>IF(AM97="","",IF(AN97="Push",0,IF(AN97="Kazandı",IF(AM97="Ev",Oranlar!P97,Oranlar!Q97)-1,-1)))</f>
        <v>0.8695652173913042</v>
      </c>
      <c r="AP97" s="17" t="str">
        <f>IF(L97&gt;U97,"Üst",IF(L97&lt;U97,"Alt",""))</f>
        <v>Alt</v>
      </c>
      <c r="AQ97" s="17" t="str">
        <f>IF(AP97="","",IF(F97=U97,"Push",IF((F97&gt;U97)=(AP97="Üst"),"Kazandı","Kaybetti")))</f>
        <v>Kazandı</v>
      </c>
      <c r="AR97" s="30">
        <f>IF(AP97="","",IF(AQ97="Push",0,IF(AQ97="Kazandı",IF(AP97="Üst",Oranlar!W97,Oranlar!X97)-1,-1)))</f>
        <v>0.9090909090909092</v>
      </c>
      <c r="AS97" s="17">
        <f>IF(G97*Oranlar!R97&gt;1,"Ev",IF((1-G97)*Oranlar!S97&gt;1,"Dep",""))</f>
        <v/>
      </c>
      <c r="AT97" s="30">
        <f>IF(AS97="","",IF((AS97="Ev")=(E97&gt;0),IF(AS97="Ev",Oranlar!R97,Oranlar!S97)-1,-1))</f>
        <v/>
      </c>
      <c r="AU97" s="16">
        <f>IF(OR(H97=T97,S97=T97),"",IF((H97&gt;T97)=(S97&gt;T97),1,0))</f>
        <v>1</v>
      </c>
      <c r="AV97" s="16">
        <f>IF(OR(L97=V97,U97=V97),"",IF((L97&gt;V97)=(U97&gt;V97),1,0))</f>
        <v>0</v>
      </c>
      <c r="AW97" s="16">
        <f>IF(AND(E97&gt;=J97,E97&lt;=K97),1,0)</f>
        <v>1</v>
      </c>
      <c r="AX97" s="16">
        <f>IF(AND(F97&gt;=N97,F97&lt;=O97),1,0)</f>
        <v>1</v>
      </c>
    </row>
    <row r="98" spans="1:50">
      <c r="A98" s="21">
        <f>Oranlar!A98</f>
        <v>46097</v>
      </c>
      <c r="B98" s="22" t="str">
        <f>Oranlar!C98&amp;" @ "&amp;Oranlar!D98</f>
        <v>LAL @ HOU</v>
      </c>
      <c r="C98" s="23">
        <f>Oranlar!F98</f>
        <v>92</v>
      </c>
      <c r="D98" s="23">
        <f>Oranlar!E98</f>
        <v>100</v>
      </c>
      <c r="E98" s="15">
        <f>C98-D98</f>
        <v>-8</v>
      </c>
      <c r="F98" s="16">
        <f>C98+D98</f>
        <v>192</v>
      </c>
      <c r="G98" s="24">
        <v>0.479</v>
      </c>
      <c r="H98" s="10">
        <v>0.8100000000000001</v>
      </c>
      <c r="I98" s="10">
        <v>0</v>
      </c>
      <c r="J98" s="10">
        <v>-18</v>
      </c>
      <c r="K98" s="10">
        <v>19</v>
      </c>
      <c r="L98" s="11">
        <v>232.72</v>
      </c>
      <c r="M98" s="11">
        <v>231</v>
      </c>
      <c r="N98" s="11">
        <v>203</v>
      </c>
      <c r="O98" s="11">
        <v>258</v>
      </c>
      <c r="P98" s="11">
        <v>115.6</v>
      </c>
      <c r="Q98" s="11">
        <v>115.54</v>
      </c>
      <c r="R98" s="25">
        <f>Oranlar!Y98</f>
        <v>0.4826358742837298</v>
      </c>
      <c r="S98" s="26">
        <f>-Oranlar!O98</f>
        <v>-1.5</v>
      </c>
      <c r="T98" s="26">
        <f>-Oranlar!I98</f>
        <v>1.5</v>
      </c>
      <c r="U98" s="27">
        <f>Oranlar!V98</f>
        <v>223.5</v>
      </c>
      <c r="V98" s="27">
        <f>Oranlar!L98</f>
        <v>223.5</v>
      </c>
      <c r="W98" s="28">
        <f>(U98+S98)/2</f>
        <v>111.0</v>
      </c>
      <c r="X98" s="28">
        <f>(U98-S98)/2</f>
        <v>112.5</v>
      </c>
      <c r="Y98" s="16">
        <f>IF(G98=0.5,"",IF((G98&gt;0.5)=(E98&gt;0),1,0))</f>
        <v>1</v>
      </c>
      <c r="Z98" s="16">
        <f>IF(R98=0.5,"",IF((R98&gt;0.5)=(E98&gt;0),1,0))</f>
        <v>1</v>
      </c>
      <c r="AA98" s="29">
        <f>(G98-IF(E98&gt;0,1,0))^2</f>
        <v>0.22944099999999998</v>
      </c>
      <c r="AB98" s="29">
        <f>(R98-IF(E98&gt;0,1,0))^2</f>
        <v>0.2329373871456202</v>
      </c>
      <c r="AC98" s="28">
        <f>ABS(H98-E98)</f>
        <v>8.81</v>
      </c>
      <c r="AD98" s="28">
        <f>ABS(I98-E98)</f>
        <v>8.0</v>
      </c>
      <c r="AE98" s="28">
        <f>ABS(S98-E98)</f>
        <v>6.5</v>
      </c>
      <c r="AF98" s="28">
        <f>ABS(L98-F98)</f>
        <v>40.72</v>
      </c>
      <c r="AG98" s="28">
        <f>ABS(M98-F98)</f>
        <v>39.0</v>
      </c>
      <c r="AH98" s="28">
        <f>ABS(U98-F98)</f>
        <v>31.5</v>
      </c>
      <c r="AI98" s="28">
        <f>ABS(P98-C98)</f>
        <v>23.599999999999994</v>
      </c>
      <c r="AJ98" s="28">
        <f>ABS(W98-C98)</f>
        <v>19.0</v>
      </c>
      <c r="AK98" s="28">
        <f>ABS(Q98-D98)</f>
        <v>15.540000000000006</v>
      </c>
      <c r="AL98" s="28">
        <f>ABS(X98-D98)</f>
        <v>12.5</v>
      </c>
      <c r="AM98" s="17" t="str">
        <f>IF(H98&gt;S98,"Ev",IF(H98&lt;S98,"Dep",""))</f>
        <v>Ev</v>
      </c>
      <c r="AN98" s="17" t="str">
        <f>IF(AM98="","",IF(E98=S98,"Push",IF((E98&gt;S98)=(AM98="Ev"),"Kazandı","Kaybetti")))</f>
        <v>Kaybetti</v>
      </c>
      <c r="AO98" s="30">
        <f>IF(AM98="","",IF(AN98="Push",0,IF(AN98="Kazandı",IF(AM98="Ev",Oranlar!P98,Oranlar!Q98)-1,-1)))</f>
        <v>-1.0</v>
      </c>
      <c r="AP98" s="17" t="str">
        <f>IF(L98&gt;U98,"Üst",IF(L98&lt;U98,"Alt",""))</f>
        <v>Üst</v>
      </c>
      <c r="AQ98" s="17" t="str">
        <f>IF(AP98="","",IF(F98=U98,"Push",IF((F98&gt;U98)=(AP98="Üst"),"Kazandı","Kaybetti")))</f>
        <v>Kaybetti</v>
      </c>
      <c r="AR98" s="30">
        <f>IF(AP98="","",IF(AQ98="Push",0,IF(AQ98="Kazandı",IF(AP98="Üst",Oranlar!W98,Oranlar!X98)-1,-1)))</f>
        <v>-1.0</v>
      </c>
      <c r="AS98" s="17">
        <f>IF(G98*Oranlar!R98&gt;1,"Ev",IF((1-G98)*Oranlar!S98&gt;1,"Dep",""))</f>
        <v/>
      </c>
      <c r="AT98" s="30">
        <f>IF(AS98="","",IF((AS98="Ev")=(E98&gt;0),IF(AS98="Ev",Oranlar!R98,Oranlar!S98)-1,-1))</f>
        <v/>
      </c>
      <c r="AU98" s="16">
        <f>IF(OR(H98=T98,S98=T98),"",IF((H98&gt;T98)=(S98&gt;T98),1,0))</f>
        <v>1</v>
      </c>
      <c r="AV98" s="16">
        <f>IF(OR(L98=V98,U98=V98),"",IF((L98&gt;V98)=(U98&gt;V98),1,0))</f>
        <v/>
      </c>
      <c r="AW98" s="16">
        <f>IF(AND(E98&gt;=J98,E98&lt;=K98),1,0)</f>
        <v>1</v>
      </c>
      <c r="AX98" s="16">
        <f>IF(AND(F98&gt;=N98,F98&lt;=O98),1,0)</f>
        <v>0</v>
      </c>
    </row>
    <row r="99" spans="1:50">
      <c r="A99" s="21">
        <f>Oranlar!A99</f>
        <v>46097</v>
      </c>
      <c r="B99" s="22" t="str">
        <f>Oranlar!C99&amp;" @ "&amp;Oranlar!D99</f>
        <v>SAS @ LAC</v>
      </c>
      <c r="C99" s="23">
        <f>Oranlar!F99</f>
        <v>115</v>
      </c>
      <c r="D99" s="23">
        <f>Oranlar!E99</f>
        <v>119</v>
      </c>
      <c r="E99" s="15">
        <f>C99-D99</f>
        <v>-4</v>
      </c>
      <c r="F99" s="16">
        <f>C99+D99</f>
        <v>234</v>
      </c>
      <c r="G99" s="24">
        <v>0.392</v>
      </c>
      <c r="H99" s="10">
        <v>-3.04</v>
      </c>
      <c r="I99" s="10">
        <v>-2.9</v>
      </c>
      <c r="J99" s="10">
        <v>-21</v>
      </c>
      <c r="K99" s="10">
        <v>16</v>
      </c>
      <c r="L99" s="11">
        <v>228.78</v>
      </c>
      <c r="M99" s="11">
        <v>227.5</v>
      </c>
      <c r="N99" s="11">
        <v>200</v>
      </c>
      <c r="O99" s="11">
        <v>254</v>
      </c>
      <c r="P99" s="11">
        <v>112.63</v>
      </c>
      <c r="Q99" s="11">
        <v>117.84</v>
      </c>
      <c r="R99" s="25">
        <f>Oranlar!Y99</f>
        <v>0.2591283863368669</v>
      </c>
      <c r="S99" s="26">
        <f>-Oranlar!O99</f>
        <v>-8.5</v>
      </c>
      <c r="T99" s="26">
        <f>-Oranlar!I99</f>
        <v>-6.5</v>
      </c>
      <c r="U99" s="27">
        <f>Oranlar!V99</f>
        <v>234.5</v>
      </c>
      <c r="V99" s="27">
        <f>Oranlar!L99</f>
        <v>223.5</v>
      </c>
      <c r="W99" s="28">
        <f>(U99+S99)/2</f>
        <v>113.0</v>
      </c>
      <c r="X99" s="28">
        <f>(U99-S99)/2</f>
        <v>121.5</v>
      </c>
      <c r="Y99" s="16">
        <f>IF(G99=0.5,"",IF((G99&gt;0.5)=(E99&gt;0),1,0))</f>
        <v>1</v>
      </c>
      <c r="Z99" s="16">
        <f>IF(R99=0.5,"",IF((R99&gt;0.5)=(E99&gt;0),1,0))</f>
        <v>1</v>
      </c>
      <c r="AA99" s="29">
        <f>(G99-IF(E99&gt;0,1,0))^2</f>
        <v>0.15366400000000002</v>
      </c>
      <c r="AB99" s="29">
        <f>(R99-IF(E99&gt;0,1,0))^2</f>
        <v>0.06714752060554856</v>
      </c>
      <c r="AC99" s="28">
        <f>ABS(H99-E99)</f>
        <v>0.96</v>
      </c>
      <c r="AD99" s="28">
        <f>ABS(I99-E99)</f>
        <v>1.1</v>
      </c>
      <c r="AE99" s="28">
        <f>ABS(S99-E99)</f>
        <v>4.5</v>
      </c>
      <c r="AF99" s="28">
        <f>ABS(L99-F99)</f>
        <v>5.219999999999999</v>
      </c>
      <c r="AG99" s="28">
        <f>ABS(M99-F99)</f>
        <v>6.5</v>
      </c>
      <c r="AH99" s="28">
        <f>ABS(U99-F99)</f>
        <v>0.5</v>
      </c>
      <c r="AI99" s="28">
        <f>ABS(P99-C99)</f>
        <v>2.3700000000000045</v>
      </c>
      <c r="AJ99" s="28">
        <f>ABS(W99-C99)</f>
        <v>2.0</v>
      </c>
      <c r="AK99" s="28">
        <f>ABS(Q99-D99)</f>
        <v>1.1599999999999966</v>
      </c>
      <c r="AL99" s="28">
        <f>ABS(X99-D99)</f>
        <v>2.5</v>
      </c>
      <c r="AM99" s="17" t="str">
        <f>IF(H99&gt;S99,"Ev",IF(H99&lt;S99,"Dep",""))</f>
        <v>Ev</v>
      </c>
      <c r="AN99" s="17" t="str">
        <f>IF(AM99="","",IF(E99=S99,"Push",IF((E99&gt;S99)=(AM99="Ev"),"Kazandı","Kaybetti")))</f>
        <v>Kazandı</v>
      </c>
      <c r="AO99" s="30">
        <f>IF(AM99="","",IF(AN99="Push",0,IF(AN99="Kazandı",IF(AM99="Ev",Oranlar!P99,Oranlar!Q99)-1,-1)))</f>
        <v>0.8333333333333335</v>
      </c>
      <c r="AP99" s="17" t="str">
        <f>IF(L99&gt;U99,"Üst",IF(L99&lt;U99,"Alt",""))</f>
        <v>Alt</v>
      </c>
      <c r="AQ99" s="17" t="str">
        <f>IF(AP99="","",IF(F99=U99,"Push",IF((F99&gt;U99)=(AP99="Üst"),"Kazandı","Kaybetti")))</f>
        <v>Kazandı</v>
      </c>
      <c r="AR99" s="30">
        <f>IF(AP99="","",IF(AQ99="Push",0,IF(AQ99="Kazandı",IF(AP99="Üst",Oranlar!W99,Oranlar!X99)-1,-1)))</f>
        <v>0.9090909090909092</v>
      </c>
      <c r="AS99" s="17" t="str">
        <f>IF(G99*Oranlar!R99&gt;1,"Ev",IF((1-G99)*Oranlar!S99&gt;1,"Dep",""))</f>
        <v>Ev</v>
      </c>
      <c r="AT99" s="30">
        <f>IF(AS99="","",IF((AS99="Ev")=(E99&gt;0),IF(AS99="Ev",Oranlar!R99,Oranlar!S99)-1,-1))</f>
        <v>-1.0</v>
      </c>
      <c r="AU99" s="16">
        <f>IF(OR(H99=T99,S99=T99),"",IF((H99&gt;T99)=(S99&gt;T99),1,0))</f>
        <v>0</v>
      </c>
      <c r="AV99" s="16">
        <f>IF(OR(L99=V99,U99=V99),"",IF((L99&gt;V99)=(U99&gt;V99),1,0))</f>
        <v>1</v>
      </c>
      <c r="AW99" s="16">
        <f>IF(AND(E99&gt;=J99,E99&lt;=K99),1,0)</f>
        <v>1</v>
      </c>
      <c r="AX99" s="16">
        <f>IF(AND(F99&gt;=N99,F99&lt;=O99),1,0)</f>
        <v>1</v>
      </c>
    </row>
    <row r="100" spans="1:50">
      <c r="A100" s="21">
        <f>Oranlar!A100</f>
        <v>46098</v>
      </c>
      <c r="B100" s="22" t="str">
        <f>Oranlar!C100&amp;" @ "&amp;Oranlar!D100</f>
        <v>MIA @ CHA</v>
      </c>
      <c r="C100" s="23">
        <f>Oranlar!F100</f>
        <v>136</v>
      </c>
      <c r="D100" s="23">
        <f>Oranlar!E100</f>
        <v>106</v>
      </c>
      <c r="E100" s="15">
        <f>C100-D100</f>
        <v>30</v>
      </c>
      <c r="F100" s="16">
        <f>C100+D100</f>
        <v>242</v>
      </c>
      <c r="G100" s="24">
        <v>0.653</v>
      </c>
      <c r="H100" s="10">
        <v>7.73</v>
      </c>
      <c r="I100" s="10">
        <v>7.8</v>
      </c>
      <c r="J100" s="10">
        <v>-11</v>
      </c>
      <c r="K100" s="10">
        <v>27</v>
      </c>
      <c r="L100" s="11">
        <v>230.77</v>
      </c>
      <c r="M100" s="11">
        <v>233.2</v>
      </c>
      <c r="N100" s="11">
        <v>206</v>
      </c>
      <c r="O100" s="11">
        <v>261</v>
      </c>
      <c r="P100" s="11">
        <v>118.17</v>
      </c>
      <c r="Q100" s="11">
        <v>111.33</v>
      </c>
      <c r="R100" s="25">
        <f>Oranlar!Y100</f>
        <v>0.644729178800233</v>
      </c>
      <c r="S100" s="26">
        <f>-Oranlar!O100</f>
        <v>5.5</v>
      </c>
      <c r="T100" s="26">
        <f>-Oranlar!I100</f>
        <v>3.5</v>
      </c>
      <c r="U100" s="27">
        <f>Oranlar!V100</f>
        <v>236.5</v>
      </c>
      <c r="V100" s="27">
        <f>Oranlar!L100</f>
        <v>233.5</v>
      </c>
      <c r="W100" s="28">
        <f>(U100+S100)/2</f>
        <v>121.0</v>
      </c>
      <c r="X100" s="28">
        <f>(U100-S100)/2</f>
        <v>115.5</v>
      </c>
      <c r="Y100" s="16">
        <f>IF(G100=0.5,"",IF((G100&gt;0.5)=(E100&gt;0),1,0))</f>
        <v>1</v>
      </c>
      <c r="Z100" s="16">
        <f>IF(R100=0.5,"",IF((R100&gt;0.5)=(E100&gt;0),1,0))</f>
        <v>1</v>
      </c>
      <c r="AA100" s="29">
        <f>(G100-IF(E100&gt;0,1,0))^2</f>
        <v>0.12040899999999999</v>
      </c>
      <c r="AB100" s="29">
        <f>(R100-IF(E100&gt;0,1,0))^2</f>
        <v>0.12621735639595685</v>
      </c>
      <c r="AC100" s="28">
        <f>ABS(H100-E100)</f>
        <v>22.27</v>
      </c>
      <c r="AD100" s="28">
        <f>ABS(I100-E100)</f>
        <v>22.2</v>
      </c>
      <c r="AE100" s="28">
        <f>ABS(S100-E100)</f>
        <v>24.5</v>
      </c>
      <c r="AF100" s="28">
        <f>ABS(L100-F100)</f>
        <v>11.22999999999999</v>
      </c>
      <c r="AG100" s="28">
        <f>ABS(M100-F100)</f>
        <v>8.800000000000011</v>
      </c>
      <c r="AH100" s="28">
        <f>ABS(U100-F100)</f>
        <v>5.5</v>
      </c>
      <c r="AI100" s="28">
        <f>ABS(P100-C100)</f>
        <v>17.83</v>
      </c>
      <c r="AJ100" s="28">
        <f>ABS(W100-C100)</f>
        <v>15.0</v>
      </c>
      <c r="AK100" s="28">
        <f>ABS(Q100-D100)</f>
        <v>5.329999999999998</v>
      </c>
      <c r="AL100" s="28">
        <f>ABS(X100-D100)</f>
        <v>9.5</v>
      </c>
      <c r="AM100" s="17" t="str">
        <f>IF(H100&gt;S100,"Ev",IF(H100&lt;S100,"Dep",""))</f>
        <v>Ev</v>
      </c>
      <c r="AN100" s="17" t="str">
        <f>IF(AM100="","",IF(E100=S100,"Push",IF((E100&gt;S100)=(AM100="Ev"),"Kazandı","Kaybetti")))</f>
        <v>Kazandı</v>
      </c>
      <c r="AO100" s="30">
        <f>IF(AM100="","",IF(AN100="Push",0,IF(AN100="Kazandı",IF(AM100="Ev",Oranlar!P100,Oranlar!Q100)-1,-1)))</f>
        <v>0.9523809523809523</v>
      </c>
      <c r="AP100" s="17" t="str">
        <f>IF(L100&gt;U100,"Üst",IF(L100&lt;U100,"Alt",""))</f>
        <v>Alt</v>
      </c>
      <c r="AQ100" s="17" t="str">
        <f>IF(AP100="","",IF(F100=U100,"Push",IF((F100&gt;U100)=(AP100="Üst"),"Kazandı","Kaybetti")))</f>
        <v>Kaybetti</v>
      </c>
      <c r="AR100" s="30">
        <f>IF(AP100="","",IF(AQ100="Push",0,IF(AQ100="Kazandı",IF(AP100="Üst",Oranlar!W100,Oranlar!X100)-1,-1)))</f>
        <v>-1.0</v>
      </c>
      <c r="AS100" s="17">
        <f>IF(G100*Oranlar!R100&gt;1,"Ev",IF((1-G100)*Oranlar!S100&gt;1,"Dep",""))</f>
        <v/>
      </c>
      <c r="AT100" s="30">
        <f>IF(AS100="","",IF((AS100="Ev")=(E100&gt;0),IF(AS100="Ev",Oranlar!R100,Oranlar!S100)-1,-1))</f>
        <v/>
      </c>
      <c r="AU100" s="16">
        <f>IF(OR(H100=T100,S100=T100),"",IF((H100&gt;T100)=(S100&gt;T100),1,0))</f>
        <v>1</v>
      </c>
      <c r="AV100" s="16">
        <f>IF(OR(L100=V100,U100=V100),"",IF((L100&gt;V100)=(U100&gt;V100),1,0))</f>
        <v>0</v>
      </c>
      <c r="AW100" s="16">
        <f>IF(AND(E100&gt;=J100,E100&lt;=K100),1,0)</f>
        <v>0</v>
      </c>
      <c r="AX100" s="16">
        <f>IF(AND(F100&gt;=N100,F100&lt;=O100),1,0)</f>
        <v>1</v>
      </c>
    </row>
    <row r="101" spans="1:50">
      <c r="A101" s="21">
        <f>Oranlar!A101</f>
        <v>46098</v>
      </c>
      <c r="B101" s="22" t="str">
        <f>Oranlar!C101&amp;" @ "&amp;Oranlar!D101</f>
        <v>OKC @ ORL</v>
      </c>
      <c r="C101" s="23">
        <f>Oranlar!F101</f>
        <v>108</v>
      </c>
      <c r="D101" s="23">
        <f>Oranlar!E101</f>
        <v>113</v>
      </c>
      <c r="E101" s="15">
        <f>C101-D101</f>
        <v>-5</v>
      </c>
      <c r="F101" s="16">
        <f>C101+D101</f>
        <v>221</v>
      </c>
      <c r="G101" s="24">
        <v>0.441</v>
      </c>
      <c r="H101" s="10">
        <v>-2.04</v>
      </c>
      <c r="I101" s="10">
        <v>-0</v>
      </c>
      <c r="J101" s="10">
        <v>-18</v>
      </c>
      <c r="K101" s="10">
        <v>18</v>
      </c>
      <c r="L101" s="11">
        <v>225.02</v>
      </c>
      <c r="M101" s="11">
        <v>226.3</v>
      </c>
      <c r="N101" s="11">
        <v>199</v>
      </c>
      <c r="O101" s="11">
        <v>253</v>
      </c>
      <c r="P101" s="11">
        <v>112.18</v>
      </c>
      <c r="Q101" s="11">
        <v>114.88</v>
      </c>
      <c r="R101" s="25">
        <f>Oranlar!Y101</f>
        <v>0.2132564841498559</v>
      </c>
      <c r="S101" s="26">
        <f>-Oranlar!O101</f>
        <v>-9.5</v>
      </c>
      <c r="T101" s="26">
        <f>-Oranlar!I101</f>
        <v>-9.5</v>
      </c>
      <c r="U101" s="27">
        <f>Oranlar!V101</f>
        <v>224.5</v>
      </c>
      <c r="V101" s="27">
        <f>Oranlar!L101</f>
        <v>222.5</v>
      </c>
      <c r="W101" s="28">
        <f>(U101+S101)/2</f>
        <v>107.5</v>
      </c>
      <c r="X101" s="28">
        <f>(U101-S101)/2</f>
        <v>117.0</v>
      </c>
      <c r="Y101" s="16">
        <f>IF(G101=0.5,"",IF((G101&gt;0.5)=(E101&gt;0),1,0))</f>
        <v>1</v>
      </c>
      <c r="Z101" s="16">
        <f>IF(R101=0.5,"",IF((R101&gt;0.5)=(E101&gt;0),1,0))</f>
        <v>1</v>
      </c>
      <c r="AA101" s="29">
        <f>(G101-IF(E101&gt;0,1,0))^2</f>
        <v>0.19448100000000001</v>
      </c>
      <c r="AB101" s="29">
        <f>(R101-IF(E101&gt;0,1,0))^2</f>
        <v>0.04547832803195774</v>
      </c>
      <c r="AC101" s="28">
        <f>ABS(H101-E101)</f>
        <v>2.96</v>
      </c>
      <c r="AD101" s="28">
        <f>ABS(I101-E101)</f>
        <v>5.0</v>
      </c>
      <c r="AE101" s="28">
        <f>ABS(S101-E101)</f>
        <v>4.5</v>
      </c>
      <c r="AF101" s="28">
        <f>ABS(L101-F101)</f>
        <v>4.02000000000001</v>
      </c>
      <c r="AG101" s="28">
        <f>ABS(M101-F101)</f>
        <v>5.300000000000011</v>
      </c>
      <c r="AH101" s="28">
        <f>ABS(U101-F101)</f>
        <v>3.5</v>
      </c>
      <c r="AI101" s="28">
        <f>ABS(P101-C101)</f>
        <v>4.180000000000007</v>
      </c>
      <c r="AJ101" s="28">
        <f>ABS(W101-C101)</f>
        <v>0.5</v>
      </c>
      <c r="AK101" s="28">
        <f>ABS(Q101-D101)</f>
        <v>1.8799999999999955</v>
      </c>
      <c r="AL101" s="28">
        <f>ABS(X101-D101)</f>
        <v>4.0</v>
      </c>
      <c r="AM101" s="17" t="str">
        <f>IF(H101&gt;S101,"Ev",IF(H101&lt;S101,"Dep",""))</f>
        <v>Ev</v>
      </c>
      <c r="AN101" s="17" t="str">
        <f>IF(AM101="","",IF(E101=S101,"Push",IF((E101&gt;S101)=(AM101="Ev"),"Kazandı","Kaybetti")))</f>
        <v>Kazandı</v>
      </c>
      <c r="AO101" s="30">
        <f>IF(AM101="","",IF(AN101="Push",0,IF(AN101="Kazandı",IF(AM101="Ev",Oranlar!P101,Oranlar!Q101)-1,-1)))</f>
        <v>0.9803921568627452</v>
      </c>
      <c r="AP101" s="17" t="str">
        <f>IF(L101&gt;U101,"Üst",IF(L101&lt;U101,"Alt",""))</f>
        <v>Üst</v>
      </c>
      <c r="AQ101" s="17" t="str">
        <f>IF(AP101="","",IF(F101=U101,"Push",IF((F101&gt;U101)=(AP101="Üst"),"Kazandı","Kaybetti")))</f>
        <v>Kaybetti</v>
      </c>
      <c r="AR101" s="30">
        <f>IF(AP101="","",IF(AQ101="Push",0,IF(AQ101="Kazandı",IF(AP101="Üst",Oranlar!W101,Oranlar!X101)-1,-1)))</f>
        <v>-1.0</v>
      </c>
      <c r="AS101" s="17" t="str">
        <f>IF(G101*Oranlar!R101&gt;1,"Ev",IF((1-G101)*Oranlar!S101&gt;1,"Dep",""))</f>
        <v>Ev</v>
      </c>
      <c r="AT101" s="30">
        <f>IF(AS101="","",IF((AS101="Ev")=(E101&gt;0),IF(AS101="Ev",Oranlar!R101,Oranlar!S101)-1,-1))</f>
        <v>-1.0</v>
      </c>
      <c r="AU101" s="16">
        <f>IF(OR(H101=T101,S101=T101),"",IF((H101&gt;T101)=(S101&gt;T101),1,0))</f>
        <v/>
      </c>
      <c r="AV101" s="16">
        <f>IF(OR(L101=V101,U101=V101),"",IF((L101&gt;V101)=(U101&gt;V101),1,0))</f>
        <v>1</v>
      </c>
      <c r="AW101" s="16">
        <f>IF(AND(E101&gt;=J101,E101&lt;=K101),1,0)</f>
        <v>1</v>
      </c>
      <c r="AX101" s="16">
        <f>IF(AND(F101&gt;=N101,F101&lt;=O101),1,0)</f>
        <v>1</v>
      </c>
    </row>
    <row r="102" spans="1:50">
      <c r="A102" s="21">
        <f>Oranlar!A102</f>
        <v>46098</v>
      </c>
      <c r="B102" s="22" t="str">
        <f>Oranlar!C102&amp;" @ "&amp;Oranlar!D102</f>
        <v>DET @ WAS</v>
      </c>
      <c r="C102" s="23">
        <f>Oranlar!F102</f>
        <v>117</v>
      </c>
      <c r="D102" s="23">
        <f>Oranlar!E102</f>
        <v>130</v>
      </c>
      <c r="E102" s="15">
        <f>C102-D102</f>
        <v>-13</v>
      </c>
      <c r="F102" s="16">
        <f>C102+D102</f>
        <v>247</v>
      </c>
      <c r="G102" s="24">
        <v>0.239</v>
      </c>
      <c r="H102" s="10">
        <v>-10.47</v>
      </c>
      <c r="I102" s="10">
        <v>-9.300000000000001</v>
      </c>
      <c r="J102" s="10">
        <v>-28</v>
      </c>
      <c r="K102" s="10">
        <v>9</v>
      </c>
      <c r="L102" s="11">
        <v>232.21</v>
      </c>
      <c r="M102" s="11">
        <v>233.6</v>
      </c>
      <c r="N102" s="11">
        <v>206</v>
      </c>
      <c r="O102" s="11">
        <v>261</v>
      </c>
      <c r="P102" s="11">
        <v>111.69</v>
      </c>
      <c r="Q102" s="11">
        <v>124.68</v>
      </c>
      <c r="R102" s="25">
        <f>Oranlar!Y102</f>
        <v>0.08029197080291971</v>
      </c>
      <c r="S102" s="26">
        <f>-Oranlar!O102</f>
        <v>-19.5</v>
      </c>
      <c r="T102" s="26">
        <f>-Oranlar!I102</f>
        <v>-17.5</v>
      </c>
      <c r="U102" s="27">
        <f>Oranlar!V102</f>
        <v>233.5</v>
      </c>
      <c r="V102" s="27">
        <f>Oranlar!L102</f>
        <v>233.5</v>
      </c>
      <c r="W102" s="28">
        <f>(U102+S102)/2</f>
        <v>107.0</v>
      </c>
      <c r="X102" s="28">
        <f>(U102-S102)/2</f>
        <v>126.5</v>
      </c>
      <c r="Y102" s="16">
        <f>IF(G102=0.5,"",IF((G102&gt;0.5)=(E102&gt;0),1,0))</f>
        <v>1</v>
      </c>
      <c r="Z102" s="16">
        <f>IF(R102=0.5,"",IF((R102&gt;0.5)=(E102&gt;0),1,0))</f>
        <v>1</v>
      </c>
      <c r="AA102" s="29">
        <f>(G102-IF(E102&gt;0,1,0))^2</f>
        <v>0.057121</v>
      </c>
      <c r="AB102" s="29">
        <f>(R102-IF(E102&gt;0,1,0))^2</f>
        <v>0.006446800575416911</v>
      </c>
      <c r="AC102" s="28">
        <f>ABS(H102-E102)</f>
        <v>2.5299999999999994</v>
      </c>
      <c r="AD102" s="28">
        <f>ABS(I102-E102)</f>
        <v>3.6999999999999993</v>
      </c>
      <c r="AE102" s="28">
        <f>ABS(S102-E102)</f>
        <v>6.5</v>
      </c>
      <c r="AF102" s="28">
        <f>ABS(L102-F102)</f>
        <v>14.789999999999992</v>
      </c>
      <c r="AG102" s="28">
        <f>ABS(M102-F102)</f>
        <v>13.400000000000006</v>
      </c>
      <c r="AH102" s="28">
        <f>ABS(U102-F102)</f>
        <v>13.5</v>
      </c>
      <c r="AI102" s="28">
        <f>ABS(P102-C102)</f>
        <v>5.310000000000002</v>
      </c>
      <c r="AJ102" s="28">
        <f>ABS(W102-C102)</f>
        <v>10.0</v>
      </c>
      <c r="AK102" s="28">
        <f>ABS(Q102-D102)</f>
        <v>5.319999999999993</v>
      </c>
      <c r="AL102" s="28">
        <f>ABS(X102-D102)</f>
        <v>3.5</v>
      </c>
      <c r="AM102" s="17" t="str">
        <f>IF(H102&gt;S102,"Ev",IF(H102&lt;S102,"Dep",""))</f>
        <v>Ev</v>
      </c>
      <c r="AN102" s="17" t="str">
        <f>IF(AM102="","",IF(E102=S102,"Push",IF((E102&gt;S102)=(AM102="Ev"),"Kazandı","Kaybetti")))</f>
        <v>Kazandı</v>
      </c>
      <c r="AO102" s="30">
        <f>IF(AM102="","",IF(AN102="Push",0,IF(AN102="Kazandı",IF(AM102="Ev",Oranlar!P102,Oranlar!Q102)-1,-1)))</f>
        <v>0.8928571428571428</v>
      </c>
      <c r="AP102" s="17" t="str">
        <f>IF(L102&gt;U102,"Üst",IF(L102&lt;U102,"Alt",""))</f>
        <v>Alt</v>
      </c>
      <c r="AQ102" s="17" t="str">
        <f>IF(AP102="","",IF(F102=U102,"Push",IF((F102&gt;U102)=(AP102="Üst"),"Kazandı","Kaybetti")))</f>
        <v>Kaybetti</v>
      </c>
      <c r="AR102" s="30">
        <f>IF(AP102="","",IF(AQ102="Push",0,IF(AQ102="Kazandı",IF(AP102="Üst",Oranlar!W102,Oranlar!X102)-1,-1)))</f>
        <v>-1.0</v>
      </c>
      <c r="AS102" s="17" t="str">
        <f>IF(G102*Oranlar!R102&gt;1,"Ev",IF((1-G102)*Oranlar!S102&gt;1,"Dep",""))</f>
        <v>Ev</v>
      </c>
      <c r="AT102" s="30">
        <f>IF(AS102="","",IF((AS102="Ev")=(E102&gt;0),IF(AS102="Ev",Oranlar!R102,Oranlar!S102)-1,-1))</f>
        <v>-1.0</v>
      </c>
      <c r="AU102" s="16">
        <f>IF(OR(H102=T102,S102=T102),"",IF((H102&gt;T102)=(S102&gt;T102),1,0))</f>
        <v>0</v>
      </c>
      <c r="AV102" s="16">
        <f>IF(OR(L102=V102,U102=V102),"",IF((L102&gt;V102)=(U102&gt;V102),1,0))</f>
        <v/>
      </c>
      <c r="AW102" s="16">
        <f>IF(AND(E102&gt;=J102,E102&lt;=K102),1,0)</f>
        <v>1</v>
      </c>
      <c r="AX102" s="16">
        <f>IF(AND(F102&gt;=N102,F102&lt;=O102),1,0)</f>
        <v>1</v>
      </c>
    </row>
    <row r="103" spans="1:50">
      <c r="A103" s="21">
        <f>Oranlar!A103</f>
        <v>46098</v>
      </c>
      <c r="B103" s="22" t="str">
        <f>Oranlar!C103&amp;" @ "&amp;Oranlar!D103</f>
        <v>IND @ NYK</v>
      </c>
      <c r="C103" s="23">
        <f>Oranlar!F103</f>
        <v>136</v>
      </c>
      <c r="D103" s="23">
        <f>Oranlar!E103</f>
        <v>110</v>
      </c>
      <c r="E103" s="15">
        <f>C103-D103</f>
        <v>26</v>
      </c>
      <c r="F103" s="16">
        <f>C103+D103</f>
        <v>246</v>
      </c>
      <c r="G103" s="24">
        <v>0.852</v>
      </c>
      <c r="H103" s="10">
        <v>20.05</v>
      </c>
      <c r="I103" s="10">
        <v>18.2</v>
      </c>
      <c r="J103" s="10">
        <v>0</v>
      </c>
      <c r="K103" s="10">
        <v>36</v>
      </c>
      <c r="L103" s="11">
        <v>228.44</v>
      </c>
      <c r="M103" s="11">
        <v>224.1</v>
      </c>
      <c r="N103" s="11">
        <v>197</v>
      </c>
      <c r="O103" s="11">
        <v>251</v>
      </c>
      <c r="P103" s="11">
        <v>121.78</v>
      </c>
      <c r="Q103" s="11">
        <v>104.45</v>
      </c>
      <c r="R103" s="25">
        <f>Oranlar!Y103</f>
        <v>0.8524590163934427</v>
      </c>
      <c r="S103" s="26">
        <f>-Oranlar!O103</f>
        <v>13.5</v>
      </c>
      <c r="T103" s="26">
        <f>-Oranlar!I103</f>
        <v>15.5</v>
      </c>
      <c r="U103" s="27">
        <f>Oranlar!V103</f>
        <v>222.5</v>
      </c>
      <c r="V103" s="27">
        <f>Oranlar!L103</f>
        <v>224.5</v>
      </c>
      <c r="W103" s="28">
        <f>(U103+S103)/2</f>
        <v>118.0</v>
      </c>
      <c r="X103" s="28">
        <f>(U103-S103)/2</f>
        <v>104.5</v>
      </c>
      <c r="Y103" s="16">
        <f>IF(G103=0.5,"",IF((G103&gt;0.5)=(E103&gt;0),1,0))</f>
        <v>1</v>
      </c>
      <c r="Z103" s="16">
        <f>IF(R103=0.5,"",IF((R103&gt;0.5)=(E103&gt;0),1,0))</f>
        <v>1</v>
      </c>
      <c r="AA103" s="29">
        <f>(G103-IF(E103&gt;0,1,0))^2</f>
        <v>0.021904000000000007</v>
      </c>
      <c r="AB103" s="29">
        <f>(R103-IF(E103&gt;0,1,0))^2</f>
        <v>0.021768341843590416</v>
      </c>
      <c r="AC103" s="28">
        <f>ABS(H103-E103)</f>
        <v>5.949999999999999</v>
      </c>
      <c r="AD103" s="28">
        <f>ABS(I103-E103)</f>
        <v>7.800000000000001</v>
      </c>
      <c r="AE103" s="28">
        <f>ABS(S103-E103)</f>
        <v>12.5</v>
      </c>
      <c r="AF103" s="28">
        <f>ABS(L103-F103)</f>
        <v>17.560000000000002</v>
      </c>
      <c r="AG103" s="28">
        <f>ABS(M103-F103)</f>
        <v>21.900000000000006</v>
      </c>
      <c r="AH103" s="28">
        <f>ABS(U103-F103)</f>
        <v>23.5</v>
      </c>
      <c r="AI103" s="28">
        <f>ABS(P103-C103)</f>
        <v>14.219999999999999</v>
      </c>
      <c r="AJ103" s="28">
        <f>ABS(W103-C103)</f>
        <v>18.0</v>
      </c>
      <c r="AK103" s="28">
        <f>ABS(Q103-D103)</f>
        <v>5.549999999999997</v>
      </c>
      <c r="AL103" s="28">
        <f>ABS(X103-D103)</f>
        <v>5.5</v>
      </c>
      <c r="AM103" s="17" t="str">
        <f>IF(H103&gt;S103,"Ev",IF(H103&lt;S103,"Dep",""))</f>
        <v>Ev</v>
      </c>
      <c r="AN103" s="17" t="str">
        <f>IF(AM103="","",IF(E103=S103,"Push",IF((E103&gt;S103)=(AM103="Ev"),"Kazandı","Kaybetti")))</f>
        <v>Kazandı</v>
      </c>
      <c r="AO103" s="30">
        <f>IF(AM103="","",IF(AN103="Push",0,IF(AN103="Kazandı",IF(AM103="Ev",Oranlar!P103,Oranlar!Q103)-1,-1)))</f>
        <v>0.8928571428571428</v>
      </c>
      <c r="AP103" s="17" t="str">
        <f>IF(L103&gt;U103,"Üst",IF(L103&lt;U103,"Alt",""))</f>
        <v>Üst</v>
      </c>
      <c r="AQ103" s="17" t="str">
        <f>IF(AP103="","",IF(F103=U103,"Push",IF((F103&gt;U103)=(AP103="Üst"),"Kazandı","Kaybetti")))</f>
        <v>Kazandı</v>
      </c>
      <c r="AR103" s="30">
        <f>IF(AP103="","",IF(AQ103="Push",0,IF(AQ103="Kazandı",IF(AP103="Üst",Oranlar!W103,Oranlar!X103)-1,-1)))</f>
        <v>0.8928571428571428</v>
      </c>
      <c r="AS103" s="17">
        <f>IF(G103*Oranlar!R103&gt;1,"Ev",IF((1-G103)*Oranlar!S103&gt;1,"Dep",""))</f>
        <v/>
      </c>
      <c r="AT103" s="30">
        <f>IF(AS103="","",IF((AS103="Ev")=(E103&gt;0),IF(AS103="Ev",Oranlar!R103,Oranlar!S103)-1,-1))</f>
        <v/>
      </c>
      <c r="AU103" s="16">
        <f>IF(OR(H103=T103,S103=T103),"",IF((H103&gt;T103)=(S103&gt;T103),1,0))</f>
        <v>0</v>
      </c>
      <c r="AV103" s="16">
        <f>IF(OR(L103=V103,U103=V103),"",IF((L103&gt;V103)=(U103&gt;V103),1,0))</f>
        <v>0</v>
      </c>
      <c r="AW103" s="16">
        <f>IF(AND(E103&gt;=J103,E103&lt;=K103),1,0)</f>
        <v>1</v>
      </c>
      <c r="AX103" s="16">
        <f>IF(AND(F103&gt;=N103,F103&lt;=O103),1,0)</f>
        <v>1</v>
      </c>
    </row>
    <row r="104" spans="1:50">
      <c r="A104" s="21">
        <f>Oranlar!A104</f>
        <v>46098</v>
      </c>
      <c r="B104" s="22" t="str">
        <f>Oranlar!C104&amp;" @ "&amp;Oranlar!D104</f>
        <v>CLE @ MIL</v>
      </c>
      <c r="C104" s="23">
        <f>Oranlar!F104</f>
        <v>116</v>
      </c>
      <c r="D104" s="23">
        <f>Oranlar!E104</f>
        <v>123</v>
      </c>
      <c r="E104" s="15">
        <f>C104-D104</f>
        <v>-7</v>
      </c>
      <c r="F104" s="16">
        <f>C104+D104</f>
        <v>239</v>
      </c>
      <c r="G104" s="24">
        <v>0.274</v>
      </c>
      <c r="H104" s="10">
        <v>-6.87</v>
      </c>
      <c r="I104" s="10">
        <v>-6.8</v>
      </c>
      <c r="J104" s="10">
        <v>-25</v>
      </c>
      <c r="K104" s="10">
        <v>12</v>
      </c>
      <c r="L104" s="11">
        <v>230.76</v>
      </c>
      <c r="M104" s="11">
        <v>230.4</v>
      </c>
      <c r="N104" s="11">
        <v>203</v>
      </c>
      <c r="O104" s="11">
        <v>258</v>
      </c>
      <c r="P104" s="11">
        <v>113.7</v>
      </c>
      <c r="Q104" s="11">
        <v>120.04</v>
      </c>
      <c r="R104" s="25">
        <f>Oranlar!Y104</f>
        <v>0.17287630402384502</v>
      </c>
      <c r="S104" s="26">
        <f>-Oranlar!O104</f>
        <v>-12.5</v>
      </c>
      <c r="T104" s="26">
        <f>-Oranlar!I104</f>
        <v>-9.5</v>
      </c>
      <c r="U104" s="27">
        <f>Oranlar!V104</f>
        <v>226.5</v>
      </c>
      <c r="V104" s="27">
        <f>Oranlar!L104</f>
        <v>227.5</v>
      </c>
      <c r="W104" s="28">
        <f>(U104+S104)/2</f>
        <v>107.0</v>
      </c>
      <c r="X104" s="28">
        <f>(U104-S104)/2</f>
        <v>119.5</v>
      </c>
      <c r="Y104" s="16">
        <f>IF(G104=0.5,"",IF((G104&gt;0.5)=(E104&gt;0),1,0))</f>
        <v>1</v>
      </c>
      <c r="Z104" s="16">
        <f>IF(R104=0.5,"",IF((R104&gt;0.5)=(E104&gt;0),1,0))</f>
        <v>1</v>
      </c>
      <c r="AA104" s="29">
        <f>(G104-IF(E104&gt;0,1,0))^2</f>
        <v>0.07507600000000002</v>
      </c>
      <c r="AB104" s="29">
        <f>(R104-IF(E104&gt;0,1,0))^2</f>
        <v>0.029886216492944893</v>
      </c>
      <c r="AC104" s="28">
        <f>ABS(H104-E104)</f>
        <v>0.1299999999999999</v>
      </c>
      <c r="AD104" s="28">
        <f>ABS(I104-E104)</f>
        <v>0.20000000000000018</v>
      </c>
      <c r="AE104" s="28">
        <f>ABS(S104-E104)</f>
        <v>5.5</v>
      </c>
      <c r="AF104" s="28">
        <f>ABS(L104-F104)</f>
        <v>8.240000000000009</v>
      </c>
      <c r="AG104" s="28">
        <f>ABS(M104-F104)</f>
        <v>8.599999999999994</v>
      </c>
      <c r="AH104" s="28">
        <f>ABS(U104-F104)</f>
        <v>12.5</v>
      </c>
      <c r="AI104" s="28">
        <f>ABS(P104-C104)</f>
        <v>2.299999999999997</v>
      </c>
      <c r="AJ104" s="28">
        <f>ABS(W104-C104)</f>
        <v>9.0</v>
      </c>
      <c r="AK104" s="28">
        <f>ABS(Q104-D104)</f>
        <v>2.9599999999999937</v>
      </c>
      <c r="AL104" s="28">
        <f>ABS(X104-D104)</f>
        <v>3.5</v>
      </c>
      <c r="AM104" s="17" t="str">
        <f>IF(H104&gt;S104,"Ev",IF(H104&lt;S104,"Dep",""))</f>
        <v>Ev</v>
      </c>
      <c r="AN104" s="17" t="str">
        <f>IF(AM104="","",IF(E104=S104,"Push",IF((E104&gt;S104)=(AM104="Ev"),"Kazandı","Kaybetti")))</f>
        <v>Kazandı</v>
      </c>
      <c r="AO104" s="30">
        <f>IF(AM104="","",IF(AN104="Push",0,IF(AN104="Kazandı",IF(AM104="Ev",Oranlar!P104,Oranlar!Q104)-1,-1)))</f>
        <v>0.9090909090909092</v>
      </c>
      <c r="AP104" s="17" t="str">
        <f>IF(L104&gt;U104,"Üst",IF(L104&lt;U104,"Alt",""))</f>
        <v>Üst</v>
      </c>
      <c r="AQ104" s="17" t="str">
        <f>IF(AP104="","",IF(F104=U104,"Push",IF((F104&gt;U104)=(AP104="Üst"),"Kazandı","Kaybetti")))</f>
        <v>Kazandı</v>
      </c>
      <c r="AR104" s="30">
        <f>IF(AP104="","",IF(AQ104="Push",0,IF(AQ104="Kazandı",IF(AP104="Üst",Oranlar!W104,Oranlar!X104)-1,-1)))</f>
        <v>0.9090909090909092</v>
      </c>
      <c r="AS104" s="17" t="str">
        <f>IF(G104*Oranlar!R104&gt;1,"Ev",IF((1-G104)*Oranlar!S104&gt;1,"Dep",""))</f>
        <v>Ev</v>
      </c>
      <c r="AT104" s="30">
        <f>IF(AS104="","",IF((AS104="Ev")=(E104&gt;0),IF(AS104="Ev",Oranlar!R104,Oranlar!S104)-1,-1))</f>
        <v>-1.0</v>
      </c>
      <c r="AU104" s="16">
        <f>IF(OR(H104=T104,S104=T104),"",IF((H104&gt;T104)=(S104&gt;T104),1,0))</f>
        <v>0</v>
      </c>
      <c r="AV104" s="16">
        <f>IF(OR(L104=V104,U104=V104),"",IF((L104&gt;V104)=(U104&gt;V104),1,0))</f>
        <v>0</v>
      </c>
      <c r="AW104" s="16">
        <f>IF(AND(E104&gt;=J104,E104&lt;=K104),1,0)</f>
        <v>1</v>
      </c>
      <c r="AX104" s="16">
        <f>IF(AND(F104&gt;=N104,F104&lt;=O104),1,0)</f>
        <v>1</v>
      </c>
    </row>
    <row r="105" spans="1:50">
      <c r="A105" s="21">
        <f>Oranlar!A105</f>
        <v>46098</v>
      </c>
      <c r="B105" s="22" t="str">
        <f>Oranlar!C105&amp;" @ "&amp;Oranlar!D105</f>
        <v>PHX @ MIN</v>
      </c>
      <c r="C105" s="23">
        <f>Oranlar!F105</f>
        <v>116</v>
      </c>
      <c r="D105" s="23">
        <f>Oranlar!E105</f>
        <v>104</v>
      </c>
      <c r="E105" s="15">
        <f>C105-D105</f>
        <v>12</v>
      </c>
      <c r="F105" s="16">
        <f>C105+D105</f>
        <v>220</v>
      </c>
      <c r="G105" s="24">
        <v>0.457</v>
      </c>
      <c r="H105" s="10">
        <v>-2.7</v>
      </c>
      <c r="I105" s="10">
        <v>-1.3</v>
      </c>
      <c r="J105" s="10">
        <v>-19</v>
      </c>
      <c r="K105" s="10">
        <v>17</v>
      </c>
      <c r="L105" s="11">
        <v>225.7</v>
      </c>
      <c r="M105" s="11">
        <v>225.5</v>
      </c>
      <c r="N105" s="11">
        <v>198</v>
      </c>
      <c r="O105" s="11">
        <v>252</v>
      </c>
      <c r="P105" s="11">
        <v>110.85</v>
      </c>
      <c r="Q105" s="11">
        <v>113.5</v>
      </c>
      <c r="R105" s="25">
        <f>Oranlar!Y105</f>
        <v>0.6037569709421778</v>
      </c>
      <c r="S105" s="26">
        <f>-Oranlar!O105</f>
        <v>3.5</v>
      </c>
      <c r="T105" s="26">
        <f>-Oranlar!I105</f>
        <v>4.5</v>
      </c>
      <c r="U105" s="27">
        <f>Oranlar!V105</f>
        <v>221.5</v>
      </c>
      <c r="V105" s="27">
        <f>Oranlar!L105</f>
        <v>221.5</v>
      </c>
      <c r="W105" s="28">
        <f>(U105+S105)/2</f>
        <v>112.5</v>
      </c>
      <c r="X105" s="28">
        <f>(U105-S105)/2</f>
        <v>109.0</v>
      </c>
      <c r="Y105" s="16">
        <f>IF(G105=0.5,"",IF((G105&gt;0.5)=(E105&gt;0),1,0))</f>
        <v>0</v>
      </c>
      <c r="Z105" s="16">
        <f>IF(R105=0.5,"",IF((R105&gt;0.5)=(E105&gt;0),1,0))</f>
        <v>1</v>
      </c>
      <c r="AA105" s="29">
        <f>(G105-IF(E105&gt;0,1,0))^2</f>
        <v>0.2948489999999999</v>
      </c>
      <c r="AB105" s="29">
        <f>(R105-IF(E105&gt;0,1,0))^2</f>
        <v>0.15700853807691809</v>
      </c>
      <c r="AC105" s="28">
        <f>ABS(H105-E105)</f>
        <v>14.7</v>
      </c>
      <c r="AD105" s="28">
        <f>ABS(I105-E105)</f>
        <v>13.3</v>
      </c>
      <c r="AE105" s="28">
        <f>ABS(S105-E105)</f>
        <v>8.5</v>
      </c>
      <c r="AF105" s="28">
        <f>ABS(L105-F105)</f>
        <v>5.699999999999989</v>
      </c>
      <c r="AG105" s="28">
        <f>ABS(M105-F105)</f>
        <v>5.5</v>
      </c>
      <c r="AH105" s="28">
        <f>ABS(U105-F105)</f>
        <v>1.5</v>
      </c>
      <c r="AI105" s="28">
        <f>ABS(P105-C105)</f>
        <v>5.150000000000006</v>
      </c>
      <c r="AJ105" s="28">
        <f>ABS(W105-C105)</f>
        <v>3.5</v>
      </c>
      <c r="AK105" s="28">
        <f>ABS(Q105-D105)</f>
        <v>9.5</v>
      </c>
      <c r="AL105" s="28">
        <f>ABS(X105-D105)</f>
        <v>5.0</v>
      </c>
      <c r="AM105" s="17" t="str">
        <f>IF(H105&gt;S105,"Ev",IF(H105&lt;S105,"Dep",""))</f>
        <v>Dep</v>
      </c>
      <c r="AN105" s="17" t="str">
        <f>IF(AM105="","",IF(E105=S105,"Push",IF((E105&gt;S105)=(AM105="Ev"),"Kazandı","Kaybetti")))</f>
        <v>Kaybetti</v>
      </c>
      <c r="AO105" s="30">
        <f>IF(AM105="","",IF(AN105="Push",0,IF(AN105="Kazandı",IF(AM105="Ev",Oranlar!P105,Oranlar!Q105)-1,-1)))</f>
        <v>-1.0</v>
      </c>
      <c r="AP105" s="17" t="str">
        <f>IF(L105&gt;U105,"Üst",IF(L105&lt;U105,"Alt",""))</f>
        <v>Üst</v>
      </c>
      <c r="AQ105" s="17" t="str">
        <f>IF(AP105="","",IF(F105=U105,"Push",IF((F105&gt;U105)=(AP105="Üst"),"Kazandı","Kaybetti")))</f>
        <v>Kaybetti</v>
      </c>
      <c r="AR105" s="30">
        <f>IF(AP105="","",IF(AQ105="Push",0,IF(AQ105="Kazandı",IF(AP105="Üst",Oranlar!W105,Oranlar!X105)-1,-1)))</f>
        <v>-1.0</v>
      </c>
      <c r="AS105" s="17" t="str">
        <f>IF(G105*Oranlar!R105&gt;1,"Ev",IF((1-G105)*Oranlar!S105&gt;1,"Dep",""))</f>
        <v>Dep</v>
      </c>
      <c r="AT105" s="30">
        <f>IF(AS105="","",IF((AS105="Ev")=(E105&gt;0),IF(AS105="Ev",Oranlar!R105,Oranlar!S105)-1,-1))</f>
        <v>-1.0</v>
      </c>
      <c r="AU105" s="16">
        <f>IF(OR(H105=T105,S105=T105),"",IF((H105&gt;T105)=(S105&gt;T105),1,0))</f>
        <v>1</v>
      </c>
      <c r="AV105" s="16">
        <f>IF(OR(L105=V105,U105=V105),"",IF((L105&gt;V105)=(U105&gt;V105),1,0))</f>
        <v/>
      </c>
      <c r="AW105" s="16">
        <f>IF(AND(E105&gt;=J105,E105&lt;=K105),1,0)</f>
        <v>1</v>
      </c>
      <c r="AX105" s="16">
        <f>IF(AND(F105&gt;=N105,F105&lt;=O105),1,0)</f>
        <v>1</v>
      </c>
    </row>
    <row r="106" spans="1:50">
      <c r="A106" s="21">
        <f>Oranlar!A106</f>
        <v>46098</v>
      </c>
      <c r="B106" s="22" t="str">
        <f>Oranlar!C106&amp;" @ "&amp;Oranlar!D106</f>
        <v>PHI @ DEN</v>
      </c>
      <c r="C106" s="23">
        <f>Oranlar!F106</f>
        <v>124</v>
      </c>
      <c r="D106" s="23">
        <f>Oranlar!E106</f>
        <v>96</v>
      </c>
      <c r="E106" s="15">
        <f>C106-D106</f>
        <v>28</v>
      </c>
      <c r="F106" s="16">
        <f>C106+D106</f>
        <v>220</v>
      </c>
      <c r="G106" s="24">
        <v>0.8</v>
      </c>
      <c r="H106" s="10">
        <v>16.87</v>
      </c>
      <c r="I106" s="10">
        <v>12.6</v>
      </c>
      <c r="J106" s="10">
        <v>-6</v>
      </c>
      <c r="K106" s="10">
        <v>31</v>
      </c>
      <c r="L106" s="11">
        <v>232.16</v>
      </c>
      <c r="M106" s="11">
        <v>231.1</v>
      </c>
      <c r="N106" s="11">
        <v>204</v>
      </c>
      <c r="O106" s="11">
        <v>258</v>
      </c>
      <c r="P106" s="11">
        <v>121.21</v>
      </c>
      <c r="Q106" s="11">
        <v>110.85</v>
      </c>
      <c r="R106" s="25">
        <f>Oranlar!Y106</f>
        <v>0.8869565217391304</v>
      </c>
      <c r="S106" s="26">
        <f>-Oranlar!O106</f>
        <v>15.5</v>
      </c>
      <c r="T106" s="26">
        <f>-Oranlar!I106</f>
        <v>15.5</v>
      </c>
      <c r="U106" s="27">
        <f>Oranlar!V106</f>
        <v>235.5</v>
      </c>
      <c r="V106" s="27">
        <f>Oranlar!L106</f>
        <v>232.5</v>
      </c>
      <c r="W106" s="28">
        <f>(U106+S106)/2</f>
        <v>125.5</v>
      </c>
      <c r="X106" s="28">
        <f>(U106-S106)/2</f>
        <v>110.0</v>
      </c>
      <c r="Y106" s="16">
        <f>IF(G106=0.5,"",IF((G106&gt;0.5)=(E106&gt;0),1,0))</f>
        <v>1</v>
      </c>
      <c r="Z106" s="16">
        <f>IF(R106=0.5,"",IF((R106&gt;0.5)=(E106&gt;0),1,0))</f>
        <v>1</v>
      </c>
      <c r="AA106" s="29">
        <f>(G106-IF(E106&gt;0,1,0))^2</f>
        <v>0.03999999999999998</v>
      </c>
      <c r="AB106" s="29">
        <f>(R106-IF(E106&gt;0,1,0))^2</f>
        <v>0.012778827977315693</v>
      </c>
      <c r="AC106" s="28">
        <f>ABS(H106-E106)</f>
        <v>11.129999999999999</v>
      </c>
      <c r="AD106" s="28">
        <f>ABS(I106-E106)</f>
        <v>15.4</v>
      </c>
      <c r="AE106" s="28">
        <f>ABS(S106-E106)</f>
        <v>12.5</v>
      </c>
      <c r="AF106" s="28">
        <f>ABS(L106-F106)</f>
        <v>12.159999999999997</v>
      </c>
      <c r="AG106" s="28">
        <f>ABS(M106-F106)</f>
        <v>11.099999999999994</v>
      </c>
      <c r="AH106" s="28">
        <f>ABS(U106-F106)</f>
        <v>15.5</v>
      </c>
      <c r="AI106" s="28">
        <f>ABS(P106-C106)</f>
        <v>2.7900000000000063</v>
      </c>
      <c r="AJ106" s="28">
        <f>ABS(W106-C106)</f>
        <v>1.5</v>
      </c>
      <c r="AK106" s="28">
        <f>ABS(Q106-D106)</f>
        <v>14.849999999999994</v>
      </c>
      <c r="AL106" s="28">
        <f>ABS(X106-D106)</f>
        <v>14.0</v>
      </c>
      <c r="AM106" s="17" t="str">
        <f>IF(H106&gt;S106,"Ev",IF(H106&lt;S106,"Dep",""))</f>
        <v>Ev</v>
      </c>
      <c r="AN106" s="17" t="str">
        <f>IF(AM106="","",IF(E106=S106,"Push",IF((E106&gt;S106)=(AM106="Ev"),"Kazandı","Kaybetti")))</f>
        <v>Kazandı</v>
      </c>
      <c r="AO106" s="30">
        <f>IF(AM106="","",IF(AN106="Push",0,IF(AN106="Kazandı",IF(AM106="Ev",Oranlar!P106,Oranlar!Q106)-1,-1)))</f>
        <v>0.9523809523809523</v>
      </c>
      <c r="AP106" s="17" t="str">
        <f>IF(L106&gt;U106,"Üst",IF(L106&lt;U106,"Alt",""))</f>
        <v>Alt</v>
      </c>
      <c r="AQ106" s="17" t="str">
        <f>IF(AP106="","",IF(F106=U106,"Push",IF((F106&gt;U106)=(AP106="Üst"),"Kazandı","Kaybetti")))</f>
        <v>Kazandı</v>
      </c>
      <c r="AR106" s="30">
        <f>IF(AP106="","",IF(AQ106="Push",0,IF(AQ106="Kazandı",IF(AP106="Üst",Oranlar!W106,Oranlar!X106)-1,-1)))</f>
        <v>0.9523809523809523</v>
      </c>
      <c r="AS106" s="17" t="str">
        <f>IF(G106*Oranlar!R106&gt;1,"Ev",IF((1-G106)*Oranlar!S106&gt;1,"Dep",""))</f>
        <v>Dep</v>
      </c>
      <c r="AT106" s="30">
        <f>IF(AS106="","",IF((AS106="Ev")=(E106&gt;0),IF(AS106="Ev",Oranlar!R106,Oranlar!S106)-1,-1))</f>
        <v>-1.0</v>
      </c>
      <c r="AU106" s="16">
        <f>IF(OR(H106=T106,S106=T106),"",IF((H106&gt;T106)=(S106&gt;T106),1,0))</f>
        <v/>
      </c>
      <c r="AV106" s="16">
        <f>IF(OR(L106=V106,U106=V106),"",IF((L106&gt;V106)=(U106&gt;V106),1,0))</f>
        <v>0</v>
      </c>
      <c r="AW106" s="16">
        <f>IF(AND(E106&gt;=J106,E106&lt;=K106),1,0)</f>
        <v>1</v>
      </c>
      <c r="AX106" s="16">
        <f>IF(AND(F106&gt;=N106,F106&lt;=O106),1,0)</f>
        <v>1</v>
      </c>
    </row>
    <row r="107" spans="1:50">
      <c r="A107" s="21">
        <f>Oranlar!A107</f>
        <v>46098</v>
      </c>
      <c r="B107" s="22" t="str">
        <f>Oranlar!C107&amp;" @ "&amp;Oranlar!D107</f>
        <v>SAS @ SAC</v>
      </c>
      <c r="C107" s="23">
        <f>Oranlar!F107</f>
        <v>104</v>
      </c>
      <c r="D107" s="23">
        <f>Oranlar!E107</f>
        <v>132</v>
      </c>
      <c r="E107" s="15">
        <f>C107-D107</f>
        <v>-28</v>
      </c>
      <c r="F107" s="16">
        <f>C107+D107</f>
        <v>236</v>
      </c>
      <c r="G107" s="24">
        <v>0.341</v>
      </c>
      <c r="H107" s="10">
        <v>-8.59</v>
      </c>
      <c r="I107" s="10">
        <v>-7.8</v>
      </c>
      <c r="J107" s="10">
        <v>-26</v>
      </c>
      <c r="K107" s="10">
        <v>11</v>
      </c>
      <c r="L107" s="11">
        <v>235.88</v>
      </c>
      <c r="M107" s="11">
        <v>233.4</v>
      </c>
      <c r="N107" s="11">
        <v>206</v>
      </c>
      <c r="O107" s="11">
        <v>261</v>
      </c>
      <c r="P107" s="11">
        <v>113.84</v>
      </c>
      <c r="Q107" s="11">
        <v>122.15</v>
      </c>
      <c r="R107" s="25">
        <f>Oranlar!Y107</f>
        <v>0.14205607476635515</v>
      </c>
      <c r="S107" s="26">
        <f>-Oranlar!O107</f>
        <v>-13.5</v>
      </c>
      <c r="T107" s="26">
        <f>-Oranlar!I107</f>
        <v>-14.5</v>
      </c>
      <c r="U107" s="27">
        <f>Oranlar!V107</f>
        <v>233.5</v>
      </c>
      <c r="V107" s="27">
        <f>Oranlar!L107</f>
        <v>232.5</v>
      </c>
      <c r="W107" s="28">
        <f>(U107+S107)/2</f>
        <v>110.0</v>
      </c>
      <c r="X107" s="28">
        <f>(U107-S107)/2</f>
        <v>123.5</v>
      </c>
      <c r="Y107" s="16">
        <f>IF(G107=0.5,"",IF((G107&gt;0.5)=(E107&gt;0),1,0))</f>
        <v>1</v>
      </c>
      <c r="Z107" s="16">
        <f>IF(R107=0.5,"",IF((R107&gt;0.5)=(E107&gt;0),1,0))</f>
        <v>1</v>
      </c>
      <c r="AA107" s="29">
        <f>(G107-IF(E107&gt;0,1,0))^2</f>
        <v>0.11628100000000002</v>
      </c>
      <c r="AB107" s="29">
        <f>(R107-IF(E107&gt;0,1,0))^2</f>
        <v>0.020179928378024285</v>
      </c>
      <c r="AC107" s="28">
        <f>ABS(H107-E107)</f>
        <v>19.41</v>
      </c>
      <c r="AD107" s="28">
        <f>ABS(I107-E107)</f>
        <v>20.2</v>
      </c>
      <c r="AE107" s="28">
        <f>ABS(S107-E107)</f>
        <v>14.5</v>
      </c>
      <c r="AF107" s="28">
        <f>ABS(L107-F107)</f>
        <v>0.12000000000000455</v>
      </c>
      <c r="AG107" s="28">
        <f>ABS(M107-F107)</f>
        <v>2.5999999999999943</v>
      </c>
      <c r="AH107" s="28">
        <f>ABS(U107-F107)</f>
        <v>2.5</v>
      </c>
      <c r="AI107" s="28">
        <f>ABS(P107-C107)</f>
        <v>9.840000000000003</v>
      </c>
      <c r="AJ107" s="28">
        <f>ABS(W107-C107)</f>
        <v>6.0</v>
      </c>
      <c r="AK107" s="28">
        <f>ABS(Q107-D107)</f>
        <v>9.849999999999994</v>
      </c>
      <c r="AL107" s="28">
        <f>ABS(X107-D107)</f>
        <v>8.5</v>
      </c>
      <c r="AM107" s="17" t="str">
        <f>IF(H107&gt;S107,"Ev",IF(H107&lt;S107,"Dep",""))</f>
        <v>Ev</v>
      </c>
      <c r="AN107" s="17" t="str">
        <f>IF(AM107="","",IF(E107=S107,"Push",IF((E107&gt;S107)=(AM107="Ev"),"Kazandı","Kaybetti")))</f>
        <v>Kaybetti</v>
      </c>
      <c r="AO107" s="30">
        <f>IF(AM107="","",IF(AN107="Push",0,IF(AN107="Kazandı",IF(AM107="Ev",Oranlar!P107,Oranlar!Q107)-1,-1)))</f>
        <v>-1.0</v>
      </c>
      <c r="AP107" s="17" t="str">
        <f>IF(L107&gt;U107,"Üst",IF(L107&lt;U107,"Alt",""))</f>
        <v>Üst</v>
      </c>
      <c r="AQ107" s="17" t="str">
        <f>IF(AP107="","",IF(F107=U107,"Push",IF((F107&gt;U107)=(AP107="Üst"),"Kazandı","Kaybetti")))</f>
        <v>Kazandı</v>
      </c>
      <c r="AR107" s="30">
        <f>IF(AP107="","",IF(AQ107="Push",0,IF(AQ107="Kazandı",IF(AP107="Üst",Oranlar!W107,Oranlar!X107)-1,-1)))</f>
        <v>0.925925925925926</v>
      </c>
      <c r="AS107" s="17" t="str">
        <f>IF(G107*Oranlar!R107&gt;1,"Ev",IF((1-G107)*Oranlar!S107&gt;1,"Dep",""))</f>
        <v>Ev</v>
      </c>
      <c r="AT107" s="30">
        <f>IF(AS107="","",IF((AS107="Ev")=(E107&gt;0),IF(AS107="Ev",Oranlar!R107,Oranlar!S107)-1,-1))</f>
        <v>-1.0</v>
      </c>
      <c r="AU107" s="16">
        <f>IF(OR(H107=T107,S107=T107),"",IF((H107&gt;T107)=(S107&gt;T107),1,0))</f>
        <v>1</v>
      </c>
      <c r="AV107" s="16">
        <f>IF(OR(L107=V107,U107=V107),"",IF((L107&gt;V107)=(U107&gt;V107),1,0))</f>
        <v>1</v>
      </c>
      <c r="AW107" s="16">
        <f>IF(AND(E107&gt;=J107,E107&lt;=K107),1,0)</f>
        <v>0</v>
      </c>
      <c r="AX107" s="16">
        <f>IF(AND(F107&gt;=N107,F107&lt;=O107),1,0)</f>
        <v>1</v>
      </c>
    </row>
    <row r="108" spans="1:50">
      <c r="A108" s="21">
        <f>Oranlar!A108</f>
        <v>46099</v>
      </c>
      <c r="B108" s="22" t="str">
        <f>Oranlar!C108&amp;" @ "&amp;Oranlar!D108</f>
        <v>DEN @ MEM</v>
      </c>
      <c r="C108" s="23">
        <f>Oranlar!F108</f>
        <v>125</v>
      </c>
      <c r="D108" s="23">
        <f>Oranlar!E108</f>
        <v>118</v>
      </c>
      <c r="E108" s="15">
        <f>C108-D108</f>
        <v>7</v>
      </c>
      <c r="F108" s="16">
        <f>C108+D108</f>
        <v>243</v>
      </c>
      <c r="G108" s="24">
        <v>0.286</v>
      </c>
      <c r="H108" s="10">
        <v>-5.27</v>
      </c>
      <c r="I108" s="10">
        <v>-5.9</v>
      </c>
      <c r="J108" s="10">
        <v>-24</v>
      </c>
      <c r="K108" s="10">
        <v>13</v>
      </c>
      <c r="L108" s="11">
        <v>236.37</v>
      </c>
      <c r="M108" s="11">
        <v>235.3</v>
      </c>
      <c r="N108" s="11">
        <v>207</v>
      </c>
      <c r="O108" s="11">
        <v>263</v>
      </c>
      <c r="P108" s="11">
        <v>116.25</v>
      </c>
      <c r="Q108" s="11">
        <v>122.34</v>
      </c>
      <c r="R108" s="25">
        <f>Oranlar!Y108</f>
        <v>0.15349887133182846</v>
      </c>
      <c r="S108" s="26">
        <f>-Oranlar!O108</f>
        <v>-12.5</v>
      </c>
      <c r="T108" s="26">
        <f>-Oranlar!I108</f>
        <v>-13.5</v>
      </c>
      <c r="U108" s="27">
        <f>Oranlar!V108</f>
        <v>246.5</v>
      </c>
      <c r="V108" s="27">
        <f>Oranlar!L108</f>
        <v>240.5</v>
      </c>
      <c r="W108" s="28">
        <f>(U108+S108)/2</f>
        <v>117.0</v>
      </c>
      <c r="X108" s="28">
        <f>(U108-S108)/2</f>
        <v>129.5</v>
      </c>
      <c r="Y108" s="16">
        <f>IF(G108=0.5,"",IF((G108&gt;0.5)=(E108&gt;0),1,0))</f>
        <v>0</v>
      </c>
      <c r="Z108" s="16">
        <f>IF(R108=0.5,"",IF((R108&gt;0.5)=(E108&gt;0),1,0))</f>
        <v>0</v>
      </c>
      <c r="AA108" s="29">
        <f>(G108-IF(E108&gt;0,1,0))^2</f>
        <v>0.5097959999999999</v>
      </c>
      <c r="AB108" s="29">
        <f>(R108-IF(E108&gt;0,1,0))^2</f>
        <v>0.7165641608364882</v>
      </c>
      <c r="AC108" s="28">
        <f>ABS(H108-E108)</f>
        <v>12.27</v>
      </c>
      <c r="AD108" s="28">
        <f>ABS(I108-E108)</f>
        <v>12.9</v>
      </c>
      <c r="AE108" s="28">
        <f>ABS(S108-E108)</f>
        <v>19.5</v>
      </c>
      <c r="AF108" s="28">
        <f>ABS(L108-F108)</f>
        <v>6.6299999999999955</v>
      </c>
      <c r="AG108" s="28">
        <f>ABS(M108-F108)</f>
        <v>7.699999999999989</v>
      </c>
      <c r="AH108" s="28">
        <f>ABS(U108-F108)</f>
        <v>3.5</v>
      </c>
      <c r="AI108" s="28">
        <f>ABS(P108-C108)</f>
        <v>8.75</v>
      </c>
      <c r="AJ108" s="28">
        <f>ABS(W108-C108)</f>
        <v>8.0</v>
      </c>
      <c r="AK108" s="28">
        <f>ABS(Q108-D108)</f>
        <v>4.340000000000003</v>
      </c>
      <c r="AL108" s="28">
        <f>ABS(X108-D108)</f>
        <v>11.5</v>
      </c>
      <c r="AM108" s="17" t="str">
        <f>IF(H108&gt;S108,"Ev",IF(H108&lt;S108,"Dep",""))</f>
        <v>Ev</v>
      </c>
      <c r="AN108" s="17" t="str">
        <f>IF(AM108="","",IF(E108=S108,"Push",IF((E108&gt;S108)=(AM108="Ev"),"Kazandı","Kaybetti")))</f>
        <v>Kazandı</v>
      </c>
      <c r="AO108" s="30">
        <f>IF(AM108="","",IF(AN108="Push",0,IF(AN108="Kazandı",IF(AM108="Ev",Oranlar!P108,Oranlar!Q108)-1,-1)))</f>
        <v>0.8928571428571428</v>
      </c>
      <c r="AP108" s="17" t="str">
        <f>IF(L108&gt;U108,"Üst",IF(L108&lt;U108,"Alt",""))</f>
        <v>Alt</v>
      </c>
      <c r="AQ108" s="17" t="str">
        <f>IF(AP108="","",IF(F108=U108,"Push",IF((F108&gt;U108)=(AP108="Üst"),"Kazandı","Kaybetti")))</f>
        <v>Kazandı</v>
      </c>
      <c r="AR108" s="30">
        <f>IF(AP108="","",IF(AQ108="Push",0,IF(AQ108="Kazandı",IF(AP108="Üst",Oranlar!W108,Oranlar!X108)-1,-1)))</f>
        <v>0.925925925925926</v>
      </c>
      <c r="AS108" s="17" t="str">
        <f>IF(G108*Oranlar!R108&gt;1,"Ev",IF((1-G108)*Oranlar!S108&gt;1,"Dep",""))</f>
        <v>Ev</v>
      </c>
      <c r="AT108" s="30">
        <f>IF(AS108="","",IF((AS108="Ev")=(E108&gt;0),IF(AS108="Ev",Oranlar!R108,Oranlar!S108)-1,-1))</f>
        <v>5.25</v>
      </c>
      <c r="AU108" s="16">
        <f>IF(OR(H108=T108,S108=T108),"",IF((H108&gt;T108)=(S108&gt;T108),1,0))</f>
        <v>1</v>
      </c>
      <c r="AV108" s="16">
        <f>IF(OR(L108=V108,U108=V108),"",IF((L108&gt;V108)=(U108&gt;V108),1,0))</f>
        <v>0</v>
      </c>
      <c r="AW108" s="16">
        <f>IF(AND(E108&gt;=J108,E108&lt;=K108),1,0)</f>
        <v>1</v>
      </c>
      <c r="AX108" s="16">
        <f>IF(AND(F108&gt;=N108,F108&lt;=O108),1,0)</f>
        <v>1</v>
      </c>
    </row>
    <row r="109" spans="1:50">
      <c r="A109" s="21">
        <f>Oranlar!A109</f>
        <v>46099</v>
      </c>
      <c r="B109" s="22" t="str">
        <f>Oranlar!C109&amp;" @ "&amp;Oranlar!D109</f>
        <v>GSW @ BOS</v>
      </c>
      <c r="C109" s="23">
        <f>Oranlar!F109</f>
        <v>120</v>
      </c>
      <c r="D109" s="23">
        <f>Oranlar!E109</f>
        <v>99</v>
      </c>
      <c r="E109" s="15">
        <f>C109-D109</f>
        <v>21</v>
      </c>
      <c r="F109" s="16">
        <f>C109+D109</f>
        <v>219</v>
      </c>
      <c r="G109" s="24">
        <v>0.754</v>
      </c>
      <c r="H109" s="10">
        <v>9.24</v>
      </c>
      <c r="I109" s="10">
        <v>12.3</v>
      </c>
      <c r="J109" s="10">
        <v>-6</v>
      </c>
      <c r="K109" s="10">
        <v>31</v>
      </c>
      <c r="L109" s="11">
        <v>231.13</v>
      </c>
      <c r="M109" s="11">
        <v>231.1</v>
      </c>
      <c r="N109" s="11">
        <v>204</v>
      </c>
      <c r="O109" s="11">
        <v>258</v>
      </c>
      <c r="P109" s="11">
        <v>119.94</v>
      </c>
      <c r="Q109" s="11">
        <v>110.21</v>
      </c>
      <c r="R109" s="25">
        <f>Oranlar!Y109</f>
        <v>0.827123695976155</v>
      </c>
      <c r="S109" s="26">
        <f>-Oranlar!O109</f>
        <v>11.5</v>
      </c>
      <c r="T109" s="26">
        <f>-Oranlar!I109</f>
        <v>12.5</v>
      </c>
      <c r="U109" s="27">
        <f>Oranlar!V109</f>
        <v>216.5</v>
      </c>
      <c r="V109" s="27">
        <f>Oranlar!L109</f>
        <v>214.5</v>
      </c>
      <c r="W109" s="28">
        <f>(U109+S109)/2</f>
        <v>114.0</v>
      </c>
      <c r="X109" s="28">
        <f>(U109-S109)/2</f>
        <v>102.5</v>
      </c>
      <c r="Y109" s="16">
        <f>IF(G109=0.5,"",IF((G109&gt;0.5)=(E109&gt;0),1,0))</f>
        <v>1</v>
      </c>
      <c r="Z109" s="16">
        <f>IF(R109=0.5,"",IF((R109&gt;0.5)=(E109&gt;0),1,0))</f>
        <v>1</v>
      </c>
      <c r="AA109" s="29">
        <f>(G109-IF(E109&gt;0,1,0))^2</f>
        <v>0.060516</v>
      </c>
      <c r="AB109" s="29">
        <f>(R109-IF(E109&gt;0,1,0))^2</f>
        <v>0.029886216492944893</v>
      </c>
      <c r="AC109" s="28">
        <f>ABS(H109-E109)</f>
        <v>11.76</v>
      </c>
      <c r="AD109" s="28">
        <f>ABS(I109-E109)</f>
        <v>8.7</v>
      </c>
      <c r="AE109" s="28">
        <f>ABS(S109-E109)</f>
        <v>9.5</v>
      </c>
      <c r="AF109" s="28">
        <f>ABS(L109-F109)</f>
        <v>12.129999999999995</v>
      </c>
      <c r="AG109" s="28">
        <f>ABS(M109-F109)</f>
        <v>12.099999999999994</v>
      </c>
      <c r="AH109" s="28">
        <f>ABS(U109-F109)</f>
        <v>2.5</v>
      </c>
      <c r="AI109" s="28">
        <f>ABS(P109-C109)</f>
        <v>0.060000000000002274</v>
      </c>
      <c r="AJ109" s="28">
        <f>ABS(W109-C109)</f>
        <v>6.0</v>
      </c>
      <c r="AK109" s="28">
        <f>ABS(Q109-D109)</f>
        <v>11.209999999999994</v>
      </c>
      <c r="AL109" s="28">
        <f>ABS(X109-D109)</f>
        <v>3.5</v>
      </c>
      <c r="AM109" s="17" t="str">
        <f>IF(H109&gt;S109,"Ev",IF(H109&lt;S109,"Dep",""))</f>
        <v>Dep</v>
      </c>
      <c r="AN109" s="17" t="str">
        <f>IF(AM109="","",IF(E109=S109,"Push",IF((E109&gt;S109)=(AM109="Ev"),"Kazandı","Kaybetti")))</f>
        <v>Kaybetti</v>
      </c>
      <c r="AO109" s="30">
        <f>IF(AM109="","",IF(AN109="Push",0,IF(AN109="Kazandı",IF(AM109="Ev",Oranlar!P109,Oranlar!Q109)-1,-1)))</f>
        <v>-1.0</v>
      </c>
      <c r="AP109" s="17" t="str">
        <f>IF(L109&gt;U109,"Üst",IF(L109&lt;U109,"Alt",""))</f>
        <v>Üst</v>
      </c>
      <c r="AQ109" s="17" t="str">
        <f>IF(AP109="","",IF(F109=U109,"Push",IF((F109&gt;U109)=(AP109="Üst"),"Kazandı","Kaybetti")))</f>
        <v>Kazandı</v>
      </c>
      <c r="AR109" s="30">
        <f>IF(AP109="","",IF(AQ109="Push",0,IF(AQ109="Kazandı",IF(AP109="Üst",Oranlar!W109,Oranlar!X109)-1,-1)))</f>
        <v>0.9090909090909092</v>
      </c>
      <c r="AS109" s="17" t="str">
        <f>IF(G109*Oranlar!R109&gt;1,"Ev",IF((1-G109)*Oranlar!S109&gt;1,"Dep",""))</f>
        <v>Dep</v>
      </c>
      <c r="AT109" s="30">
        <f>IF(AS109="","",IF((AS109="Ev")=(E109&gt;0),IF(AS109="Ev",Oranlar!R109,Oranlar!S109)-1,-1))</f>
        <v>-1.0</v>
      </c>
      <c r="AU109" s="16">
        <f>IF(OR(H109=T109,S109=T109),"",IF((H109&gt;T109)=(S109&gt;T109),1,0))</f>
        <v>1</v>
      </c>
      <c r="AV109" s="16">
        <f>IF(OR(L109=V109,U109=V109),"",IF((L109&gt;V109)=(U109&gt;V109),1,0))</f>
        <v>1</v>
      </c>
      <c r="AW109" s="16">
        <f>IF(AND(E109&gt;=J109,E109&lt;=K109),1,0)</f>
        <v>1</v>
      </c>
      <c r="AX109" s="16">
        <f>IF(AND(F109&gt;=N109,F109&lt;=O109),1,0)</f>
        <v>1</v>
      </c>
    </row>
    <row r="110" spans="1:50">
      <c r="A110" s="21">
        <f>Oranlar!A110</f>
        <v>46099</v>
      </c>
      <c r="B110" s="22" t="str">
        <f>Oranlar!C110&amp;" @ "&amp;Oranlar!D110</f>
        <v>OKC @ BKN</v>
      </c>
      <c r="C110" s="23">
        <f>Oranlar!F110</f>
        <v>92</v>
      </c>
      <c r="D110" s="23">
        <f>Oranlar!E110</f>
        <v>121</v>
      </c>
      <c r="E110" s="15">
        <f>C110-D110</f>
        <v>-29</v>
      </c>
      <c r="F110" s="16">
        <f>C110+D110</f>
        <v>213</v>
      </c>
      <c r="G110" s="24">
        <v>0.194</v>
      </c>
      <c r="H110" s="10">
        <v>-11.62</v>
      </c>
      <c r="I110" s="10">
        <v>-16.8</v>
      </c>
      <c r="J110" s="10">
        <v>-35</v>
      </c>
      <c r="K110" s="10">
        <v>1</v>
      </c>
      <c r="L110" s="11">
        <v>220.23</v>
      </c>
      <c r="M110" s="11">
        <v>220.6</v>
      </c>
      <c r="N110" s="11">
        <v>194</v>
      </c>
      <c r="O110" s="11">
        <v>247</v>
      </c>
      <c r="P110" s="11">
        <v>102.83</v>
      </c>
      <c r="Q110" s="11">
        <v>117.03</v>
      </c>
      <c r="R110" s="25">
        <f>Oranlar!Y110</f>
        <v>0.0741839762611276</v>
      </c>
      <c r="S110" s="26">
        <f>-Oranlar!O110</f>
        <v>-19.5</v>
      </c>
      <c r="T110" s="26">
        <f>-Oranlar!I110</f>
        <v>-19.5</v>
      </c>
      <c r="U110" s="27">
        <f>Oranlar!V110</f>
        <v>216.5</v>
      </c>
      <c r="V110" s="27">
        <f>Oranlar!L110</f>
        <v>215.5</v>
      </c>
      <c r="W110" s="28">
        <f>(U110+S110)/2</f>
        <v>98.5</v>
      </c>
      <c r="X110" s="28">
        <f>(U110-S110)/2</f>
        <v>118.0</v>
      </c>
      <c r="Y110" s="16">
        <f>IF(G110=0.5,"",IF((G110&gt;0.5)=(E110&gt;0),1,0))</f>
        <v>1</v>
      </c>
      <c r="Z110" s="16">
        <f>IF(R110=0.5,"",IF((R110&gt;0.5)=(E110&gt;0),1,0))</f>
        <v>1</v>
      </c>
      <c r="AA110" s="29">
        <f>(G110-IF(E110&gt;0,1,0))^2</f>
        <v>0.037636</v>
      </c>
      <c r="AB110" s="29">
        <f>(R110-IF(E110&gt;0,1,0))^2</f>
        <v>0.005503262333911544</v>
      </c>
      <c r="AC110" s="28">
        <f>ABS(H110-E110)</f>
        <v>17.380000000000003</v>
      </c>
      <c r="AD110" s="28">
        <f>ABS(I110-E110)</f>
        <v>12.2</v>
      </c>
      <c r="AE110" s="28">
        <f>ABS(S110-E110)</f>
        <v>9.5</v>
      </c>
      <c r="AF110" s="28">
        <f>ABS(L110-F110)</f>
        <v>7.22999999999999</v>
      </c>
      <c r="AG110" s="28">
        <f>ABS(M110-F110)</f>
        <v>7.599999999999994</v>
      </c>
      <c r="AH110" s="28">
        <f>ABS(U110-F110)</f>
        <v>3.5</v>
      </c>
      <c r="AI110" s="28">
        <f>ABS(P110-C110)</f>
        <v>10.829999999999998</v>
      </c>
      <c r="AJ110" s="28">
        <f>ABS(W110-C110)</f>
        <v>6.5</v>
      </c>
      <c r="AK110" s="28">
        <f>ABS(Q110-D110)</f>
        <v>3.969999999999999</v>
      </c>
      <c r="AL110" s="28">
        <f>ABS(X110-D110)</f>
        <v>3.0</v>
      </c>
      <c r="AM110" s="17" t="str">
        <f>IF(H110&gt;S110,"Ev",IF(H110&lt;S110,"Dep",""))</f>
        <v>Ev</v>
      </c>
      <c r="AN110" s="17" t="str">
        <f>IF(AM110="","",IF(E110=S110,"Push",IF((E110&gt;S110)=(AM110="Ev"),"Kazandı","Kaybetti")))</f>
        <v>Kaybetti</v>
      </c>
      <c r="AO110" s="30">
        <f>IF(AM110="","",IF(AN110="Push",0,IF(AN110="Kazandı",IF(AM110="Ev",Oranlar!P110,Oranlar!Q110)-1,-1)))</f>
        <v>-1.0</v>
      </c>
      <c r="AP110" s="17" t="str">
        <f>IF(L110&gt;U110,"Üst",IF(L110&lt;U110,"Alt",""))</f>
        <v>Üst</v>
      </c>
      <c r="AQ110" s="17" t="str">
        <f>IF(AP110="","",IF(F110=U110,"Push",IF((F110&gt;U110)=(AP110="Üst"),"Kazandı","Kaybetti")))</f>
        <v>Kaybetti</v>
      </c>
      <c r="AR110" s="30">
        <f>IF(AP110="","",IF(AQ110="Push",0,IF(AQ110="Kazandı",IF(AP110="Üst",Oranlar!W110,Oranlar!X110)-1,-1)))</f>
        <v>-1.0</v>
      </c>
      <c r="AS110" s="17" t="str">
        <f>IF(G110*Oranlar!R110&gt;1,"Ev",IF((1-G110)*Oranlar!S110&gt;1,"Dep",""))</f>
        <v>Ev</v>
      </c>
      <c r="AT110" s="30">
        <f>IF(AS110="","",IF((AS110="Ev")=(E110&gt;0),IF(AS110="Ev",Oranlar!R110,Oranlar!S110)-1,-1))</f>
        <v>-1.0</v>
      </c>
      <c r="AU110" s="16">
        <f>IF(OR(H110=T110,S110=T110),"",IF((H110&gt;T110)=(S110&gt;T110),1,0))</f>
        <v/>
      </c>
      <c r="AV110" s="16">
        <f>IF(OR(L110=V110,U110=V110),"",IF((L110&gt;V110)=(U110&gt;V110),1,0))</f>
        <v>1</v>
      </c>
      <c r="AW110" s="16">
        <f>IF(AND(E110&gt;=J110,E110&lt;=K110),1,0)</f>
        <v>1</v>
      </c>
      <c r="AX110" s="16">
        <f>IF(AND(F110&gt;=N110,F110&lt;=O110),1,0)</f>
        <v>1</v>
      </c>
    </row>
    <row r="111" spans="1:50">
      <c r="A111" s="21">
        <f>Oranlar!A111</f>
        <v>46099</v>
      </c>
      <c r="B111" s="22" t="str">
        <f>Oranlar!C111&amp;" @ "&amp;Oranlar!D111</f>
        <v>POR @ IND</v>
      </c>
      <c r="C111" s="23">
        <f>Oranlar!F111</f>
        <v>119</v>
      </c>
      <c r="D111" s="23">
        <f>Oranlar!E111</f>
        <v>127</v>
      </c>
      <c r="E111" s="15">
        <f>C111-D111</f>
        <v>-8</v>
      </c>
      <c r="F111" s="16">
        <f>C111+D111</f>
        <v>246</v>
      </c>
      <c r="G111" s="24">
        <v>0.327</v>
      </c>
      <c r="H111" s="10">
        <v>-5.11</v>
      </c>
      <c r="I111" s="10">
        <v>-8.800000000000001</v>
      </c>
      <c r="J111" s="10">
        <v>-27</v>
      </c>
      <c r="K111" s="10">
        <v>10</v>
      </c>
      <c r="L111" s="11">
        <v>228.67</v>
      </c>
      <c r="M111" s="11">
        <v>226.1</v>
      </c>
      <c r="N111" s="11">
        <v>199</v>
      </c>
      <c r="O111" s="11">
        <v>253</v>
      </c>
      <c r="P111" s="11">
        <v>110.43</v>
      </c>
      <c r="Q111" s="11">
        <v>118.76</v>
      </c>
      <c r="R111" s="25">
        <f>Oranlar!Y111</f>
        <v>0.16290068313189698</v>
      </c>
      <c r="S111" s="26">
        <f>-Oranlar!O111</f>
        <v>-11.5</v>
      </c>
      <c r="T111" s="26">
        <f>-Oranlar!I111</f>
        <v>-10.5</v>
      </c>
      <c r="U111" s="27">
        <f>Oranlar!V111</f>
        <v>233.5</v>
      </c>
      <c r="V111" s="27">
        <f>Oranlar!L111</f>
        <v>235.5</v>
      </c>
      <c r="W111" s="28">
        <f>(U111+S111)/2</f>
        <v>111.0</v>
      </c>
      <c r="X111" s="28">
        <f>(U111-S111)/2</f>
        <v>122.5</v>
      </c>
      <c r="Y111" s="16">
        <f>IF(G111=0.5,"",IF((G111&gt;0.5)=(E111&gt;0),1,0))</f>
        <v>1</v>
      </c>
      <c r="Z111" s="16">
        <f>IF(R111=0.5,"",IF((R111&gt;0.5)=(E111&gt;0),1,0))</f>
        <v>1</v>
      </c>
      <c r="AA111" s="29">
        <f>(G111-IF(E111&gt;0,1,0))^2</f>
        <v>0.10692900000000001</v>
      </c>
      <c r="AB111" s="29">
        <f>(R111-IF(E111&gt;0,1,0))^2</f>
        <v>0.026536632564838708</v>
      </c>
      <c r="AC111" s="28">
        <f>ABS(H111-E111)</f>
        <v>2.8899999999999997</v>
      </c>
      <c r="AD111" s="28">
        <f>ABS(I111-E111)</f>
        <v>0.8000000000000007</v>
      </c>
      <c r="AE111" s="28">
        <f>ABS(S111-E111)</f>
        <v>3.5</v>
      </c>
      <c r="AF111" s="28">
        <f>ABS(L111-F111)</f>
        <v>17.330000000000013</v>
      </c>
      <c r="AG111" s="28">
        <f>ABS(M111-F111)</f>
        <v>19.900000000000006</v>
      </c>
      <c r="AH111" s="28">
        <f>ABS(U111-F111)</f>
        <v>12.5</v>
      </c>
      <c r="AI111" s="28">
        <f>ABS(P111-C111)</f>
        <v>8.569999999999993</v>
      </c>
      <c r="AJ111" s="28">
        <f>ABS(W111-C111)</f>
        <v>8.0</v>
      </c>
      <c r="AK111" s="28">
        <f>ABS(Q111-D111)</f>
        <v>8.239999999999995</v>
      </c>
      <c r="AL111" s="28">
        <f>ABS(X111-D111)</f>
        <v>4.5</v>
      </c>
      <c r="AM111" s="17" t="str">
        <f>IF(H111&gt;S111,"Ev",IF(H111&lt;S111,"Dep",""))</f>
        <v>Ev</v>
      </c>
      <c r="AN111" s="17" t="str">
        <f>IF(AM111="","",IF(E111=S111,"Push",IF((E111&gt;S111)=(AM111="Ev"),"Kazandı","Kaybetti")))</f>
        <v>Kazandı</v>
      </c>
      <c r="AO111" s="30">
        <f>IF(AM111="","",IF(AN111="Push",0,IF(AN111="Kazandı",IF(AM111="Ev",Oranlar!P111,Oranlar!Q111)-1,-1)))</f>
        <v>0.925925925925926</v>
      </c>
      <c r="AP111" s="17" t="str">
        <f>IF(L111&gt;U111,"Üst",IF(L111&lt;U111,"Alt",""))</f>
        <v>Alt</v>
      </c>
      <c r="AQ111" s="17" t="str">
        <f>IF(AP111="","",IF(F111=U111,"Push",IF((F111&gt;U111)=(AP111="Üst"),"Kazandı","Kaybetti")))</f>
        <v>Kaybetti</v>
      </c>
      <c r="AR111" s="30">
        <f>IF(AP111="","",IF(AQ111="Push",0,IF(AQ111="Kazandı",IF(AP111="Üst",Oranlar!W111,Oranlar!X111)-1,-1)))</f>
        <v>-1.0</v>
      </c>
      <c r="AS111" s="17" t="str">
        <f>IF(G111*Oranlar!R111&gt;1,"Ev",IF((1-G111)*Oranlar!S111&gt;1,"Dep",""))</f>
        <v>Ev</v>
      </c>
      <c r="AT111" s="30">
        <f>IF(AS111="","",IF((AS111="Ev")=(E111&gt;0),IF(AS111="Ev",Oranlar!R111,Oranlar!S111)-1,-1))</f>
        <v>-1.0</v>
      </c>
      <c r="AU111" s="16">
        <f>IF(OR(H111=T111,S111=T111),"",IF((H111&gt;T111)=(S111&gt;T111),1,0))</f>
        <v>0</v>
      </c>
      <c r="AV111" s="16">
        <f>IF(OR(L111=V111,U111=V111),"",IF((L111&gt;V111)=(U111&gt;V111),1,0))</f>
        <v>1</v>
      </c>
      <c r="AW111" s="16">
        <f>IF(AND(E111&gt;=J111,E111&lt;=K111),1,0)</f>
        <v>1</v>
      </c>
      <c r="AX111" s="16">
        <f>IF(AND(F111&gt;=N111,F111&lt;=O111),1,0)</f>
        <v>1</v>
      </c>
    </row>
    <row r="112" spans="1:50">
      <c r="A112" s="21">
        <f>Oranlar!A112</f>
        <v>46099</v>
      </c>
      <c r="B112" s="22" t="str">
        <f>Oranlar!C112&amp;" @ "&amp;Oranlar!D112</f>
        <v>TOR @ CHI</v>
      </c>
      <c r="C112" s="23">
        <f>Oranlar!F112</f>
        <v>109</v>
      </c>
      <c r="D112" s="23">
        <f>Oranlar!E112</f>
        <v>139</v>
      </c>
      <c r="E112" s="15">
        <f>C112-D112</f>
        <v>-30</v>
      </c>
      <c r="F112" s="16">
        <f>C112+D112</f>
        <v>248</v>
      </c>
      <c r="G112" s="24">
        <v>0.519</v>
      </c>
      <c r="H112" s="10">
        <v>1.82</v>
      </c>
      <c r="I112" s="10">
        <v>-1.9</v>
      </c>
      <c r="J112" s="10">
        <v>-20</v>
      </c>
      <c r="K112" s="10">
        <v>17</v>
      </c>
      <c r="L112" s="11">
        <v>230.38</v>
      </c>
      <c r="M112" s="11">
        <v>235.4</v>
      </c>
      <c r="N112" s="11">
        <v>207</v>
      </c>
      <c r="O112" s="11">
        <v>263</v>
      </c>
      <c r="P112" s="11">
        <v>114.67</v>
      </c>
      <c r="Q112" s="11">
        <v>116.5</v>
      </c>
      <c r="R112" s="25">
        <f>Oranlar!Y112</f>
        <v>0.28644876973925815</v>
      </c>
      <c r="S112" s="26">
        <f>-Oranlar!O112</f>
        <v>-7.5</v>
      </c>
      <c r="T112" s="26">
        <f>-Oranlar!I112</f>
        <v>-7.5</v>
      </c>
      <c r="U112" s="27">
        <f>Oranlar!V112</f>
        <v>237.5</v>
      </c>
      <c r="V112" s="27">
        <f>Oranlar!L112</f>
        <v>234.5</v>
      </c>
      <c r="W112" s="28">
        <f>(U112+S112)/2</f>
        <v>115.0</v>
      </c>
      <c r="X112" s="28">
        <f>(U112-S112)/2</f>
        <v>122.5</v>
      </c>
      <c r="Y112" s="16">
        <f>IF(G112=0.5,"",IF((G112&gt;0.5)=(E112&gt;0),1,0))</f>
        <v>0</v>
      </c>
      <c r="Z112" s="16">
        <f>IF(R112=0.5,"",IF((R112&gt;0.5)=(E112&gt;0),1,0))</f>
        <v>1</v>
      </c>
      <c r="AA112" s="29">
        <f>(G112-IF(E112&gt;0,1,0))^2</f>
        <v>0.269361</v>
      </c>
      <c r="AB112" s="29">
        <f>(R112-IF(E112&gt;0,1,0))^2</f>
        <v>0.08205289768513453</v>
      </c>
      <c r="AC112" s="28">
        <f>ABS(H112-E112)</f>
        <v>31.82</v>
      </c>
      <c r="AD112" s="28">
        <f>ABS(I112-E112)</f>
        <v>28.1</v>
      </c>
      <c r="AE112" s="28">
        <f>ABS(S112-E112)</f>
        <v>22.5</v>
      </c>
      <c r="AF112" s="28">
        <f>ABS(L112-F112)</f>
        <v>17.620000000000005</v>
      </c>
      <c r="AG112" s="28">
        <f>ABS(M112-F112)</f>
        <v>12.599999999999994</v>
      </c>
      <c r="AH112" s="28">
        <f>ABS(U112-F112)</f>
        <v>10.5</v>
      </c>
      <c r="AI112" s="28">
        <f>ABS(P112-C112)</f>
        <v>5.670000000000002</v>
      </c>
      <c r="AJ112" s="28">
        <f>ABS(W112-C112)</f>
        <v>6.0</v>
      </c>
      <c r="AK112" s="28">
        <f>ABS(Q112-D112)</f>
        <v>22.5</v>
      </c>
      <c r="AL112" s="28">
        <f>ABS(X112-D112)</f>
        <v>16.5</v>
      </c>
      <c r="AM112" s="17" t="str">
        <f>IF(H112&gt;S112,"Ev",IF(H112&lt;S112,"Dep",""))</f>
        <v>Ev</v>
      </c>
      <c r="AN112" s="17" t="str">
        <f>IF(AM112="","",IF(E112=S112,"Push",IF((E112&gt;S112)=(AM112="Ev"),"Kazandı","Kaybetti")))</f>
        <v>Kaybetti</v>
      </c>
      <c r="AO112" s="30">
        <f>IF(AM112="","",IF(AN112="Push",0,IF(AN112="Kazandı",IF(AM112="Ev",Oranlar!P112,Oranlar!Q112)-1,-1)))</f>
        <v>-1.0</v>
      </c>
      <c r="AP112" s="17" t="str">
        <f>IF(L112&gt;U112,"Üst",IF(L112&lt;U112,"Alt",""))</f>
        <v>Alt</v>
      </c>
      <c r="AQ112" s="17" t="str">
        <f>IF(AP112="","",IF(F112=U112,"Push",IF((F112&gt;U112)=(AP112="Üst"),"Kazandı","Kaybetti")))</f>
        <v>Kaybetti</v>
      </c>
      <c r="AR112" s="30">
        <f>IF(AP112="","",IF(AQ112="Push",0,IF(AQ112="Kazandı",IF(AP112="Üst",Oranlar!W112,Oranlar!X112)-1,-1)))</f>
        <v>-1.0</v>
      </c>
      <c r="AS112" s="17" t="str">
        <f>IF(G112*Oranlar!R112&gt;1,"Ev",IF((1-G112)*Oranlar!S112&gt;1,"Dep",""))</f>
        <v>Ev</v>
      </c>
      <c r="AT112" s="30">
        <f>IF(AS112="","",IF((AS112="Ev")=(E112&gt;0),IF(AS112="Ev",Oranlar!R112,Oranlar!S112)-1,-1))</f>
        <v>-1.0</v>
      </c>
      <c r="AU112" s="16">
        <f>IF(OR(H112=T112,S112=T112),"",IF((H112&gt;T112)=(S112&gt;T112),1,0))</f>
        <v/>
      </c>
      <c r="AV112" s="16">
        <f>IF(OR(L112=V112,U112=V112),"",IF((L112&gt;V112)=(U112&gt;V112),1,0))</f>
        <v>0</v>
      </c>
      <c r="AW112" s="16">
        <f>IF(AND(E112&gt;=J112,E112&lt;=K112),1,0)</f>
        <v>0</v>
      </c>
      <c r="AX112" s="16">
        <f>IF(AND(F112&gt;=N112,F112&lt;=O112),1,0)</f>
        <v>1</v>
      </c>
    </row>
    <row r="113" spans="1:50">
      <c r="A113" s="21">
        <f>Oranlar!A113</f>
        <v>46099</v>
      </c>
      <c r="B113" s="22" t="str">
        <f>Oranlar!C113&amp;" @ "&amp;Oranlar!D113</f>
        <v>UTA @ MIN</v>
      </c>
      <c r="C113" s="23">
        <f>Oranlar!F113</f>
        <v>147</v>
      </c>
      <c r="D113" s="23">
        <f>Oranlar!E113</f>
        <v>111</v>
      </c>
      <c r="E113" s="15">
        <f>C113-D113</f>
        <v>36</v>
      </c>
      <c r="F113" s="16">
        <f>C113+D113</f>
        <v>258</v>
      </c>
      <c r="G113" s="24">
        <v>0.671</v>
      </c>
      <c r="H113" s="10">
        <v>5.43</v>
      </c>
      <c r="I113" s="10">
        <v>7.9</v>
      </c>
      <c r="J113" s="10">
        <v>-10</v>
      </c>
      <c r="K113" s="10">
        <v>27</v>
      </c>
      <c r="L113" s="11">
        <v>230.1</v>
      </c>
      <c r="M113" s="11">
        <v>228</v>
      </c>
      <c r="N113" s="11">
        <v>201</v>
      </c>
      <c r="O113" s="11">
        <v>255</v>
      </c>
      <c r="P113" s="11">
        <v>115.84</v>
      </c>
      <c r="Q113" s="11">
        <v>112.9</v>
      </c>
      <c r="R113" s="25">
        <f>Oranlar!Y113</f>
        <v>0.8524590163934427</v>
      </c>
      <c r="S113" s="26">
        <f>-Oranlar!O113</f>
        <v>12.5</v>
      </c>
      <c r="T113" s="26">
        <f>-Oranlar!I113</f>
        <v>12.5</v>
      </c>
      <c r="U113" s="27">
        <f>Oranlar!V113</f>
        <v>231.5</v>
      </c>
      <c r="V113" s="27">
        <f>Oranlar!L113</f>
        <v>234.5</v>
      </c>
      <c r="W113" s="28">
        <f>(U113+S113)/2</f>
        <v>122.0</v>
      </c>
      <c r="X113" s="28">
        <f>(U113-S113)/2</f>
        <v>109.5</v>
      </c>
      <c r="Y113" s="16">
        <f>IF(G113=0.5,"",IF((G113&gt;0.5)=(E113&gt;0),1,0))</f>
        <v>1</v>
      </c>
      <c r="Z113" s="16">
        <f>IF(R113=0.5,"",IF((R113&gt;0.5)=(E113&gt;0),1,0))</f>
        <v>1</v>
      </c>
      <c r="AA113" s="29">
        <f>(G113-IF(E113&gt;0,1,0))^2</f>
        <v>0.10824099999999998</v>
      </c>
      <c r="AB113" s="29">
        <f>(R113-IF(E113&gt;0,1,0))^2</f>
        <v>0.021768341843590416</v>
      </c>
      <c r="AC113" s="28">
        <f>ABS(H113-E113)</f>
        <v>30.57</v>
      </c>
      <c r="AD113" s="28">
        <f>ABS(I113-E113)</f>
        <v>28.1</v>
      </c>
      <c r="AE113" s="28">
        <f>ABS(S113-E113)</f>
        <v>23.5</v>
      </c>
      <c r="AF113" s="28">
        <f>ABS(L113-F113)</f>
        <v>27.900000000000006</v>
      </c>
      <c r="AG113" s="28">
        <f>ABS(M113-F113)</f>
        <v>30.0</v>
      </c>
      <c r="AH113" s="28">
        <f>ABS(U113-F113)</f>
        <v>26.5</v>
      </c>
      <c r="AI113" s="28">
        <f>ABS(P113-C113)</f>
        <v>31.159999999999997</v>
      </c>
      <c r="AJ113" s="28">
        <f>ABS(W113-C113)</f>
        <v>25.0</v>
      </c>
      <c r="AK113" s="28">
        <f>ABS(Q113-D113)</f>
        <v>1.9000000000000057</v>
      </c>
      <c r="AL113" s="28">
        <f>ABS(X113-D113)</f>
        <v>1.5</v>
      </c>
      <c r="AM113" s="17" t="str">
        <f>IF(H113&gt;S113,"Ev",IF(H113&lt;S113,"Dep",""))</f>
        <v>Dep</v>
      </c>
      <c r="AN113" s="17" t="str">
        <f>IF(AM113="","",IF(E113=S113,"Push",IF((E113&gt;S113)=(AM113="Ev"),"Kazandı","Kaybetti")))</f>
        <v>Kaybetti</v>
      </c>
      <c r="AO113" s="30">
        <f>IF(AM113="","",IF(AN113="Push",0,IF(AN113="Kazandı",IF(AM113="Ev",Oranlar!P113,Oranlar!Q113)-1,-1)))</f>
        <v>-1.0</v>
      </c>
      <c r="AP113" s="17" t="str">
        <f>IF(L113&gt;U113,"Üst",IF(L113&lt;U113,"Alt",""))</f>
        <v>Alt</v>
      </c>
      <c r="AQ113" s="17" t="str">
        <f>IF(AP113="","",IF(F113=U113,"Push",IF((F113&gt;U113)=(AP113="Üst"),"Kazandı","Kaybetti")))</f>
        <v>Kaybetti</v>
      </c>
      <c r="AR113" s="30">
        <f>IF(AP113="","",IF(AQ113="Push",0,IF(AQ113="Kazandı",IF(AP113="Üst",Oranlar!W113,Oranlar!X113)-1,-1)))</f>
        <v>-1.0</v>
      </c>
      <c r="AS113" s="17" t="str">
        <f>IF(G113*Oranlar!R113&gt;1,"Ev",IF((1-G113)*Oranlar!S113&gt;1,"Dep",""))</f>
        <v>Dep</v>
      </c>
      <c r="AT113" s="30">
        <f>IF(AS113="","",IF((AS113="Ev")=(E113&gt;0),IF(AS113="Ev",Oranlar!R113,Oranlar!S113)-1,-1))</f>
        <v>-1.0</v>
      </c>
      <c r="AU113" s="16">
        <f>IF(OR(H113=T113,S113=T113),"",IF((H113&gt;T113)=(S113&gt;T113),1,0))</f>
        <v/>
      </c>
      <c r="AV113" s="16">
        <f>IF(OR(L113=V113,U113=V113),"",IF((L113&gt;V113)=(U113&gt;V113),1,0))</f>
        <v>1</v>
      </c>
      <c r="AW113" s="16">
        <f>IF(AND(E113&gt;=J113,E113&lt;=K113),1,0)</f>
        <v>0</v>
      </c>
      <c r="AX113" s="16">
        <f>IF(AND(F113&gt;=N113,F113&lt;=O113),1,0)</f>
        <v>0</v>
      </c>
    </row>
    <row r="114" spans="1:50">
      <c r="A114" s="21">
        <f>Oranlar!A114</f>
        <v>46099</v>
      </c>
      <c r="B114" s="22" t="str">
        <f>Oranlar!C114&amp;" @ "&amp;Oranlar!D114</f>
        <v>LAC @ NOP</v>
      </c>
      <c r="C114" s="23">
        <f>Oranlar!F114</f>
        <v>124</v>
      </c>
      <c r="D114" s="23">
        <f>Oranlar!E114</f>
        <v>109</v>
      </c>
      <c r="E114" s="15">
        <f>C114-D114</f>
        <v>15</v>
      </c>
      <c r="F114" s="16">
        <f>C114+D114</f>
        <v>233</v>
      </c>
      <c r="G114" s="24">
        <v>0.483</v>
      </c>
      <c r="H114" s="10">
        <v>-0.71</v>
      </c>
      <c r="I114" s="10">
        <v>0.9</v>
      </c>
      <c r="J114" s="10">
        <v>-18</v>
      </c>
      <c r="K114" s="10">
        <v>20</v>
      </c>
      <c r="L114" s="11">
        <v>234.37</v>
      </c>
      <c r="M114" s="11">
        <v>234.6</v>
      </c>
      <c r="N114" s="11">
        <v>207</v>
      </c>
      <c r="O114" s="11">
        <v>262</v>
      </c>
      <c r="P114" s="11">
        <v>116.04</v>
      </c>
      <c r="Q114" s="11">
        <v>118.65</v>
      </c>
      <c r="R114" s="25">
        <f>Oranlar!Y114</f>
        <v>0.4572564612326044</v>
      </c>
      <c r="S114" s="26">
        <f>-Oranlar!O114</f>
        <v>-2.5</v>
      </c>
      <c r="T114" s="26">
        <f>-Oranlar!I114</f>
        <v>1.5</v>
      </c>
      <c r="U114" s="27">
        <f>Oranlar!V114</f>
        <v>236.5</v>
      </c>
      <c r="V114" s="27">
        <f>Oranlar!L114</f>
        <v>228.5</v>
      </c>
      <c r="W114" s="28">
        <f>(U114+S114)/2</f>
        <v>117.0</v>
      </c>
      <c r="X114" s="28">
        <f>(U114-S114)/2</f>
        <v>119.5</v>
      </c>
      <c r="Y114" s="16">
        <f>IF(G114=0.5,"",IF((G114&gt;0.5)=(E114&gt;0),1,0))</f>
        <v>0</v>
      </c>
      <c r="Z114" s="16">
        <f>IF(R114=0.5,"",IF((R114&gt;0.5)=(E114&gt;0),1,0))</f>
        <v>0</v>
      </c>
      <c r="AA114" s="29">
        <f>(G114-IF(E114&gt;0,1,0))^2</f>
        <v>0.267289</v>
      </c>
      <c r="AB114" s="29">
        <f>(R114-IF(E114&gt;0,1,0))^2</f>
        <v>0.2945705488737554</v>
      </c>
      <c r="AC114" s="28">
        <f>ABS(H114-E114)</f>
        <v>15.71</v>
      </c>
      <c r="AD114" s="28">
        <f>ABS(I114-E114)</f>
        <v>14.1</v>
      </c>
      <c r="AE114" s="28">
        <f>ABS(S114-E114)</f>
        <v>17.5</v>
      </c>
      <c r="AF114" s="28">
        <f>ABS(L114-F114)</f>
        <v>1.3700000000000045</v>
      </c>
      <c r="AG114" s="28">
        <f>ABS(M114-F114)</f>
        <v>1.5999999999999943</v>
      </c>
      <c r="AH114" s="28">
        <f>ABS(U114-F114)</f>
        <v>3.5</v>
      </c>
      <c r="AI114" s="28">
        <f>ABS(P114-C114)</f>
        <v>7.959999999999994</v>
      </c>
      <c r="AJ114" s="28">
        <f>ABS(W114-C114)</f>
        <v>7.0</v>
      </c>
      <c r="AK114" s="28">
        <f>ABS(Q114-D114)</f>
        <v>9.650000000000006</v>
      </c>
      <c r="AL114" s="28">
        <f>ABS(X114-D114)</f>
        <v>10.5</v>
      </c>
      <c r="AM114" s="17" t="str">
        <f>IF(H114&gt;S114,"Ev",IF(H114&lt;S114,"Dep",""))</f>
        <v>Ev</v>
      </c>
      <c r="AN114" s="17" t="str">
        <f>IF(AM114="","",IF(E114=S114,"Push",IF((E114&gt;S114)=(AM114="Ev"),"Kazandı","Kaybetti")))</f>
        <v>Kazandı</v>
      </c>
      <c r="AO114" s="30">
        <f>IF(AM114="","",IF(AN114="Push",0,IF(AN114="Kazandı",IF(AM114="Ev",Oranlar!P114,Oranlar!Q114)-1,-1)))</f>
        <v>0.8695652173913042</v>
      </c>
      <c r="AP114" s="17" t="str">
        <f>IF(L114&gt;U114,"Üst",IF(L114&lt;U114,"Alt",""))</f>
        <v>Alt</v>
      </c>
      <c r="AQ114" s="17" t="str">
        <f>IF(AP114="","",IF(F114=U114,"Push",IF((F114&gt;U114)=(AP114="Üst"),"Kazandı","Kaybetti")))</f>
        <v>Kazandı</v>
      </c>
      <c r="AR114" s="30">
        <f>IF(AP114="","",IF(AQ114="Push",0,IF(AQ114="Kazandı",IF(AP114="Üst",Oranlar!W114,Oranlar!X114)-1,-1)))</f>
        <v>0.9523809523809523</v>
      </c>
      <c r="AS114" s="17" t="str">
        <f>IF(G114*Oranlar!R114&gt;1,"Ev",IF((1-G114)*Oranlar!S114&gt;1,"Dep",""))</f>
        <v>Ev</v>
      </c>
      <c r="AT114" s="30">
        <f>IF(AS114="","",IF((AS114="Ev")=(E114&gt;0),IF(AS114="Ev",Oranlar!R114,Oranlar!S114)-1,-1))</f>
        <v>1.1</v>
      </c>
      <c r="AU114" s="16">
        <f>IF(OR(H114=T114,S114=T114),"",IF((H114&gt;T114)=(S114&gt;T114),1,0))</f>
        <v>1</v>
      </c>
      <c r="AV114" s="16">
        <f>IF(OR(L114=V114,U114=V114),"",IF((L114&gt;V114)=(U114&gt;V114),1,0))</f>
        <v>1</v>
      </c>
      <c r="AW114" s="16">
        <f>IF(AND(E114&gt;=J114,E114&lt;=K114),1,0)</f>
        <v>1</v>
      </c>
      <c r="AX114" s="16">
        <f>IF(AND(F114&gt;=N114,F114&lt;=O114),1,0)</f>
        <v>1</v>
      </c>
    </row>
    <row r="115" spans="1:50">
      <c r="A115" s="21">
        <f>Oranlar!A115</f>
        <v>46099</v>
      </c>
      <c r="B115" s="22" t="str">
        <f>Oranlar!C115&amp;" @ "&amp;Oranlar!D115</f>
        <v>ATL @ DAL</v>
      </c>
      <c r="C115" s="23">
        <f>Oranlar!F115</f>
        <v>120</v>
      </c>
      <c r="D115" s="23">
        <f>Oranlar!E115</f>
        <v>135</v>
      </c>
      <c r="E115" s="15">
        <f>C115-D115</f>
        <v>-15</v>
      </c>
      <c r="F115" s="16">
        <f>C115+D115</f>
        <v>255</v>
      </c>
      <c r="G115" s="24">
        <v>0.313</v>
      </c>
      <c r="H115" s="10">
        <v>-5.75</v>
      </c>
      <c r="I115" s="10">
        <v>-10.5</v>
      </c>
      <c r="J115" s="10">
        <v>-29</v>
      </c>
      <c r="K115" s="10">
        <v>8</v>
      </c>
      <c r="L115" s="11">
        <v>232.44</v>
      </c>
      <c r="M115" s="11">
        <v>233.5</v>
      </c>
      <c r="N115" s="11">
        <v>206</v>
      </c>
      <c r="O115" s="11">
        <v>261</v>
      </c>
      <c r="P115" s="11">
        <v>111.62</v>
      </c>
      <c r="Q115" s="11">
        <v>121.09</v>
      </c>
      <c r="R115" s="25">
        <f>Oranlar!Y115</f>
        <v>0.26645768025078376</v>
      </c>
      <c r="S115" s="26">
        <f>-Oranlar!O115</f>
        <v>-8.5</v>
      </c>
      <c r="T115" s="26">
        <f>-Oranlar!I115</f>
        <v>-9.5</v>
      </c>
      <c r="U115" s="27">
        <f>Oranlar!V115</f>
        <v>239.5</v>
      </c>
      <c r="V115" s="27">
        <f>Oranlar!L115</f>
        <v>239.5</v>
      </c>
      <c r="W115" s="28">
        <f>(U115+S115)/2</f>
        <v>115.5</v>
      </c>
      <c r="X115" s="28">
        <f>(U115-S115)/2</f>
        <v>124.0</v>
      </c>
      <c r="Y115" s="16">
        <f>IF(G115=0.5,"",IF((G115&gt;0.5)=(E115&gt;0),1,0))</f>
        <v>1</v>
      </c>
      <c r="Z115" s="16">
        <f>IF(R115=0.5,"",IF((R115&gt;0.5)=(E115&gt;0),1,0))</f>
        <v>1</v>
      </c>
      <c r="AA115" s="29">
        <f>(G115-IF(E115&gt;0,1,0))^2</f>
        <v>0.097969</v>
      </c>
      <c r="AB115" s="29">
        <f>(R115-IF(E115&gt;0,1,0))^2</f>
        <v>0.07099969536462891</v>
      </c>
      <c r="AC115" s="28">
        <f>ABS(H115-E115)</f>
        <v>9.25</v>
      </c>
      <c r="AD115" s="28">
        <f>ABS(I115-E115)</f>
        <v>4.5</v>
      </c>
      <c r="AE115" s="28">
        <f>ABS(S115-E115)</f>
        <v>6.5</v>
      </c>
      <c r="AF115" s="28">
        <f>ABS(L115-F115)</f>
        <v>22.560000000000002</v>
      </c>
      <c r="AG115" s="28">
        <f>ABS(M115-F115)</f>
        <v>21.5</v>
      </c>
      <c r="AH115" s="28">
        <f>ABS(U115-F115)</f>
        <v>15.5</v>
      </c>
      <c r="AI115" s="28">
        <f>ABS(P115-C115)</f>
        <v>8.379999999999995</v>
      </c>
      <c r="AJ115" s="28">
        <f>ABS(W115-C115)</f>
        <v>4.5</v>
      </c>
      <c r="AK115" s="28">
        <f>ABS(Q115-D115)</f>
        <v>13.909999999999997</v>
      </c>
      <c r="AL115" s="28">
        <f>ABS(X115-D115)</f>
        <v>11.0</v>
      </c>
      <c r="AM115" s="17" t="str">
        <f>IF(H115&gt;S115,"Ev",IF(H115&lt;S115,"Dep",""))</f>
        <v>Ev</v>
      </c>
      <c r="AN115" s="17" t="str">
        <f>IF(AM115="","",IF(E115=S115,"Push",IF((E115&gt;S115)=(AM115="Ev"),"Kazandı","Kaybetti")))</f>
        <v>Kaybetti</v>
      </c>
      <c r="AO115" s="30">
        <f>IF(AM115="","",IF(AN115="Push",0,IF(AN115="Kazandı",IF(AM115="Ev",Oranlar!P115,Oranlar!Q115)-1,-1)))</f>
        <v>-1.0</v>
      </c>
      <c r="AP115" s="17" t="str">
        <f>IF(L115&gt;U115,"Üst",IF(L115&lt;U115,"Alt",""))</f>
        <v>Alt</v>
      </c>
      <c r="AQ115" s="17" t="str">
        <f>IF(AP115="","",IF(F115=U115,"Push",IF((F115&gt;U115)=(AP115="Üst"),"Kazandı","Kaybetti")))</f>
        <v>Kaybetti</v>
      </c>
      <c r="AR115" s="30">
        <f>IF(AP115="","",IF(AQ115="Push",0,IF(AQ115="Kazandı",IF(AP115="Üst",Oranlar!W115,Oranlar!X115)-1,-1)))</f>
        <v>-1.0</v>
      </c>
      <c r="AS115" s="17" t="str">
        <f>IF(G115*Oranlar!R115&gt;1,"Ev",IF((1-G115)*Oranlar!S115&gt;1,"Dep",""))</f>
        <v>Ev</v>
      </c>
      <c r="AT115" s="30">
        <f>IF(AS115="","",IF((AS115="Ev")=(E115&gt;0),IF(AS115="Ev",Oranlar!R115,Oranlar!S115)-1,-1))</f>
        <v>-1.0</v>
      </c>
      <c r="AU115" s="16">
        <f>IF(OR(H115=T115,S115=T115),"",IF((H115&gt;T115)=(S115&gt;T115),1,0))</f>
        <v>1</v>
      </c>
      <c r="AV115" s="16">
        <f>IF(OR(L115=V115,U115=V115),"",IF((L115&gt;V115)=(U115&gt;V115),1,0))</f>
        <v/>
      </c>
      <c r="AW115" s="16">
        <f>IF(AND(E115&gt;=J115,E115&lt;=K115),1,0)</f>
        <v>1</v>
      </c>
      <c r="AX115" s="16">
        <f>IF(AND(F115&gt;=N115,F115&lt;=O115),1,0)</f>
        <v>1</v>
      </c>
    </row>
    <row r="116" spans="1:50">
      <c r="A116" s="21">
        <f>Oranlar!A116</f>
        <v>46099</v>
      </c>
      <c r="B116" s="22" t="str">
        <f>Oranlar!C116&amp;" @ "&amp;Oranlar!D116</f>
        <v>LAL @ HOU</v>
      </c>
      <c r="C116" s="23">
        <f>Oranlar!F116</f>
        <v>116</v>
      </c>
      <c r="D116" s="23">
        <f>Oranlar!E116</f>
        <v>124</v>
      </c>
      <c r="E116" s="15">
        <f>C116-D116</f>
        <v>-8</v>
      </c>
      <c r="F116" s="16">
        <f>C116+D116</f>
        <v>240</v>
      </c>
      <c r="G116" s="24">
        <v>0.491</v>
      </c>
      <c r="H116" s="10">
        <v>0.72</v>
      </c>
      <c r="I116" s="10">
        <v>-0.7</v>
      </c>
      <c r="J116" s="10">
        <v>-19</v>
      </c>
      <c r="K116" s="10">
        <v>18</v>
      </c>
      <c r="L116" s="11">
        <v>229.44</v>
      </c>
      <c r="M116" s="11">
        <v>228</v>
      </c>
      <c r="N116" s="11">
        <v>201</v>
      </c>
      <c r="O116" s="11">
        <v>255</v>
      </c>
      <c r="P116" s="11">
        <v>114.12</v>
      </c>
      <c r="Q116" s="11">
        <v>114.56</v>
      </c>
      <c r="R116" s="25">
        <f>Oranlar!Y116</f>
        <v>0.5427435387673957</v>
      </c>
      <c r="S116" s="26">
        <f>-Oranlar!O116</f>
        <v>1.5</v>
      </c>
      <c r="T116" s="26">
        <f>-Oranlar!I116</f>
        <v>1.5</v>
      </c>
      <c r="U116" s="27">
        <f>Oranlar!V116</f>
        <v>223.5</v>
      </c>
      <c r="V116" s="27">
        <f>Oranlar!L116</f>
        <v>222.5</v>
      </c>
      <c r="W116" s="28">
        <f>(U116+S116)/2</f>
        <v>112.5</v>
      </c>
      <c r="X116" s="28">
        <f>(U116-S116)/2</f>
        <v>111.0</v>
      </c>
      <c r="Y116" s="16">
        <f>IF(G116=0.5,"",IF((G116&gt;0.5)=(E116&gt;0),1,0))</f>
        <v>1</v>
      </c>
      <c r="Z116" s="16">
        <f>IF(R116=0.5,"",IF((R116&gt;0.5)=(E116&gt;0),1,0))</f>
        <v>0</v>
      </c>
      <c r="AA116" s="29">
        <f>(G116-IF(E116&gt;0,1,0))^2</f>
        <v>0.241081</v>
      </c>
      <c r="AB116" s="29">
        <f>(R116-IF(E116&gt;0,1,0))^2</f>
        <v>0.29457054887375556</v>
      </c>
      <c r="AC116" s="28">
        <f>ABS(H116-E116)</f>
        <v>8.72</v>
      </c>
      <c r="AD116" s="28">
        <f>ABS(I116-E116)</f>
        <v>7.3</v>
      </c>
      <c r="AE116" s="28">
        <f>ABS(S116-E116)</f>
        <v>9.5</v>
      </c>
      <c r="AF116" s="28">
        <f>ABS(L116-F116)</f>
        <v>10.560000000000002</v>
      </c>
      <c r="AG116" s="28">
        <f>ABS(M116-F116)</f>
        <v>12.0</v>
      </c>
      <c r="AH116" s="28">
        <f>ABS(U116-F116)</f>
        <v>16.5</v>
      </c>
      <c r="AI116" s="28">
        <f>ABS(P116-C116)</f>
        <v>1.8799999999999955</v>
      </c>
      <c r="AJ116" s="28">
        <f>ABS(W116-C116)</f>
        <v>3.5</v>
      </c>
      <c r="AK116" s="28">
        <f>ABS(Q116-D116)</f>
        <v>9.439999999999998</v>
      </c>
      <c r="AL116" s="28">
        <f>ABS(X116-D116)</f>
        <v>13.0</v>
      </c>
      <c r="AM116" s="17" t="str">
        <f>IF(H116&gt;S116,"Ev",IF(H116&lt;S116,"Dep",""))</f>
        <v>Dep</v>
      </c>
      <c r="AN116" s="17" t="str">
        <f>IF(AM116="","",IF(E116=S116,"Push",IF((E116&gt;S116)=(AM116="Ev"),"Kazandı","Kaybetti")))</f>
        <v>Kazandı</v>
      </c>
      <c r="AO116" s="30">
        <f>IF(AM116="","",IF(AN116="Push",0,IF(AN116="Kazandı",IF(AM116="Ev",Oranlar!P116,Oranlar!Q116)-1,-1)))</f>
        <v>0.9803921568627452</v>
      </c>
      <c r="AP116" s="17" t="str">
        <f>IF(L116&gt;U116,"Üst",IF(L116&lt;U116,"Alt",""))</f>
        <v>Üst</v>
      </c>
      <c r="AQ116" s="17" t="str">
        <f>IF(AP116="","",IF(F116=U116,"Push",IF((F116&gt;U116)=(AP116="Üst"),"Kazandı","Kaybetti")))</f>
        <v>Kazandı</v>
      </c>
      <c r="AR116" s="30">
        <f>IF(AP116="","",IF(AQ116="Push",0,IF(AQ116="Kazandı",IF(AP116="Üst",Oranlar!W116,Oranlar!X116)-1,-1)))</f>
        <v>0.925925925925926</v>
      </c>
      <c r="AS116" s="17" t="str">
        <f>IF(G116*Oranlar!R116&gt;1,"Ev",IF((1-G116)*Oranlar!S116&gt;1,"Dep",""))</f>
        <v>Dep</v>
      </c>
      <c r="AT116" s="30">
        <f>IF(AS116="","",IF((AS116="Ev")=(E116&gt;0),IF(AS116="Ev",Oranlar!R116,Oranlar!S116)-1,-1))</f>
        <v>1.1</v>
      </c>
      <c r="AU116" s="16">
        <f>IF(OR(H116=T116,S116=T116),"",IF((H116&gt;T116)=(S116&gt;T116),1,0))</f>
        <v/>
      </c>
      <c r="AV116" s="16">
        <f>IF(OR(L116=V116,U116=V116),"",IF((L116&gt;V116)=(U116&gt;V116),1,0))</f>
        <v>1</v>
      </c>
      <c r="AW116" s="16">
        <f>IF(AND(E116&gt;=J116,E116&lt;=K116),1,0)</f>
        <v>1</v>
      </c>
      <c r="AX116" s="16">
        <f>IF(AND(F116&gt;=N116,F116&lt;=O116),1,0)</f>
        <v>1</v>
      </c>
    </row>
    <row r="117" spans="1:50">
      <c r="A117" s="21">
        <f>Oranlar!A117</f>
        <v>46100</v>
      </c>
      <c r="B117" s="22" t="str">
        <f>Oranlar!C117&amp;" @ "&amp;Oranlar!D117</f>
        <v>ORL @ CHA</v>
      </c>
      <c r="C117" s="23">
        <f>Oranlar!F117</f>
        <v>130</v>
      </c>
      <c r="D117" s="23">
        <f>Oranlar!E117</f>
        <v>111</v>
      </c>
      <c r="E117" s="15">
        <f>C117-D117</f>
        <v>19</v>
      </c>
      <c r="F117" s="16">
        <f>C117+D117</f>
        <v>241</v>
      </c>
      <c r="G117" s="24">
        <v>0.68</v>
      </c>
      <c r="H117" s="10">
        <v>11.91</v>
      </c>
      <c r="I117" s="10">
        <v>5.7</v>
      </c>
      <c r="J117" s="10">
        <v>-13</v>
      </c>
      <c r="K117" s="10">
        <v>24</v>
      </c>
      <c r="L117" s="11">
        <v>227.32</v>
      </c>
      <c r="M117" s="11">
        <v>228.3</v>
      </c>
      <c r="N117" s="11">
        <v>201</v>
      </c>
      <c r="O117" s="11">
        <v>255</v>
      </c>
      <c r="P117" s="11">
        <v>116.75</v>
      </c>
      <c r="Q117" s="11">
        <v>108.62</v>
      </c>
      <c r="R117" s="25">
        <f>Oranlar!Y117</f>
        <v>0.6636481241914618</v>
      </c>
      <c r="S117" s="26">
        <f>-Oranlar!O117</f>
        <v>5.5</v>
      </c>
      <c r="T117" s="26">
        <f>-Oranlar!I117</f>
        <v>4.5</v>
      </c>
      <c r="U117" s="27">
        <f>Oranlar!V117</f>
        <v>225.5</v>
      </c>
      <c r="V117" s="27">
        <f>Oranlar!L117</f>
        <v>226.5</v>
      </c>
      <c r="W117" s="28">
        <f>(U117+S117)/2</f>
        <v>115.5</v>
      </c>
      <c r="X117" s="28">
        <f>(U117-S117)/2</f>
        <v>110.0</v>
      </c>
      <c r="Y117" s="16">
        <f>IF(G117=0.5,"",IF((G117&gt;0.5)=(E117&gt;0),1,0))</f>
        <v>1</v>
      </c>
      <c r="Z117" s="16">
        <f>IF(R117=0.5,"",IF((R117&gt;0.5)=(E117&gt;0),1,0))</f>
        <v>1</v>
      </c>
      <c r="AA117" s="29">
        <f>(G117-IF(E117&gt;0,1,0))^2</f>
        <v>0.10239999999999996</v>
      </c>
      <c r="AB117" s="29">
        <f>(R117-IF(E117&gt;0,1,0))^2</f>
        <v>0.11313258435992231</v>
      </c>
      <c r="AC117" s="28">
        <f>ABS(H117-E117)</f>
        <v>7.09</v>
      </c>
      <c r="AD117" s="28">
        <f>ABS(I117-E117)</f>
        <v>13.3</v>
      </c>
      <c r="AE117" s="28">
        <f>ABS(S117-E117)</f>
        <v>13.5</v>
      </c>
      <c r="AF117" s="28">
        <f>ABS(L117-F117)</f>
        <v>13.680000000000007</v>
      </c>
      <c r="AG117" s="28">
        <f>ABS(M117-F117)</f>
        <v>12.699999999999989</v>
      </c>
      <c r="AH117" s="28">
        <f>ABS(U117-F117)</f>
        <v>15.5</v>
      </c>
      <c r="AI117" s="28">
        <f>ABS(P117-C117)</f>
        <v>13.25</v>
      </c>
      <c r="AJ117" s="28">
        <f>ABS(W117-C117)</f>
        <v>14.5</v>
      </c>
      <c r="AK117" s="28">
        <f>ABS(Q117-D117)</f>
        <v>2.3799999999999955</v>
      </c>
      <c r="AL117" s="28">
        <f>ABS(X117-D117)</f>
        <v>1.0</v>
      </c>
      <c r="AM117" s="17" t="str">
        <f>IF(H117&gt;S117,"Ev",IF(H117&lt;S117,"Dep",""))</f>
        <v>Ev</v>
      </c>
      <c r="AN117" s="17" t="str">
        <f>IF(AM117="","",IF(E117=S117,"Push",IF((E117&gt;S117)=(AM117="Ev"),"Kazandı","Kaybetti")))</f>
        <v>Kazandı</v>
      </c>
      <c r="AO117" s="30">
        <f>IF(AM117="","",IF(AN117="Push",0,IF(AN117="Kazandı",IF(AM117="Ev",Oranlar!P117,Oranlar!Q117)-1,-1)))</f>
        <v>0.8695652173913042</v>
      </c>
      <c r="AP117" s="17" t="str">
        <f>IF(L117&gt;U117,"Üst",IF(L117&lt;U117,"Alt",""))</f>
        <v>Üst</v>
      </c>
      <c r="AQ117" s="17" t="str">
        <f>IF(AP117="","",IF(F117=U117,"Push",IF((F117&gt;U117)=(AP117="Üst"),"Kazandı","Kaybetti")))</f>
        <v>Kazandı</v>
      </c>
      <c r="AR117" s="30">
        <f>IF(AP117="","",IF(AQ117="Push",0,IF(AQ117="Kazandı",IF(AP117="Üst",Oranlar!W117,Oranlar!X117)-1,-1)))</f>
        <v>0.8928571428571428</v>
      </c>
      <c r="AS117" s="17">
        <f>IF(G117*Oranlar!R117&gt;1,"Ev",IF((1-G117)*Oranlar!S117&gt;1,"Dep",""))</f>
        <v/>
      </c>
      <c r="AT117" s="30">
        <f>IF(AS117="","",IF((AS117="Ev")=(E117&gt;0),IF(AS117="Ev",Oranlar!R117,Oranlar!S117)-1,-1))</f>
        <v/>
      </c>
      <c r="AU117" s="16">
        <f>IF(OR(H117=T117,S117=T117),"",IF((H117&gt;T117)=(S117&gt;T117),1,0))</f>
        <v>1</v>
      </c>
      <c r="AV117" s="16">
        <f>IF(OR(L117=V117,U117=V117),"",IF((L117&gt;V117)=(U117&gt;V117),1,0))</f>
        <v>0</v>
      </c>
      <c r="AW117" s="16">
        <f>IF(AND(E117&gt;=J117,E117&lt;=K117),1,0)</f>
        <v>1</v>
      </c>
      <c r="AX117" s="16">
        <f>IF(AND(F117&gt;=N117,F117&lt;=O117),1,0)</f>
        <v>1</v>
      </c>
    </row>
    <row r="118" spans="1:50">
      <c r="A118" s="21">
        <f>Oranlar!A118</f>
        <v>46100</v>
      </c>
      <c r="B118" s="22" t="str">
        <f>Oranlar!C118&amp;" @ "&amp;Oranlar!D118</f>
        <v>DET @ WAS</v>
      </c>
      <c r="C118" s="23">
        <f>Oranlar!F118</f>
        <v>95</v>
      </c>
      <c r="D118" s="23">
        <f>Oranlar!E118</f>
        <v>117</v>
      </c>
      <c r="E118" s="15">
        <f>C118-D118</f>
        <v>-22</v>
      </c>
      <c r="F118" s="16">
        <f>C118+D118</f>
        <v>212</v>
      </c>
      <c r="G118" s="24">
        <v>0.264</v>
      </c>
      <c r="H118" s="10">
        <v>-11.68</v>
      </c>
      <c r="I118" s="10">
        <v>-6.8</v>
      </c>
      <c r="J118" s="10">
        <v>-25</v>
      </c>
      <c r="K118" s="10">
        <v>12</v>
      </c>
      <c r="L118" s="11">
        <v>233.45</v>
      </c>
      <c r="M118" s="11">
        <v>235.4</v>
      </c>
      <c r="N118" s="11">
        <v>207</v>
      </c>
      <c r="O118" s="11">
        <v>263</v>
      </c>
      <c r="P118" s="11">
        <v>115.37</v>
      </c>
      <c r="Q118" s="11">
        <v>124.13</v>
      </c>
      <c r="R118" s="25">
        <f>Oranlar!Y118</f>
        <v>0.11304347826086955</v>
      </c>
      <c r="S118" s="26">
        <f>-Oranlar!O118</f>
        <v>-14.5</v>
      </c>
      <c r="T118" s="26">
        <f>-Oranlar!I118</f>
        <v>-16.5</v>
      </c>
      <c r="U118" s="27">
        <f>Oranlar!V118</f>
        <v>231.5</v>
      </c>
      <c r="V118" s="27">
        <f>Oranlar!L118</f>
        <v>230.5</v>
      </c>
      <c r="W118" s="28">
        <f>(U118+S118)/2</f>
        <v>108.5</v>
      </c>
      <c r="X118" s="28">
        <f>(U118-S118)/2</f>
        <v>123.0</v>
      </c>
      <c r="Y118" s="16">
        <f>IF(G118=0.5,"",IF((G118&gt;0.5)=(E118&gt;0),1,0))</f>
        <v>1</v>
      </c>
      <c r="Z118" s="16">
        <f>IF(R118=0.5,"",IF((R118&gt;0.5)=(E118&gt;0),1,0))</f>
        <v>1</v>
      </c>
      <c r="AA118" s="29">
        <f>(G118-IF(E118&gt;0,1,0))^2</f>
        <v>0.06969600000000001</v>
      </c>
      <c r="AB118" s="29">
        <f>(R118-IF(E118&gt;0,1,0))^2</f>
        <v>0.012778827977315686</v>
      </c>
      <c r="AC118" s="28">
        <f>ABS(H118-E118)</f>
        <v>10.32</v>
      </c>
      <c r="AD118" s="28">
        <f>ABS(I118-E118)</f>
        <v>15.2</v>
      </c>
      <c r="AE118" s="28">
        <f>ABS(S118-E118)</f>
        <v>7.5</v>
      </c>
      <c r="AF118" s="28">
        <f>ABS(L118-F118)</f>
        <v>21.44999999999999</v>
      </c>
      <c r="AG118" s="28">
        <f>ABS(M118-F118)</f>
        <v>23.400000000000006</v>
      </c>
      <c r="AH118" s="28">
        <f>ABS(U118-F118)</f>
        <v>19.5</v>
      </c>
      <c r="AI118" s="28">
        <f>ABS(P118-C118)</f>
        <v>20.370000000000005</v>
      </c>
      <c r="AJ118" s="28">
        <f>ABS(W118-C118)</f>
        <v>13.5</v>
      </c>
      <c r="AK118" s="28">
        <f>ABS(Q118-D118)</f>
        <v>7.1299999999999955</v>
      </c>
      <c r="AL118" s="28">
        <f>ABS(X118-D118)</f>
        <v>6.0</v>
      </c>
      <c r="AM118" s="17" t="str">
        <f>IF(H118&gt;S118,"Ev",IF(H118&lt;S118,"Dep",""))</f>
        <v>Ev</v>
      </c>
      <c r="AN118" s="17" t="str">
        <f>IF(AM118="","",IF(E118=S118,"Push",IF((E118&gt;S118)=(AM118="Ev"),"Kazandı","Kaybetti")))</f>
        <v>Kaybetti</v>
      </c>
      <c r="AO118" s="30">
        <f>IF(AM118="","",IF(AN118="Push",0,IF(AN118="Kazandı",IF(AM118="Ev",Oranlar!P118,Oranlar!Q118)-1,-1)))</f>
        <v>-1.0</v>
      </c>
      <c r="AP118" s="17" t="str">
        <f>IF(L118&gt;U118,"Üst",IF(L118&lt;U118,"Alt",""))</f>
        <v>Üst</v>
      </c>
      <c r="AQ118" s="17" t="str">
        <f>IF(AP118="","",IF(F118=U118,"Push",IF((F118&gt;U118)=(AP118="Üst"),"Kazandı","Kaybetti")))</f>
        <v>Kaybetti</v>
      </c>
      <c r="AR118" s="30">
        <f>IF(AP118="","",IF(AQ118="Push",0,IF(AQ118="Kazandı",IF(AP118="Üst",Oranlar!W118,Oranlar!X118)-1,-1)))</f>
        <v>-1.0</v>
      </c>
      <c r="AS118" s="17" t="str">
        <f>IF(G118*Oranlar!R118&gt;1,"Ev",IF((1-G118)*Oranlar!S118&gt;1,"Dep",""))</f>
        <v>Ev</v>
      </c>
      <c r="AT118" s="30">
        <f>IF(AS118="","",IF((AS118="Ev")=(E118&gt;0),IF(AS118="Ev",Oranlar!R118,Oranlar!S118)-1,-1))</f>
        <v>-1.0</v>
      </c>
      <c r="AU118" s="16">
        <f>IF(OR(H118=T118,S118=T118),"",IF((H118&gt;T118)=(S118&gt;T118),1,0))</f>
        <v>1</v>
      </c>
      <c r="AV118" s="16">
        <f>IF(OR(L118=V118,U118=V118),"",IF((L118&gt;V118)=(U118&gt;V118),1,0))</f>
        <v>1</v>
      </c>
      <c r="AW118" s="16">
        <f>IF(AND(E118&gt;=J118,E118&lt;=K118),1,0)</f>
        <v>1</v>
      </c>
      <c r="AX118" s="16">
        <f>IF(AND(F118&gt;=N118,F118&lt;=O118),1,0)</f>
        <v>1</v>
      </c>
    </row>
    <row r="119" spans="1:50">
      <c r="A119" s="21">
        <f>Oranlar!A119</f>
        <v>46100</v>
      </c>
      <c r="B119" s="22" t="str">
        <f>Oranlar!C119&amp;" @ "&amp;Oranlar!D119</f>
        <v>LAL @ MIA</v>
      </c>
      <c r="C119" s="23">
        <f>Oranlar!F119</f>
        <v>126</v>
      </c>
      <c r="D119" s="23">
        <f>Oranlar!E119</f>
        <v>134</v>
      </c>
      <c r="E119" s="15">
        <f>C119-D119</f>
        <v>-8</v>
      </c>
      <c r="F119" s="16">
        <f>C119+D119</f>
        <v>260</v>
      </c>
      <c r="G119" s="24">
        <v>0.486</v>
      </c>
      <c r="H119" s="10">
        <v>0.32</v>
      </c>
      <c r="I119" s="10">
        <v>1.3</v>
      </c>
      <c r="J119" s="10">
        <v>-17</v>
      </c>
      <c r="K119" s="10">
        <v>20</v>
      </c>
      <c r="L119" s="11">
        <v>235.34</v>
      </c>
      <c r="M119" s="11">
        <v>236.6</v>
      </c>
      <c r="N119" s="11">
        <v>209</v>
      </c>
      <c r="O119" s="11">
        <v>264</v>
      </c>
      <c r="P119" s="11">
        <v>118.28</v>
      </c>
      <c r="Q119" s="11">
        <v>118.6</v>
      </c>
      <c r="R119" s="25">
        <f>Oranlar!Y119</f>
        <v>0.5720596355604638</v>
      </c>
      <c r="S119" s="26">
        <f>-Oranlar!O119</f>
        <v>3.5</v>
      </c>
      <c r="T119" s="26">
        <f>-Oranlar!I119</f>
        <v>2.5</v>
      </c>
      <c r="U119" s="27">
        <f>Oranlar!V119</f>
        <v>242.5</v>
      </c>
      <c r="V119" s="27">
        <f>Oranlar!L119</f>
        <v>240.5</v>
      </c>
      <c r="W119" s="28">
        <f>(U119+S119)/2</f>
        <v>123.0</v>
      </c>
      <c r="X119" s="28">
        <f>(U119-S119)/2</f>
        <v>119.5</v>
      </c>
      <c r="Y119" s="16">
        <f>IF(G119=0.5,"",IF((G119&gt;0.5)=(E119&gt;0),1,0))</f>
        <v>1</v>
      </c>
      <c r="Z119" s="16">
        <f>IF(R119=0.5,"",IF((R119&gt;0.5)=(E119&gt;0),1,0))</f>
        <v>0</v>
      </c>
      <c r="AA119" s="29">
        <f>(G119-IF(E119&gt;0,1,0))^2</f>
        <v>0.236196</v>
      </c>
      <c r="AB119" s="29">
        <f>(R119-IF(E119&gt;0,1,0))^2</f>
        <v>0.32725222663757064</v>
      </c>
      <c r="AC119" s="28">
        <f>ABS(H119-E119)</f>
        <v>8.32</v>
      </c>
      <c r="AD119" s="28">
        <f>ABS(I119-E119)</f>
        <v>9.3</v>
      </c>
      <c r="AE119" s="28">
        <f>ABS(S119-E119)</f>
        <v>11.5</v>
      </c>
      <c r="AF119" s="28">
        <f>ABS(L119-F119)</f>
        <v>24.659999999999997</v>
      </c>
      <c r="AG119" s="28">
        <f>ABS(M119-F119)</f>
        <v>23.400000000000006</v>
      </c>
      <c r="AH119" s="28">
        <f>ABS(U119-F119)</f>
        <v>17.5</v>
      </c>
      <c r="AI119" s="28">
        <f>ABS(P119-C119)</f>
        <v>7.719999999999999</v>
      </c>
      <c r="AJ119" s="28">
        <f>ABS(W119-C119)</f>
        <v>3.0</v>
      </c>
      <c r="AK119" s="28">
        <f>ABS(Q119-D119)</f>
        <v>15.400000000000006</v>
      </c>
      <c r="AL119" s="28">
        <f>ABS(X119-D119)</f>
        <v>14.5</v>
      </c>
      <c r="AM119" s="17" t="str">
        <f>IF(H119&gt;S119,"Ev",IF(H119&lt;S119,"Dep",""))</f>
        <v>Dep</v>
      </c>
      <c r="AN119" s="17" t="str">
        <f>IF(AM119="","",IF(E119=S119,"Push",IF((E119&gt;S119)=(AM119="Ev"),"Kazandı","Kaybetti")))</f>
        <v>Kazandı</v>
      </c>
      <c r="AO119" s="30">
        <f>IF(AM119="","",IF(AN119="Push",0,IF(AN119="Kazandı",IF(AM119="Ev",Oranlar!P119,Oranlar!Q119)-1,-1)))</f>
        <v>0.8695652173913042</v>
      </c>
      <c r="AP119" s="17" t="str">
        <f>IF(L119&gt;U119,"Üst",IF(L119&lt;U119,"Alt",""))</f>
        <v>Alt</v>
      </c>
      <c r="AQ119" s="17" t="str">
        <f>IF(AP119="","",IF(F119=U119,"Push",IF((F119&gt;U119)=(AP119="Üst"),"Kazandı","Kaybetti")))</f>
        <v>Kaybetti</v>
      </c>
      <c r="AR119" s="30">
        <f>IF(AP119="","",IF(AQ119="Push",0,IF(AQ119="Kazandı",IF(AP119="Üst",Oranlar!W119,Oranlar!X119)-1,-1)))</f>
        <v>-1.0</v>
      </c>
      <c r="AS119" s="17" t="str">
        <f>IF(G119*Oranlar!R119&gt;1,"Ev",IF((1-G119)*Oranlar!S119&gt;1,"Dep",""))</f>
        <v>Dep</v>
      </c>
      <c r="AT119" s="30">
        <f>IF(AS119="","",IF((AS119="Ev")=(E119&gt;0),IF(AS119="Ev",Oranlar!R119,Oranlar!S119)-1,-1))</f>
        <v>1.2400000000000002</v>
      </c>
      <c r="AU119" s="16">
        <f>IF(OR(H119=T119,S119=T119),"",IF((H119&gt;T119)=(S119&gt;T119),1,0))</f>
        <v>0</v>
      </c>
      <c r="AV119" s="16">
        <f>IF(OR(L119=V119,U119=V119),"",IF((L119&gt;V119)=(U119&gt;V119),1,0))</f>
        <v>0</v>
      </c>
      <c r="AW119" s="16">
        <f>IF(AND(E119&gt;=J119,E119&lt;=K119),1,0)</f>
        <v>1</v>
      </c>
      <c r="AX119" s="16">
        <f>IF(AND(F119&gt;=N119,F119&lt;=O119),1,0)</f>
        <v>1</v>
      </c>
    </row>
    <row r="120" spans="1:50">
      <c r="A120" s="21">
        <f>Oranlar!A120</f>
        <v>46100</v>
      </c>
      <c r="B120" s="22" t="str">
        <f>Oranlar!C120&amp;" @ "&amp;Oranlar!D120</f>
        <v>CLE @ CHI</v>
      </c>
      <c r="C120" s="23">
        <f>Oranlar!F120</f>
        <v>110</v>
      </c>
      <c r="D120" s="23">
        <f>Oranlar!E120</f>
        <v>115</v>
      </c>
      <c r="E120" s="15">
        <f>C120-D120</f>
        <v>-5</v>
      </c>
      <c r="F120" s="16">
        <f>C120+D120</f>
        <v>225</v>
      </c>
      <c r="G120" s="24">
        <v>0.397</v>
      </c>
      <c r="H120" s="10">
        <v>-2.46</v>
      </c>
      <c r="I120" s="10">
        <v>-4.3</v>
      </c>
      <c r="J120" s="10">
        <v>-23</v>
      </c>
      <c r="K120" s="10">
        <v>15</v>
      </c>
      <c r="L120" s="11">
        <v>237.08</v>
      </c>
      <c r="M120" s="11">
        <v>238.2</v>
      </c>
      <c r="N120" s="11">
        <v>210</v>
      </c>
      <c r="O120" s="11">
        <v>266</v>
      </c>
      <c r="P120" s="11">
        <v>116.4</v>
      </c>
      <c r="Q120" s="11">
        <v>120.5</v>
      </c>
      <c r="R120" s="25">
        <f>Oranlar!Y120</f>
        <v>0.2042241228835748</v>
      </c>
      <c r="S120" s="26">
        <f>-Oranlar!O120</f>
        <v>-9.5</v>
      </c>
      <c r="T120" s="26">
        <f>-Oranlar!I120</f>
        <v>-13.5</v>
      </c>
      <c r="U120" s="27">
        <f>Oranlar!V120</f>
        <v>236.5</v>
      </c>
      <c r="V120" s="27">
        <f>Oranlar!L120</f>
        <v>238.5</v>
      </c>
      <c r="W120" s="28">
        <f>(U120+S120)/2</f>
        <v>113.5</v>
      </c>
      <c r="X120" s="28">
        <f>(U120-S120)/2</f>
        <v>123.0</v>
      </c>
      <c r="Y120" s="16">
        <f>IF(G120=0.5,"",IF((G120&gt;0.5)=(E120&gt;0),1,0))</f>
        <v>1</v>
      </c>
      <c r="Z120" s="16">
        <f>IF(R120=0.5,"",IF((R120&gt;0.5)=(E120&gt;0),1,0))</f>
        <v>1</v>
      </c>
      <c r="AA120" s="29">
        <f>(G120-IF(E120&gt;0,1,0))^2</f>
        <v>0.15760900000000003</v>
      </c>
      <c r="AB120" s="29">
        <f>(R120-IF(E120&gt;0,1,0))^2</f>
        <v>0.04170749236756546</v>
      </c>
      <c r="AC120" s="28">
        <f>ABS(H120-E120)</f>
        <v>2.54</v>
      </c>
      <c r="AD120" s="28">
        <f>ABS(I120-E120)</f>
        <v>0.7000000000000002</v>
      </c>
      <c r="AE120" s="28">
        <f>ABS(S120-E120)</f>
        <v>4.5</v>
      </c>
      <c r="AF120" s="28">
        <f>ABS(L120-F120)</f>
        <v>12.080000000000013</v>
      </c>
      <c r="AG120" s="28">
        <f>ABS(M120-F120)</f>
        <v>13.199999999999989</v>
      </c>
      <c r="AH120" s="28">
        <f>ABS(U120-F120)</f>
        <v>11.5</v>
      </c>
      <c r="AI120" s="28">
        <f>ABS(P120-C120)</f>
        <v>6.400000000000006</v>
      </c>
      <c r="AJ120" s="28">
        <f>ABS(W120-C120)</f>
        <v>3.5</v>
      </c>
      <c r="AK120" s="28">
        <f>ABS(Q120-D120)</f>
        <v>5.5</v>
      </c>
      <c r="AL120" s="28">
        <f>ABS(X120-D120)</f>
        <v>8.0</v>
      </c>
      <c r="AM120" s="17" t="str">
        <f>IF(H120&gt;S120,"Ev",IF(H120&lt;S120,"Dep",""))</f>
        <v>Ev</v>
      </c>
      <c r="AN120" s="17" t="str">
        <f>IF(AM120="","",IF(E120=S120,"Push",IF((E120&gt;S120)=(AM120="Ev"),"Kazandı","Kaybetti")))</f>
        <v>Kazandı</v>
      </c>
      <c r="AO120" s="30">
        <f>IF(AM120="","",IF(AN120="Push",0,IF(AN120="Kazandı",IF(AM120="Ev",Oranlar!P120,Oranlar!Q120)-1,-1)))</f>
        <v>0.9090909090909092</v>
      </c>
      <c r="AP120" s="17" t="str">
        <f>IF(L120&gt;U120,"Üst",IF(L120&lt;U120,"Alt",""))</f>
        <v>Üst</v>
      </c>
      <c r="AQ120" s="17" t="str">
        <f>IF(AP120="","",IF(F120=U120,"Push",IF((F120&gt;U120)=(AP120="Üst"),"Kazandı","Kaybetti")))</f>
        <v>Kaybetti</v>
      </c>
      <c r="AR120" s="30">
        <f>IF(AP120="","",IF(AQ120="Push",0,IF(AQ120="Kazandı",IF(AP120="Üst",Oranlar!W120,Oranlar!X120)-1,-1)))</f>
        <v>-1.0</v>
      </c>
      <c r="AS120" s="17" t="str">
        <f>IF(G120*Oranlar!R120&gt;1,"Ev",IF((1-G120)*Oranlar!S120&gt;1,"Dep",""))</f>
        <v>Ev</v>
      </c>
      <c r="AT120" s="30">
        <f>IF(AS120="","",IF((AS120="Ev")=(E120&gt;0),IF(AS120="Ev",Oranlar!R120,Oranlar!S120)-1,-1))</f>
        <v>-1.0</v>
      </c>
      <c r="AU120" s="16">
        <f>IF(OR(H120=T120,S120=T120),"",IF((H120&gt;T120)=(S120&gt;T120),1,0))</f>
        <v>1</v>
      </c>
      <c r="AV120" s="16">
        <f>IF(OR(L120=V120,U120=V120),"",IF((L120&gt;V120)=(U120&gt;V120),1,0))</f>
        <v>1</v>
      </c>
      <c r="AW120" s="16">
        <f>IF(AND(E120&gt;=J120,E120&lt;=K120),1,0)</f>
        <v>1</v>
      </c>
      <c r="AX120" s="16">
        <f>IF(AND(F120&gt;=N120,F120&lt;=O120),1,0)</f>
        <v>1</v>
      </c>
    </row>
    <row r="121" spans="1:50">
      <c r="A121" s="21">
        <f>Oranlar!A121</f>
        <v>46100</v>
      </c>
      <c r="B121" s="22" t="str">
        <f>Oranlar!C121&amp;" @ "&amp;Oranlar!D121</f>
        <v>LAC @ NOP</v>
      </c>
      <c r="C121" s="23">
        <f>Oranlar!F121</f>
        <v>105</v>
      </c>
      <c r="D121" s="23">
        <f>Oranlar!E121</f>
        <v>99</v>
      </c>
      <c r="E121" s="15">
        <f>C121-D121</f>
        <v>6</v>
      </c>
      <c r="F121" s="16">
        <f>C121+D121</f>
        <v>204</v>
      </c>
      <c r="G121" s="24">
        <v>0.527</v>
      </c>
      <c r="H121" s="10">
        <v>1.25</v>
      </c>
      <c r="I121" s="10">
        <v>0.1</v>
      </c>
      <c r="J121" s="10">
        <v>-18</v>
      </c>
      <c r="K121" s="10">
        <v>19</v>
      </c>
      <c r="L121" s="11">
        <v>231.59</v>
      </c>
      <c r="M121" s="11">
        <v>230.5</v>
      </c>
      <c r="N121" s="11">
        <v>203</v>
      </c>
      <c r="O121" s="11">
        <v>258</v>
      </c>
      <c r="P121" s="11">
        <v>115.93</v>
      </c>
      <c r="Q121" s="11">
        <v>114.93</v>
      </c>
      <c r="R121" s="25">
        <f>Oranlar!Y121</f>
        <v>0.5996387718242023</v>
      </c>
      <c r="S121" s="26">
        <f>-Oranlar!O121</f>
        <v>4.5</v>
      </c>
      <c r="T121" s="26">
        <f>-Oranlar!I121</f>
        <v>1.5</v>
      </c>
      <c r="U121" s="27">
        <f>Oranlar!V121</f>
        <v>228.5</v>
      </c>
      <c r="V121" s="27">
        <f>Oranlar!L121</f>
        <v>233.5</v>
      </c>
      <c r="W121" s="28">
        <f>(U121+S121)/2</f>
        <v>116.5</v>
      </c>
      <c r="X121" s="28">
        <f>(U121-S121)/2</f>
        <v>112.0</v>
      </c>
      <c r="Y121" s="16">
        <f>IF(G121=0.5,"",IF((G121&gt;0.5)=(E121&gt;0),1,0))</f>
        <v>1</v>
      </c>
      <c r="Z121" s="16">
        <f>IF(R121=0.5,"",IF((R121&gt;0.5)=(E121&gt;0),1,0))</f>
        <v>1</v>
      </c>
      <c r="AA121" s="29">
        <f>(G121-IF(E121&gt;0,1,0))^2</f>
        <v>0.22372899999999998</v>
      </c>
      <c r="AB121" s="29">
        <f>(R121-IF(E121&gt;0,1,0))^2</f>
        <v>0.16028911302643312</v>
      </c>
      <c r="AC121" s="28">
        <f>ABS(H121-E121)</f>
        <v>4.75</v>
      </c>
      <c r="AD121" s="28">
        <f>ABS(I121-E121)</f>
        <v>5.9</v>
      </c>
      <c r="AE121" s="28">
        <f>ABS(S121-E121)</f>
        <v>1.5</v>
      </c>
      <c r="AF121" s="28">
        <f>ABS(L121-F121)</f>
        <v>27.590000000000003</v>
      </c>
      <c r="AG121" s="28">
        <f>ABS(M121-F121)</f>
        <v>26.5</v>
      </c>
      <c r="AH121" s="28">
        <f>ABS(U121-F121)</f>
        <v>24.5</v>
      </c>
      <c r="AI121" s="28">
        <f>ABS(P121-C121)</f>
        <v>10.930000000000007</v>
      </c>
      <c r="AJ121" s="28">
        <f>ABS(W121-C121)</f>
        <v>11.5</v>
      </c>
      <c r="AK121" s="28">
        <f>ABS(Q121-D121)</f>
        <v>15.930000000000007</v>
      </c>
      <c r="AL121" s="28">
        <f>ABS(X121-D121)</f>
        <v>13.0</v>
      </c>
      <c r="AM121" s="17" t="str">
        <f>IF(H121&gt;S121,"Ev",IF(H121&lt;S121,"Dep",""))</f>
        <v>Dep</v>
      </c>
      <c r="AN121" s="17" t="str">
        <f>IF(AM121="","",IF(E121=S121,"Push",IF((E121&gt;S121)=(AM121="Ev"),"Kazandı","Kaybetti")))</f>
        <v>Kaybetti</v>
      </c>
      <c r="AO121" s="30">
        <f>IF(AM121="","",IF(AN121="Push",0,IF(AN121="Kazandı",IF(AM121="Ev",Oranlar!P121,Oranlar!Q121)-1,-1)))</f>
        <v>-1.0</v>
      </c>
      <c r="AP121" s="17" t="str">
        <f>IF(L121&gt;U121,"Üst",IF(L121&lt;U121,"Alt",""))</f>
        <v>Üst</v>
      </c>
      <c r="AQ121" s="17" t="str">
        <f>IF(AP121="","",IF(F121=U121,"Push",IF((F121&gt;U121)=(AP121="Üst"),"Kazandı","Kaybetti")))</f>
        <v>Kaybetti</v>
      </c>
      <c r="AR121" s="30">
        <f>IF(AP121="","",IF(AQ121="Push",0,IF(AQ121="Kazandı",IF(AP121="Üst",Oranlar!W121,Oranlar!X121)-1,-1)))</f>
        <v>-1.0</v>
      </c>
      <c r="AS121" s="17" t="str">
        <f>IF(G121*Oranlar!R121&gt;1,"Ev",IF((1-G121)*Oranlar!S121&gt;1,"Dep",""))</f>
        <v>Dep</v>
      </c>
      <c r="AT121" s="30">
        <f>IF(AS121="","",IF((AS121="Ev")=(E121&gt;0),IF(AS121="Ev",Oranlar!R121,Oranlar!S121)-1,-1))</f>
        <v>-1.0</v>
      </c>
      <c r="AU121" s="16">
        <f>IF(OR(H121=T121,S121=T121),"",IF((H121&gt;T121)=(S121&gt;T121),1,0))</f>
        <v>0</v>
      </c>
      <c r="AV121" s="16">
        <f>IF(OR(L121=V121,U121=V121),"",IF((L121&gt;V121)=(U121&gt;V121),1,0))</f>
        <v>1</v>
      </c>
      <c r="AW121" s="16">
        <f>IF(AND(E121&gt;=J121,E121&lt;=K121),1,0)</f>
        <v>1</v>
      </c>
      <c r="AX121" s="16">
        <f>IF(AND(F121&gt;=N121,F121&lt;=O121),1,0)</f>
        <v>1</v>
      </c>
    </row>
    <row r="122" spans="1:50">
      <c r="A122" s="21">
        <f>Oranlar!A122</f>
        <v>46100</v>
      </c>
      <c r="B122" s="22" t="str">
        <f>Oranlar!C122&amp;" @ "&amp;Oranlar!D122</f>
        <v>PHX @ SAS</v>
      </c>
      <c r="C122" s="23">
        <f>Oranlar!F122</f>
        <v>101</v>
      </c>
      <c r="D122" s="23">
        <f>Oranlar!E122</f>
        <v>100</v>
      </c>
      <c r="E122" s="15">
        <f>C122-D122</f>
        <v>1</v>
      </c>
      <c r="F122" s="16">
        <f>C122+D122</f>
        <v>201</v>
      </c>
      <c r="G122" s="24">
        <v>0.638</v>
      </c>
      <c r="H122" s="10">
        <v>5.08</v>
      </c>
      <c r="I122" s="10">
        <v>-0.3</v>
      </c>
      <c r="J122" s="10">
        <v>-19</v>
      </c>
      <c r="K122" s="10">
        <v>18</v>
      </c>
      <c r="L122" s="11">
        <v>227.48</v>
      </c>
      <c r="M122" s="11">
        <v>234</v>
      </c>
      <c r="N122" s="11">
        <v>206</v>
      </c>
      <c r="O122" s="11">
        <v>261</v>
      </c>
      <c r="P122" s="11">
        <v>116.61</v>
      </c>
      <c r="Q122" s="11">
        <v>112.77</v>
      </c>
      <c r="R122" s="25">
        <f>Oranlar!Y122</f>
        <v>0.7913616398243044</v>
      </c>
      <c r="S122" s="26">
        <f>-Oranlar!O122</f>
        <v>9.5</v>
      </c>
      <c r="T122" s="26">
        <f>-Oranlar!I122</f>
        <v>9.5</v>
      </c>
      <c r="U122" s="27">
        <f>Oranlar!V122</f>
        <v>228.5</v>
      </c>
      <c r="V122" s="27">
        <f>Oranlar!L122</f>
        <v>225.5</v>
      </c>
      <c r="W122" s="28">
        <f>(U122+S122)/2</f>
        <v>119.0</v>
      </c>
      <c r="X122" s="28">
        <f>(U122-S122)/2</f>
        <v>109.5</v>
      </c>
      <c r="Y122" s="16">
        <f>IF(G122=0.5,"",IF((G122&gt;0.5)=(E122&gt;0),1,0))</f>
        <v>1</v>
      </c>
      <c r="Z122" s="16">
        <f>IF(R122=0.5,"",IF((R122&gt;0.5)=(E122&gt;0),1,0))</f>
        <v>1</v>
      </c>
      <c r="AA122" s="29">
        <f>(G122-IF(E122&gt;0,1,0))^2</f>
        <v>0.131044</v>
      </c>
      <c r="AB122" s="29">
        <f>(R122-IF(E122&gt;0,1,0))^2</f>
        <v>0.043529965336803284</v>
      </c>
      <c r="AC122" s="28">
        <f>ABS(H122-E122)</f>
        <v>4.08</v>
      </c>
      <c r="AD122" s="28">
        <f>ABS(I122-E122)</f>
        <v>1.3</v>
      </c>
      <c r="AE122" s="28">
        <f>ABS(S122-E122)</f>
        <v>8.5</v>
      </c>
      <c r="AF122" s="28">
        <f>ABS(L122-F122)</f>
        <v>26.47999999999999</v>
      </c>
      <c r="AG122" s="28">
        <f>ABS(M122-F122)</f>
        <v>33.0</v>
      </c>
      <c r="AH122" s="28">
        <f>ABS(U122-F122)</f>
        <v>27.5</v>
      </c>
      <c r="AI122" s="28">
        <f>ABS(P122-C122)</f>
        <v>15.61</v>
      </c>
      <c r="AJ122" s="28">
        <f>ABS(W122-C122)</f>
        <v>18.0</v>
      </c>
      <c r="AK122" s="28">
        <f>ABS(Q122-D122)</f>
        <v>12.769999999999996</v>
      </c>
      <c r="AL122" s="28">
        <f>ABS(X122-D122)</f>
        <v>9.5</v>
      </c>
      <c r="AM122" s="17" t="str">
        <f>IF(H122&gt;S122,"Ev",IF(H122&lt;S122,"Dep",""))</f>
        <v>Dep</v>
      </c>
      <c r="AN122" s="17" t="str">
        <f>IF(AM122="","",IF(E122=S122,"Push",IF((E122&gt;S122)=(AM122="Ev"),"Kazandı","Kaybetti")))</f>
        <v>Kazandı</v>
      </c>
      <c r="AO122" s="30">
        <f>IF(AM122="","",IF(AN122="Push",0,IF(AN122="Kazandı",IF(AM122="Ev",Oranlar!P122,Oranlar!Q122)-1,-1)))</f>
        <v>0.9090909090909092</v>
      </c>
      <c r="AP122" s="17" t="str">
        <f>IF(L122&gt;U122,"Üst",IF(L122&lt;U122,"Alt",""))</f>
        <v>Alt</v>
      </c>
      <c r="AQ122" s="17" t="str">
        <f>IF(AP122="","",IF(F122=U122,"Push",IF((F122&gt;U122)=(AP122="Üst"),"Kazandı","Kaybetti")))</f>
        <v>Kazandı</v>
      </c>
      <c r="AR122" s="30">
        <f>IF(AP122="","",IF(AQ122="Push",0,IF(AQ122="Kazandı",IF(AP122="Üst",Oranlar!W122,Oranlar!X122)-1,-1)))</f>
        <v>0.8695652173913042</v>
      </c>
      <c r="AS122" s="17" t="str">
        <f>IF(G122*Oranlar!R122&gt;1,"Ev",IF((1-G122)*Oranlar!S122&gt;1,"Dep",""))</f>
        <v>Dep</v>
      </c>
      <c r="AT122" s="30">
        <f>IF(AS122="","",IF((AS122="Ev")=(E122&gt;0),IF(AS122="Ev",Oranlar!R122,Oranlar!S122)-1,-1))</f>
        <v>-1.0</v>
      </c>
      <c r="AU122" s="16">
        <f>IF(OR(H122=T122,S122=T122),"",IF((H122&gt;T122)=(S122&gt;T122),1,0))</f>
        <v/>
      </c>
      <c r="AV122" s="16">
        <f>IF(OR(L122=V122,U122=V122),"",IF((L122&gt;V122)=(U122&gt;V122),1,0))</f>
        <v>1</v>
      </c>
      <c r="AW122" s="16">
        <f>IF(AND(E122&gt;=J122,E122&lt;=K122),1,0)</f>
        <v>1</v>
      </c>
      <c r="AX122" s="16">
        <f>IF(AND(F122&gt;=N122,F122&lt;=O122),1,0)</f>
        <v>0</v>
      </c>
    </row>
    <row r="123" spans="1:50">
      <c r="A123" s="21">
        <f>Oranlar!A123</f>
        <v>46100</v>
      </c>
      <c r="B123" s="22" t="str">
        <f>Oranlar!C123&amp;" @ "&amp;Oranlar!D123</f>
        <v>MIL @ UTA</v>
      </c>
      <c r="C123" s="23">
        <f>Oranlar!F123</f>
        <v>128</v>
      </c>
      <c r="D123" s="23">
        <f>Oranlar!E123</f>
        <v>96</v>
      </c>
      <c r="E123" s="15">
        <f>C123-D123</f>
        <v>32</v>
      </c>
      <c r="F123" s="16">
        <f>C123+D123</f>
        <v>224</v>
      </c>
      <c r="G123" s="24">
        <v>0.507</v>
      </c>
      <c r="H123" s="10">
        <v>0.6899999999999999</v>
      </c>
      <c r="I123" s="10">
        <v>-0.3</v>
      </c>
      <c r="J123" s="10">
        <v>-19</v>
      </c>
      <c r="K123" s="10">
        <v>18</v>
      </c>
      <c r="L123" s="11">
        <v>228.17</v>
      </c>
      <c r="M123" s="11">
        <v>231.6</v>
      </c>
      <c r="N123" s="11">
        <v>204</v>
      </c>
      <c r="O123" s="11">
        <v>259</v>
      </c>
      <c r="P123" s="11">
        <v>114.65</v>
      </c>
      <c r="Q123" s="11">
        <v>112.27</v>
      </c>
      <c r="R123" s="25">
        <f>Oranlar!Y123</f>
        <v>0.3146067415730337</v>
      </c>
      <c r="S123" s="26">
        <f>-Oranlar!O123</f>
        <v>-5.5</v>
      </c>
      <c r="T123" s="26">
        <f>-Oranlar!I123</f>
        <v>-4.5</v>
      </c>
      <c r="U123" s="27">
        <f>Oranlar!V123</f>
        <v>227.5</v>
      </c>
      <c r="V123" s="27">
        <f>Oranlar!L123</f>
        <v>229.5</v>
      </c>
      <c r="W123" s="28">
        <f>(U123+S123)/2</f>
        <v>111.0</v>
      </c>
      <c r="X123" s="28">
        <f>(U123-S123)/2</f>
        <v>116.5</v>
      </c>
      <c r="Y123" s="16">
        <f>IF(G123=0.5,"",IF((G123&gt;0.5)=(E123&gt;0),1,0))</f>
        <v>1</v>
      </c>
      <c r="Z123" s="16">
        <f>IF(R123=0.5,"",IF((R123&gt;0.5)=(E123&gt;0),1,0))</f>
        <v>0</v>
      </c>
      <c r="AA123" s="29">
        <f>(G123-IF(E123&gt;0,1,0))^2</f>
        <v>0.243049</v>
      </c>
      <c r="AB123" s="29">
        <f>(R123-IF(E123&gt;0,1,0))^2</f>
        <v>0.4697639186971342</v>
      </c>
      <c r="AC123" s="28">
        <f>ABS(H123-E123)</f>
        <v>31.31</v>
      </c>
      <c r="AD123" s="28">
        <f>ABS(I123-E123)</f>
        <v>32.3</v>
      </c>
      <c r="AE123" s="28">
        <f>ABS(S123-E123)</f>
        <v>37.5</v>
      </c>
      <c r="AF123" s="28">
        <f>ABS(L123-F123)</f>
        <v>4.1699999999999875</v>
      </c>
      <c r="AG123" s="28">
        <f>ABS(M123-F123)</f>
        <v>7.599999999999994</v>
      </c>
      <c r="AH123" s="28">
        <f>ABS(U123-F123)</f>
        <v>3.5</v>
      </c>
      <c r="AI123" s="28">
        <f>ABS(P123-C123)</f>
        <v>13.349999999999994</v>
      </c>
      <c r="AJ123" s="28">
        <f>ABS(W123-C123)</f>
        <v>17.0</v>
      </c>
      <c r="AK123" s="28">
        <f>ABS(Q123-D123)</f>
        <v>16.269999999999996</v>
      </c>
      <c r="AL123" s="28">
        <f>ABS(X123-D123)</f>
        <v>20.5</v>
      </c>
      <c r="AM123" s="17" t="str">
        <f>IF(H123&gt;S123,"Ev",IF(H123&lt;S123,"Dep",""))</f>
        <v>Ev</v>
      </c>
      <c r="AN123" s="17" t="str">
        <f>IF(AM123="","",IF(E123=S123,"Push",IF((E123&gt;S123)=(AM123="Ev"),"Kazandı","Kaybetti")))</f>
        <v>Kazandı</v>
      </c>
      <c r="AO123" s="30">
        <f>IF(AM123="","",IF(AN123="Push",0,IF(AN123="Kazandı",IF(AM123="Ev",Oranlar!P123,Oranlar!Q123)-1,-1)))</f>
        <v>0.9803921568627452</v>
      </c>
      <c r="AP123" s="17" t="str">
        <f>IF(L123&gt;U123,"Üst",IF(L123&lt;U123,"Alt",""))</f>
        <v>Üst</v>
      </c>
      <c r="AQ123" s="17" t="str">
        <f>IF(AP123="","",IF(F123=U123,"Push",IF((F123&gt;U123)=(AP123="Üst"),"Kazandı","Kaybetti")))</f>
        <v>Kaybetti</v>
      </c>
      <c r="AR123" s="30">
        <f>IF(AP123="","",IF(AQ123="Push",0,IF(AQ123="Kazandı",IF(AP123="Üst",Oranlar!W123,Oranlar!X123)-1,-1)))</f>
        <v>-1.0</v>
      </c>
      <c r="AS123" s="17" t="str">
        <f>IF(G123*Oranlar!R123&gt;1,"Ev",IF((1-G123)*Oranlar!S123&gt;1,"Dep",""))</f>
        <v>Ev</v>
      </c>
      <c r="AT123" s="30">
        <f>IF(AS123="","",IF((AS123="Ev")=(E123&gt;0),IF(AS123="Ev",Oranlar!R123,Oranlar!S123)-1,-1))</f>
        <v>2.05</v>
      </c>
      <c r="AU123" s="16">
        <f>IF(OR(H123=T123,S123=T123),"",IF((H123&gt;T123)=(S123&gt;T123),1,0))</f>
        <v>0</v>
      </c>
      <c r="AV123" s="16">
        <f>IF(OR(L123=V123,U123=V123),"",IF((L123&gt;V123)=(U123&gt;V123),1,0))</f>
        <v>1</v>
      </c>
      <c r="AW123" s="16">
        <f>IF(AND(E123&gt;=J123,E123&lt;=K123),1,0)</f>
        <v>0</v>
      </c>
      <c r="AX123" s="16">
        <f>IF(AND(F123&gt;=N123,F123&lt;=O123),1,0)</f>
        <v>1</v>
      </c>
    </row>
    <row r="124" spans="1:50">
      <c r="A124" s="21">
        <f>Oranlar!A124</f>
        <v>46100</v>
      </c>
      <c r="B124" s="22" t="str">
        <f>Oranlar!C124&amp;" @ "&amp;Oranlar!D124</f>
        <v>PHI @ SAC</v>
      </c>
      <c r="C124" s="23">
        <f>Oranlar!F124</f>
        <v>118</v>
      </c>
      <c r="D124" s="23">
        <f>Oranlar!E124</f>
        <v>139</v>
      </c>
      <c r="E124" s="15">
        <f>C124-D124</f>
        <v>-21</v>
      </c>
      <c r="F124" s="16">
        <f>C124+D124</f>
        <v>257</v>
      </c>
      <c r="G124" s="24">
        <v>0.526</v>
      </c>
      <c r="H124" s="10">
        <v>-1.54</v>
      </c>
      <c r="I124" s="10">
        <v>1.9</v>
      </c>
      <c r="J124" s="10">
        <v>-16</v>
      </c>
      <c r="K124" s="10">
        <v>21</v>
      </c>
      <c r="L124" s="11">
        <v>231.58</v>
      </c>
      <c r="M124" s="11">
        <v>231</v>
      </c>
      <c r="N124" s="11">
        <v>203</v>
      </c>
      <c r="O124" s="11">
        <v>258</v>
      </c>
      <c r="P124" s="11">
        <v>116.49</v>
      </c>
      <c r="Q124" s="11">
        <v>115.65</v>
      </c>
      <c r="R124" s="25">
        <f>Oranlar!Y124</f>
        <v>0.4279403644395361</v>
      </c>
      <c r="S124" s="26">
        <f>-Oranlar!O124</f>
        <v>-2.5</v>
      </c>
      <c r="T124" s="26">
        <f>-Oranlar!I124</f>
        <v>-3.5</v>
      </c>
      <c r="U124" s="27">
        <f>Oranlar!V124</f>
        <v>228.5</v>
      </c>
      <c r="V124" s="27">
        <f>Oranlar!L124</f>
        <v>231.5</v>
      </c>
      <c r="W124" s="28">
        <f>(U124+S124)/2</f>
        <v>113.0</v>
      </c>
      <c r="X124" s="28">
        <f>(U124-S124)/2</f>
        <v>115.5</v>
      </c>
      <c r="Y124" s="16">
        <f>IF(G124=0.5,"",IF((G124&gt;0.5)=(E124&gt;0),1,0))</f>
        <v>0</v>
      </c>
      <c r="Z124" s="16">
        <f>IF(R124=0.5,"",IF((R124&gt;0.5)=(E124&gt;0),1,0))</f>
        <v>1</v>
      </c>
      <c r="AA124" s="29">
        <f>(G124-IF(E124&gt;0,1,0))^2</f>
        <v>0.27667600000000003</v>
      </c>
      <c r="AB124" s="29">
        <f>(R124-IF(E124&gt;0,1,0))^2</f>
        <v>0.18313295551664296</v>
      </c>
      <c r="AC124" s="28">
        <f>ABS(H124-E124)</f>
        <v>19.46</v>
      </c>
      <c r="AD124" s="28">
        <f>ABS(I124-E124)</f>
        <v>22.9</v>
      </c>
      <c r="AE124" s="28">
        <f>ABS(S124-E124)</f>
        <v>18.5</v>
      </c>
      <c r="AF124" s="28">
        <f>ABS(L124-F124)</f>
        <v>25.419999999999987</v>
      </c>
      <c r="AG124" s="28">
        <f>ABS(M124-F124)</f>
        <v>26.0</v>
      </c>
      <c r="AH124" s="28">
        <f>ABS(U124-F124)</f>
        <v>28.5</v>
      </c>
      <c r="AI124" s="28">
        <f>ABS(P124-C124)</f>
        <v>1.5100000000000051</v>
      </c>
      <c r="AJ124" s="28">
        <f>ABS(W124-C124)</f>
        <v>5.0</v>
      </c>
      <c r="AK124" s="28">
        <f>ABS(Q124-D124)</f>
        <v>23.349999999999994</v>
      </c>
      <c r="AL124" s="28">
        <f>ABS(X124-D124)</f>
        <v>23.5</v>
      </c>
      <c r="AM124" s="17" t="str">
        <f>IF(H124&gt;S124,"Ev",IF(H124&lt;S124,"Dep",""))</f>
        <v>Ev</v>
      </c>
      <c r="AN124" s="17" t="str">
        <f>IF(AM124="","",IF(E124=S124,"Push",IF((E124&gt;S124)=(AM124="Ev"),"Kazandı","Kaybetti")))</f>
        <v>Kaybetti</v>
      </c>
      <c r="AO124" s="30">
        <f>IF(AM124="","",IF(AN124="Push",0,IF(AN124="Kazandı",IF(AM124="Ev",Oranlar!P124,Oranlar!Q124)-1,-1)))</f>
        <v>-1.0</v>
      </c>
      <c r="AP124" s="17" t="str">
        <f>IF(L124&gt;U124,"Üst",IF(L124&lt;U124,"Alt",""))</f>
        <v>Üst</v>
      </c>
      <c r="AQ124" s="17" t="str">
        <f>IF(AP124="","",IF(F124=U124,"Push",IF((F124&gt;U124)=(AP124="Üst"),"Kazandı","Kaybetti")))</f>
        <v>Kazandı</v>
      </c>
      <c r="AR124" s="30">
        <f>IF(AP124="","",IF(AQ124="Push",0,IF(AQ124="Kazandı",IF(AP124="Üst",Oranlar!W124,Oranlar!X124)-1,-1)))</f>
        <v>0.8928571428571428</v>
      </c>
      <c r="AS124" s="17" t="str">
        <f>IF(G124*Oranlar!R124&gt;1,"Ev",IF((1-G124)*Oranlar!S124&gt;1,"Dep",""))</f>
        <v>Ev</v>
      </c>
      <c r="AT124" s="30">
        <f>IF(AS124="","",IF((AS124="Ev")=(E124&gt;0),IF(AS124="Ev",Oranlar!R124,Oranlar!S124)-1,-1))</f>
        <v>-1.0</v>
      </c>
      <c r="AU124" s="16">
        <f>IF(OR(H124=T124,S124=T124),"",IF((H124&gt;T124)=(S124&gt;T124),1,0))</f>
        <v>1</v>
      </c>
      <c r="AV124" s="16">
        <f>IF(OR(L124=V124,U124=V124),"",IF((L124&gt;V124)=(U124&gt;V124),1,0))</f>
        <v>0</v>
      </c>
      <c r="AW124" s="16">
        <f>IF(AND(E124&gt;=J124,E124&lt;=K124),1,0)</f>
        <v>0</v>
      </c>
      <c r="AX124" s="16">
        <f>IF(AND(F124&gt;=N124,F124&lt;=O124),1,0)</f>
        <v>1</v>
      </c>
    </row>
    <row r="125" spans="1:50">
      <c r="A125" s="21">
        <f>Oranlar!A125</f>
        <v>46101</v>
      </c>
      <c r="B125" s="22" t="str">
        <f>Oranlar!C125&amp;" @ "&amp;Oranlar!D125</f>
        <v>NYK @ BKN</v>
      </c>
      <c r="C125" s="23">
        <f>Oranlar!F125</f>
        <v>92</v>
      </c>
      <c r="D125" s="23">
        <f>Oranlar!E125</f>
        <v>93</v>
      </c>
      <c r="E125" s="15">
        <f>C125-D125</f>
        <v>-1</v>
      </c>
      <c r="F125" s="16">
        <f>C125+D125</f>
        <v>185</v>
      </c>
      <c r="G125" s="24">
        <v>0.218</v>
      </c>
      <c r="H125" s="10">
        <v>-7.1</v>
      </c>
      <c r="I125" s="10">
        <v>-12.1</v>
      </c>
      <c r="J125" s="10">
        <v>-30</v>
      </c>
      <c r="K125" s="10">
        <v>6</v>
      </c>
      <c r="L125" s="11">
        <v>223</v>
      </c>
      <c r="M125" s="11">
        <v>223.2</v>
      </c>
      <c r="N125" s="11">
        <v>196</v>
      </c>
      <c r="O125" s="11">
        <v>250</v>
      </c>
      <c r="P125" s="11">
        <v>103.17</v>
      </c>
      <c r="Q125" s="11">
        <v>116.33</v>
      </c>
      <c r="R125" s="25">
        <f>Oranlar!Y125</f>
        <v>0.08029197080291971</v>
      </c>
      <c r="S125" s="26">
        <f>-Oranlar!O125</f>
        <v>-18.5</v>
      </c>
      <c r="T125" s="26">
        <f>-Oranlar!I125</f>
        <v>-18.5</v>
      </c>
      <c r="U125" s="27">
        <f>Oranlar!V125</f>
        <v>214.5</v>
      </c>
      <c r="V125" s="27">
        <f>Oranlar!L125</f>
        <v>215.5</v>
      </c>
      <c r="W125" s="28">
        <f>(U125+S125)/2</f>
        <v>98.0</v>
      </c>
      <c r="X125" s="28">
        <f>(U125-S125)/2</f>
        <v>116.5</v>
      </c>
      <c r="Y125" s="16">
        <f>IF(G125=0.5,"",IF((G125&gt;0.5)=(E125&gt;0),1,0))</f>
        <v>1</v>
      </c>
      <c r="Z125" s="16">
        <f>IF(R125=0.5,"",IF((R125&gt;0.5)=(E125&gt;0),1,0))</f>
        <v>1</v>
      </c>
      <c r="AA125" s="29">
        <f>(G125-IF(E125&gt;0,1,0))^2</f>
        <v>0.047524</v>
      </c>
      <c r="AB125" s="29">
        <f>(R125-IF(E125&gt;0,1,0))^2</f>
        <v>0.006446800575416911</v>
      </c>
      <c r="AC125" s="28">
        <f>ABS(H125-E125)</f>
        <v>6.1</v>
      </c>
      <c r="AD125" s="28">
        <f>ABS(I125-E125)</f>
        <v>11.1</v>
      </c>
      <c r="AE125" s="28">
        <f>ABS(S125-E125)</f>
        <v>17.5</v>
      </c>
      <c r="AF125" s="28">
        <f>ABS(L125-F125)</f>
        <v>38.0</v>
      </c>
      <c r="AG125" s="28">
        <f>ABS(M125-F125)</f>
        <v>38.19999999999999</v>
      </c>
      <c r="AH125" s="28">
        <f>ABS(U125-F125)</f>
        <v>29.5</v>
      </c>
      <c r="AI125" s="28">
        <f>ABS(P125-C125)</f>
        <v>11.170000000000002</v>
      </c>
      <c r="AJ125" s="28">
        <f>ABS(W125-C125)</f>
        <v>6.0</v>
      </c>
      <c r="AK125" s="28">
        <f>ABS(Q125-D125)</f>
        <v>23.33</v>
      </c>
      <c r="AL125" s="28">
        <f>ABS(X125-D125)</f>
        <v>23.5</v>
      </c>
      <c r="AM125" s="17" t="str">
        <f>IF(H125&gt;S125,"Ev",IF(H125&lt;S125,"Dep",""))</f>
        <v>Ev</v>
      </c>
      <c r="AN125" s="17" t="str">
        <f>IF(AM125="","",IF(E125=S125,"Push",IF((E125&gt;S125)=(AM125="Ev"),"Kazandı","Kaybetti")))</f>
        <v>Kazandı</v>
      </c>
      <c r="AO125" s="30">
        <f>IF(AM125="","",IF(AN125="Push",0,IF(AN125="Kazandı",IF(AM125="Ev",Oranlar!P125,Oranlar!Q125)-1,-1)))</f>
        <v>0.925925925925926</v>
      </c>
      <c r="AP125" s="17" t="str">
        <f>IF(L125&gt;U125,"Üst",IF(L125&lt;U125,"Alt",""))</f>
        <v>Üst</v>
      </c>
      <c r="AQ125" s="17" t="str">
        <f>IF(AP125="","",IF(F125=U125,"Push",IF((F125&gt;U125)=(AP125="Üst"),"Kazandı","Kaybetti")))</f>
        <v>Kaybetti</v>
      </c>
      <c r="AR125" s="30">
        <f>IF(AP125="","",IF(AQ125="Push",0,IF(AQ125="Kazandı",IF(AP125="Üst",Oranlar!W125,Oranlar!X125)-1,-1)))</f>
        <v>-1.0</v>
      </c>
      <c r="AS125" s="17" t="str">
        <f>IF(G125*Oranlar!R125&gt;1,"Ev",IF((1-G125)*Oranlar!S125&gt;1,"Dep",""))</f>
        <v>Ev</v>
      </c>
      <c r="AT125" s="30">
        <f>IF(AS125="","",IF((AS125="Ev")=(E125&gt;0),IF(AS125="Ev",Oranlar!R125,Oranlar!S125)-1,-1))</f>
        <v>-1.0</v>
      </c>
      <c r="AU125" s="16">
        <f>IF(OR(H125=T125,S125=T125),"",IF((H125&gt;T125)=(S125&gt;T125),1,0))</f>
        <v/>
      </c>
      <c r="AV125" s="16">
        <f>IF(OR(L125=V125,U125=V125),"",IF((L125&gt;V125)=(U125&gt;V125),1,0))</f>
        <v>0</v>
      </c>
      <c r="AW125" s="16">
        <f>IF(AND(E125&gt;=J125,E125&lt;=K125),1,0)</f>
        <v>1</v>
      </c>
      <c r="AX125" s="16">
        <f>IF(AND(F125&gt;=N125,F125&lt;=O125),1,0)</f>
        <v>0</v>
      </c>
    </row>
    <row r="126" spans="1:50">
      <c r="A126" s="21">
        <f>Oranlar!A126</f>
        <v>46101</v>
      </c>
      <c r="B126" s="22" t="str">
        <f>Oranlar!C126&amp;" @ "&amp;Oranlar!D126</f>
        <v>GSW @ DET</v>
      </c>
      <c r="C126" s="23">
        <f>Oranlar!F126</f>
        <v>115</v>
      </c>
      <c r="D126" s="23">
        <f>Oranlar!E126</f>
        <v>101</v>
      </c>
      <c r="E126" s="15">
        <f>C126-D126</f>
        <v>14</v>
      </c>
      <c r="F126" s="16">
        <f>C126+D126</f>
        <v>216</v>
      </c>
      <c r="G126" s="24">
        <v>0.6909999999999999</v>
      </c>
      <c r="H126" s="10">
        <v>5.78</v>
      </c>
      <c r="I126" s="10">
        <v>7.9</v>
      </c>
      <c r="J126" s="10">
        <v>-10</v>
      </c>
      <c r="K126" s="10">
        <v>27</v>
      </c>
      <c r="L126" s="11">
        <v>231.13</v>
      </c>
      <c r="M126" s="11">
        <v>229.7</v>
      </c>
      <c r="N126" s="11">
        <v>202</v>
      </c>
      <c r="O126" s="11">
        <v>257</v>
      </c>
      <c r="P126" s="11">
        <v>117.75</v>
      </c>
      <c r="Q126" s="11">
        <v>111.77</v>
      </c>
      <c r="R126" s="25">
        <f>Oranlar!Y126</f>
        <v>0.6750312469954812</v>
      </c>
      <c r="S126" s="26">
        <f>-Oranlar!O126</f>
        <v>6.5</v>
      </c>
      <c r="T126" s="26">
        <f>-Oranlar!I126</f>
        <v>6.5</v>
      </c>
      <c r="U126" s="27">
        <f>Oranlar!V126</f>
        <v>219.5</v>
      </c>
      <c r="V126" s="27">
        <f>Oranlar!L126</f>
        <v>217.5</v>
      </c>
      <c r="W126" s="28">
        <f>(U126+S126)/2</f>
        <v>113.0</v>
      </c>
      <c r="X126" s="28">
        <f>(U126-S126)/2</f>
        <v>106.5</v>
      </c>
      <c r="Y126" s="16">
        <f>IF(G126=0.5,"",IF((G126&gt;0.5)=(E126&gt;0),1,0))</f>
        <v>1</v>
      </c>
      <c r="Z126" s="16">
        <f>IF(R126=0.5,"",IF((R126&gt;0.5)=(E126&gt;0),1,0))</f>
        <v>1</v>
      </c>
      <c r="AA126" s="29">
        <f>(G126-IF(E126&gt;0,1,0))^2</f>
        <v>0.09548100000000004</v>
      </c>
      <c r="AB126" s="29">
        <f>(R126-IF(E126&gt;0,1,0))^2</f>
        <v>0.10560469042931193</v>
      </c>
      <c r="AC126" s="28">
        <f>ABS(H126-E126)</f>
        <v>8.219999999999999</v>
      </c>
      <c r="AD126" s="28">
        <f>ABS(I126-E126)</f>
        <v>6.1</v>
      </c>
      <c r="AE126" s="28">
        <f>ABS(S126-E126)</f>
        <v>7.5</v>
      </c>
      <c r="AF126" s="28">
        <f>ABS(L126-F126)</f>
        <v>15.129999999999995</v>
      </c>
      <c r="AG126" s="28">
        <f>ABS(M126-F126)</f>
        <v>13.699999999999989</v>
      </c>
      <c r="AH126" s="28">
        <f>ABS(U126-F126)</f>
        <v>3.5</v>
      </c>
      <c r="AI126" s="28">
        <f>ABS(P126-C126)</f>
        <v>2.75</v>
      </c>
      <c r="AJ126" s="28">
        <f>ABS(W126-C126)</f>
        <v>2.0</v>
      </c>
      <c r="AK126" s="28">
        <f>ABS(Q126-D126)</f>
        <v>10.769999999999996</v>
      </c>
      <c r="AL126" s="28">
        <f>ABS(X126-D126)</f>
        <v>5.5</v>
      </c>
      <c r="AM126" s="17" t="str">
        <f>IF(H126&gt;S126,"Ev",IF(H126&lt;S126,"Dep",""))</f>
        <v>Dep</v>
      </c>
      <c r="AN126" s="17" t="str">
        <f>IF(AM126="","",IF(E126=S126,"Push",IF((E126&gt;S126)=(AM126="Ev"),"Kazandı","Kaybetti")))</f>
        <v>Kaybetti</v>
      </c>
      <c r="AO126" s="30">
        <f>IF(AM126="","",IF(AN126="Push",0,IF(AN126="Kazandı",IF(AM126="Ev",Oranlar!P126,Oranlar!Q126)-1,-1)))</f>
        <v>-1.0</v>
      </c>
      <c r="AP126" s="17" t="str">
        <f>IF(L126&gt;U126,"Üst",IF(L126&lt;U126,"Alt",""))</f>
        <v>Üst</v>
      </c>
      <c r="AQ126" s="17" t="str">
        <f>IF(AP126="","",IF(F126=U126,"Push",IF((F126&gt;U126)=(AP126="Üst"),"Kazandı","Kaybetti")))</f>
        <v>Kaybetti</v>
      </c>
      <c r="AR126" s="30">
        <f>IF(AP126="","",IF(AQ126="Push",0,IF(AQ126="Kazandı",IF(AP126="Üst",Oranlar!W126,Oranlar!X126)-1,-1)))</f>
        <v>-1.0</v>
      </c>
      <c r="AS126" s="17">
        <f>IF(G126*Oranlar!R126&gt;1,"Ev",IF((1-G126)*Oranlar!S126&gt;1,"Dep",""))</f>
        <v/>
      </c>
      <c r="AT126" s="30">
        <f>IF(AS126="","",IF((AS126="Ev")=(E126&gt;0),IF(AS126="Ev",Oranlar!R126,Oranlar!S126)-1,-1))</f>
        <v/>
      </c>
      <c r="AU126" s="16">
        <f>IF(OR(H126=T126,S126=T126),"",IF((H126&gt;T126)=(S126&gt;T126),1,0))</f>
        <v/>
      </c>
      <c r="AV126" s="16">
        <f>IF(OR(L126=V126,U126=V126),"",IF((L126&gt;V126)=(U126&gt;V126),1,0))</f>
        <v>1</v>
      </c>
      <c r="AW126" s="16">
        <f>IF(AND(E126&gt;=J126,E126&lt;=K126),1,0)</f>
        <v>1</v>
      </c>
      <c r="AX126" s="16">
        <f>IF(AND(F126&gt;=N126,F126&lt;=O126),1,0)</f>
        <v>1</v>
      </c>
    </row>
    <row r="127" spans="1:50">
      <c r="A127" s="21">
        <f>Oranlar!A127</f>
        <v>46101</v>
      </c>
      <c r="B127" s="22" t="str">
        <f>Oranlar!C127&amp;" @ "&amp;Oranlar!D127</f>
        <v>ATL @ HOU</v>
      </c>
      <c r="C127" s="23">
        <f>Oranlar!F127</f>
        <v>117</v>
      </c>
      <c r="D127" s="23">
        <f>Oranlar!E127</f>
        <v>95</v>
      </c>
      <c r="E127" s="15">
        <f>C127-D127</f>
        <v>22</v>
      </c>
      <c r="F127" s="16">
        <f>C127+D127</f>
        <v>212</v>
      </c>
      <c r="G127" s="24">
        <v>0.631</v>
      </c>
      <c r="H127" s="10">
        <v>6.75</v>
      </c>
      <c r="I127" s="10">
        <v>-2.6</v>
      </c>
      <c r="J127" s="10">
        <v>-21</v>
      </c>
      <c r="K127" s="10">
        <v>16</v>
      </c>
      <c r="L127" s="11">
        <v>231.64</v>
      </c>
      <c r="M127" s="11">
        <v>233</v>
      </c>
      <c r="N127" s="11">
        <v>205</v>
      </c>
      <c r="O127" s="11">
        <v>261</v>
      </c>
      <c r="P127" s="11">
        <v>116.69</v>
      </c>
      <c r="Q127" s="11">
        <v>117.49</v>
      </c>
      <c r="R127" s="25">
        <f>Oranlar!Y127</f>
        <v>0.5720596355604638</v>
      </c>
      <c r="S127" s="26">
        <f>-Oranlar!O127</f>
        <v>2.5</v>
      </c>
      <c r="T127" s="26">
        <f>-Oranlar!I127</f>
        <v>3.5</v>
      </c>
      <c r="U127" s="27">
        <f>Oranlar!V127</f>
        <v>227.5</v>
      </c>
      <c r="V127" s="27">
        <f>Oranlar!L127</f>
        <v>225.5</v>
      </c>
      <c r="W127" s="28">
        <f>(U127+S127)/2</f>
        <v>115.0</v>
      </c>
      <c r="X127" s="28">
        <f>(U127-S127)/2</f>
        <v>112.5</v>
      </c>
      <c r="Y127" s="16">
        <f>IF(G127=0.5,"",IF((G127&gt;0.5)=(E127&gt;0),1,0))</f>
        <v>1</v>
      </c>
      <c r="Z127" s="16">
        <f>IF(R127=0.5,"",IF((R127&gt;0.5)=(E127&gt;0),1,0))</f>
        <v>1</v>
      </c>
      <c r="AA127" s="29">
        <f>(G127-IF(E127&gt;0,1,0))^2</f>
        <v>0.136161</v>
      </c>
      <c r="AB127" s="29">
        <f>(R127-IF(E127&gt;0,1,0))^2</f>
        <v>0.18313295551664305</v>
      </c>
      <c r="AC127" s="28">
        <f>ABS(H127-E127)</f>
        <v>15.25</v>
      </c>
      <c r="AD127" s="28">
        <f>ABS(I127-E127)</f>
        <v>24.6</v>
      </c>
      <c r="AE127" s="28">
        <f>ABS(S127-E127)</f>
        <v>19.5</v>
      </c>
      <c r="AF127" s="28">
        <f>ABS(L127-F127)</f>
        <v>19.639999999999986</v>
      </c>
      <c r="AG127" s="28">
        <f>ABS(M127-F127)</f>
        <v>21.0</v>
      </c>
      <c r="AH127" s="28">
        <f>ABS(U127-F127)</f>
        <v>15.5</v>
      </c>
      <c r="AI127" s="28">
        <f>ABS(P127-C127)</f>
        <v>0.3100000000000023</v>
      </c>
      <c r="AJ127" s="28">
        <f>ABS(W127-C127)</f>
        <v>2.0</v>
      </c>
      <c r="AK127" s="28">
        <f>ABS(Q127-D127)</f>
        <v>22.489999999999995</v>
      </c>
      <c r="AL127" s="28">
        <f>ABS(X127-D127)</f>
        <v>17.5</v>
      </c>
      <c r="AM127" s="17" t="str">
        <f>IF(H127&gt;S127,"Ev",IF(H127&lt;S127,"Dep",""))</f>
        <v>Ev</v>
      </c>
      <c r="AN127" s="17" t="str">
        <f>IF(AM127="","",IF(E127=S127,"Push",IF((E127&gt;S127)=(AM127="Ev"),"Kazandı","Kaybetti")))</f>
        <v>Kazandı</v>
      </c>
      <c r="AO127" s="30">
        <f>IF(AM127="","",IF(AN127="Push",0,IF(AN127="Kazandı",IF(AM127="Ev",Oranlar!P127,Oranlar!Q127)-1,-1)))</f>
        <v>0.8695652173913042</v>
      </c>
      <c r="AP127" s="17" t="str">
        <f>IF(L127&gt;U127,"Üst",IF(L127&lt;U127,"Alt",""))</f>
        <v>Üst</v>
      </c>
      <c r="AQ127" s="17" t="str">
        <f>IF(AP127="","",IF(F127=U127,"Push",IF((F127&gt;U127)=(AP127="Üst"),"Kazandı","Kaybetti")))</f>
        <v>Kaybetti</v>
      </c>
      <c r="AR127" s="30">
        <f>IF(AP127="","",IF(AQ127="Push",0,IF(AQ127="Kazandı",IF(AP127="Üst",Oranlar!W127,Oranlar!X127)-1,-1)))</f>
        <v>-1.0</v>
      </c>
      <c r="AS127" s="17" t="str">
        <f>IF(G127*Oranlar!R127&gt;1,"Ev",IF((1-G127)*Oranlar!S127&gt;1,"Dep",""))</f>
        <v>Ev</v>
      </c>
      <c r="AT127" s="30">
        <f>IF(AS127="","",IF((AS127="Ev")=(E127&gt;0),IF(AS127="Ev",Oranlar!R127,Oranlar!S127)-1,-1))</f>
        <v>0.6756756756756757</v>
      </c>
      <c r="AU127" s="16">
        <f>IF(OR(H127=T127,S127=T127),"",IF((H127&gt;T127)=(S127&gt;T127),1,0))</f>
        <v>0</v>
      </c>
      <c r="AV127" s="16">
        <f>IF(OR(L127=V127,U127=V127),"",IF((L127&gt;V127)=(U127&gt;V127),1,0))</f>
        <v>1</v>
      </c>
      <c r="AW127" s="16">
        <f>IF(AND(E127&gt;=J127,E127&lt;=K127),1,0)</f>
        <v>0</v>
      </c>
      <c r="AX127" s="16">
        <f>IF(AND(F127&gt;=N127,F127&lt;=O127),1,0)</f>
        <v>1</v>
      </c>
    </row>
    <row r="128" spans="1:50">
      <c r="A128" s="21">
        <f>Oranlar!A128</f>
        <v>46101</v>
      </c>
      <c r="B128" s="22" t="str">
        <f>Oranlar!C128&amp;" @ "&amp;Oranlar!D128</f>
        <v>BOS @ MEM</v>
      </c>
      <c r="C128" s="23">
        <f>Oranlar!F128</f>
        <v>112</v>
      </c>
      <c r="D128" s="23">
        <f>Oranlar!E128</f>
        <v>117</v>
      </c>
      <c r="E128" s="15">
        <f>C128-D128</f>
        <v>-5</v>
      </c>
      <c r="F128" s="16">
        <f>C128+D128</f>
        <v>229</v>
      </c>
      <c r="G128" s="24">
        <v>0.24</v>
      </c>
      <c r="H128" s="10">
        <v>-6.8</v>
      </c>
      <c r="I128" s="10">
        <v>-7.7</v>
      </c>
      <c r="J128" s="10">
        <v>-26</v>
      </c>
      <c r="K128" s="10">
        <v>11</v>
      </c>
      <c r="L128" s="11">
        <v>232.42</v>
      </c>
      <c r="M128" s="11">
        <v>236.3</v>
      </c>
      <c r="N128" s="11">
        <v>208</v>
      </c>
      <c r="O128" s="11">
        <v>264</v>
      </c>
      <c r="P128" s="11">
        <v>111.96</v>
      </c>
      <c r="Q128" s="11">
        <v>120.47</v>
      </c>
      <c r="R128" s="25">
        <f>Oranlar!Y128</f>
        <v>0.10661764705882351</v>
      </c>
      <c r="S128" s="26">
        <f>-Oranlar!O128</f>
        <v>-15.5</v>
      </c>
      <c r="T128" s="26">
        <f>-Oranlar!I128</f>
        <v>-14.5</v>
      </c>
      <c r="U128" s="27">
        <f>Oranlar!V128</f>
        <v>230.5</v>
      </c>
      <c r="V128" s="27">
        <f>Oranlar!L128</f>
        <v>228.5</v>
      </c>
      <c r="W128" s="28">
        <f>(U128+S128)/2</f>
        <v>107.5</v>
      </c>
      <c r="X128" s="28">
        <f>(U128-S128)/2</f>
        <v>123.0</v>
      </c>
      <c r="Y128" s="16">
        <f>IF(G128=0.5,"",IF((G128&gt;0.5)=(E128&gt;0),1,0))</f>
        <v>1</v>
      </c>
      <c r="Z128" s="16">
        <f>IF(R128=0.5,"",IF((R128&gt;0.5)=(E128&gt;0),1,0))</f>
        <v>1</v>
      </c>
      <c r="AA128" s="29">
        <f>(G128-IF(E128&gt;0,1,0))^2</f>
        <v>0.0576</v>
      </c>
      <c r="AB128" s="29">
        <f>(R128-IF(E128&gt;0,1,0))^2</f>
        <v>0.011367322664359858</v>
      </c>
      <c r="AC128" s="28">
        <f>ABS(H128-E128)</f>
        <v>1.7999999999999998</v>
      </c>
      <c r="AD128" s="28">
        <f>ABS(I128-E128)</f>
        <v>2.7</v>
      </c>
      <c r="AE128" s="28">
        <f>ABS(S128-E128)</f>
        <v>10.5</v>
      </c>
      <c r="AF128" s="28">
        <f>ABS(L128-F128)</f>
        <v>3.4199999999999875</v>
      </c>
      <c r="AG128" s="28">
        <f>ABS(M128-F128)</f>
        <v>7.300000000000011</v>
      </c>
      <c r="AH128" s="28">
        <f>ABS(U128-F128)</f>
        <v>1.5</v>
      </c>
      <c r="AI128" s="28">
        <f>ABS(P128-C128)</f>
        <v>0.04000000000000625</v>
      </c>
      <c r="AJ128" s="28">
        <f>ABS(W128-C128)</f>
        <v>4.5</v>
      </c>
      <c r="AK128" s="28">
        <f>ABS(Q128-D128)</f>
        <v>3.469999999999999</v>
      </c>
      <c r="AL128" s="28">
        <f>ABS(X128-D128)</f>
        <v>6.0</v>
      </c>
      <c r="AM128" s="17" t="str">
        <f>IF(H128&gt;S128,"Ev",IF(H128&lt;S128,"Dep",""))</f>
        <v>Ev</v>
      </c>
      <c r="AN128" s="17" t="str">
        <f>IF(AM128="","",IF(E128=S128,"Push",IF((E128&gt;S128)=(AM128="Ev"),"Kazandı","Kaybetti")))</f>
        <v>Kazandı</v>
      </c>
      <c r="AO128" s="30">
        <f>IF(AM128="","",IF(AN128="Push",0,IF(AN128="Kazandı",IF(AM128="Ev",Oranlar!P128,Oranlar!Q128)-1,-1)))</f>
        <v>0.9090909090909092</v>
      </c>
      <c r="AP128" s="17" t="str">
        <f>IF(L128&gt;U128,"Üst",IF(L128&lt;U128,"Alt",""))</f>
        <v>Üst</v>
      </c>
      <c r="AQ128" s="17" t="str">
        <f>IF(AP128="","",IF(F128=U128,"Push",IF((F128&gt;U128)=(AP128="Üst"),"Kazandı","Kaybetti")))</f>
        <v>Kaybetti</v>
      </c>
      <c r="AR128" s="30">
        <f>IF(AP128="","",IF(AQ128="Push",0,IF(AQ128="Kazandı",IF(AP128="Üst",Oranlar!W128,Oranlar!X128)-1,-1)))</f>
        <v>-1.0</v>
      </c>
      <c r="AS128" s="17" t="str">
        <f>IF(G128*Oranlar!R128&gt;1,"Ev",IF((1-G128)*Oranlar!S128&gt;1,"Dep",""))</f>
        <v>Ev</v>
      </c>
      <c r="AT128" s="30">
        <f>IF(AS128="","",IF((AS128="Ev")=(E128&gt;0),IF(AS128="Ev",Oranlar!R128,Oranlar!S128)-1,-1))</f>
        <v>-1.0</v>
      </c>
      <c r="AU128" s="16">
        <f>IF(OR(H128=T128,S128=T128),"",IF((H128&gt;T128)=(S128&gt;T128),1,0))</f>
        <v>0</v>
      </c>
      <c r="AV128" s="16">
        <f>IF(OR(L128=V128,U128=V128),"",IF((L128&gt;V128)=(U128&gt;V128),1,0))</f>
        <v>1</v>
      </c>
      <c r="AW128" s="16">
        <f>IF(AND(E128&gt;=J128,E128&lt;=K128),1,0)</f>
        <v>1</v>
      </c>
      <c r="AX128" s="16">
        <f>IF(AND(F128&gt;=N128,F128&lt;=O128),1,0)</f>
        <v>1</v>
      </c>
    </row>
    <row r="129" spans="1:50">
      <c r="A129" s="21">
        <f>Oranlar!A129</f>
        <v>46101</v>
      </c>
      <c r="B129" s="22" t="str">
        <f>Oranlar!C129&amp;" @ "&amp;Oranlar!D129</f>
        <v>POR @ MIN</v>
      </c>
      <c r="C129" s="23">
        <f>Oranlar!F129</f>
        <v>104</v>
      </c>
      <c r="D129" s="23">
        <f>Oranlar!E129</f>
        <v>108</v>
      </c>
      <c r="E129" s="15">
        <f>C129-D129</f>
        <v>-4</v>
      </c>
      <c r="F129" s="16">
        <f>C129+D129</f>
        <v>212</v>
      </c>
      <c r="G129" s="24">
        <v>0.581</v>
      </c>
      <c r="H129" s="10">
        <v>1.84</v>
      </c>
      <c r="I129" s="10">
        <v>4</v>
      </c>
      <c r="J129" s="10">
        <v>-14</v>
      </c>
      <c r="K129" s="10">
        <v>23</v>
      </c>
      <c r="L129" s="11">
        <v>228.96</v>
      </c>
      <c r="M129" s="11">
        <v>227.7</v>
      </c>
      <c r="N129" s="11">
        <v>200</v>
      </c>
      <c r="O129" s="11">
        <v>255</v>
      </c>
      <c r="P129" s="11">
        <v>115.63</v>
      </c>
      <c r="Q129" s="11">
        <v>114.23</v>
      </c>
      <c r="R129" s="25">
        <f>Oranlar!Y129</f>
        <v>0.5108342361863489</v>
      </c>
      <c r="S129" s="26">
        <f>-Oranlar!O129</f>
        <v>1.5</v>
      </c>
      <c r="T129" s="26">
        <f>-Oranlar!I129</f>
        <v>2.5</v>
      </c>
      <c r="U129" s="27">
        <f>Oranlar!V129</f>
        <v>231.5</v>
      </c>
      <c r="V129" s="27">
        <f>Oranlar!L129</f>
        <v>229.5</v>
      </c>
      <c r="W129" s="28">
        <f>(U129+S129)/2</f>
        <v>116.5</v>
      </c>
      <c r="X129" s="28">
        <f>(U129-S129)/2</f>
        <v>115.0</v>
      </c>
      <c r="Y129" s="16">
        <f>IF(G129=0.5,"",IF((G129&gt;0.5)=(E129&gt;0),1,0))</f>
        <v>0</v>
      </c>
      <c r="Z129" s="16">
        <f>IF(R129=0.5,"",IF((R129&gt;0.5)=(E129&gt;0),1,0))</f>
        <v>0</v>
      </c>
      <c r="AA129" s="29">
        <f>(G129-IF(E129&gt;0,1,0))^2</f>
        <v>0.33756099999999994</v>
      </c>
      <c r="AB129" s="29">
        <f>(R129-IF(E129&gt;0,1,0))^2</f>
        <v>0.26095161686009055</v>
      </c>
      <c r="AC129" s="28">
        <f>ABS(H129-E129)</f>
        <v>5.84</v>
      </c>
      <c r="AD129" s="28">
        <f>ABS(I129-E129)</f>
        <v>8.0</v>
      </c>
      <c r="AE129" s="28">
        <f>ABS(S129-E129)</f>
        <v>5.5</v>
      </c>
      <c r="AF129" s="28">
        <f>ABS(L129-F129)</f>
        <v>16.960000000000008</v>
      </c>
      <c r="AG129" s="28">
        <f>ABS(M129-F129)</f>
        <v>15.699999999999989</v>
      </c>
      <c r="AH129" s="28">
        <f>ABS(U129-F129)</f>
        <v>19.5</v>
      </c>
      <c r="AI129" s="28">
        <f>ABS(P129-C129)</f>
        <v>11.629999999999995</v>
      </c>
      <c r="AJ129" s="28">
        <f>ABS(W129-C129)</f>
        <v>12.5</v>
      </c>
      <c r="AK129" s="28">
        <f>ABS(Q129-D129)</f>
        <v>6.230000000000004</v>
      </c>
      <c r="AL129" s="28">
        <f>ABS(X129-D129)</f>
        <v>7.0</v>
      </c>
      <c r="AM129" s="17" t="str">
        <f>IF(H129&gt;S129,"Ev",IF(H129&lt;S129,"Dep",""))</f>
        <v>Ev</v>
      </c>
      <c r="AN129" s="17" t="str">
        <f>IF(AM129="","",IF(E129=S129,"Push",IF((E129&gt;S129)=(AM129="Ev"),"Kazandı","Kaybetti")))</f>
        <v>Kaybetti</v>
      </c>
      <c r="AO129" s="30">
        <f>IF(AM129="","",IF(AN129="Push",0,IF(AN129="Kazandı",IF(AM129="Ev",Oranlar!P129,Oranlar!Q129)-1,-1)))</f>
        <v>-1.0</v>
      </c>
      <c r="AP129" s="17" t="str">
        <f>IF(L129&gt;U129,"Üst",IF(L129&lt;U129,"Alt",""))</f>
        <v>Alt</v>
      </c>
      <c r="AQ129" s="17" t="str">
        <f>IF(AP129="","",IF(F129=U129,"Push",IF((F129&gt;U129)=(AP129="Üst"),"Kazandı","Kaybetti")))</f>
        <v>Kazandı</v>
      </c>
      <c r="AR129" s="30">
        <f>IF(AP129="","",IF(AQ129="Push",0,IF(AQ129="Kazandı",IF(AP129="Üst",Oranlar!W129,Oranlar!X129)-1,-1)))</f>
        <v>0.8928571428571428</v>
      </c>
      <c r="AS129" s="17" t="str">
        <f>IF(G129*Oranlar!R129&gt;1,"Ev",IF((1-G129)*Oranlar!S129&gt;1,"Dep",""))</f>
        <v>Ev</v>
      </c>
      <c r="AT129" s="30">
        <f>IF(AS129="","",IF((AS129="Ev")=(E129&gt;0),IF(AS129="Ev",Oranlar!R129,Oranlar!S129)-1,-1))</f>
        <v>-1.0</v>
      </c>
      <c r="AU129" s="16">
        <f>IF(OR(H129=T129,S129=T129),"",IF((H129&gt;T129)=(S129&gt;T129),1,0))</f>
        <v>1</v>
      </c>
      <c r="AV129" s="16">
        <f>IF(OR(L129=V129,U129=V129),"",IF((L129&gt;V129)=(U129&gt;V129),1,0))</f>
        <v>0</v>
      </c>
      <c r="AW129" s="16">
        <f>IF(AND(E129&gt;=J129,E129&lt;=K129),1,0)</f>
        <v>1</v>
      </c>
      <c r="AX129" s="16">
        <f>IF(AND(F129&gt;=N129,F129&lt;=O129),1,0)</f>
        <v>1</v>
      </c>
    </row>
    <row r="130" spans="1:50">
      <c r="A130" s="21">
        <f>Oranlar!A130</f>
        <v>46101</v>
      </c>
      <c r="B130" s="22" t="str">
        <f>Oranlar!C130&amp;" @ "&amp;Oranlar!D130</f>
        <v>TOR @ DEN</v>
      </c>
      <c r="C130" s="23">
        <f>Oranlar!F130</f>
        <v>121</v>
      </c>
      <c r="D130" s="23">
        <f>Oranlar!E130</f>
        <v>115</v>
      </c>
      <c r="E130" s="15">
        <f>C130-D130</f>
        <v>6</v>
      </c>
      <c r="F130" s="16">
        <f>C130+D130</f>
        <v>236</v>
      </c>
      <c r="G130" s="24">
        <v>0.553</v>
      </c>
      <c r="H130" s="10">
        <v>0.12</v>
      </c>
      <c r="I130" s="10">
        <v>1.2</v>
      </c>
      <c r="J130" s="10">
        <v>-17</v>
      </c>
      <c r="K130" s="10">
        <v>20</v>
      </c>
      <c r="L130" s="11">
        <v>232.33</v>
      </c>
      <c r="M130" s="11">
        <v>230.6</v>
      </c>
      <c r="N130" s="11">
        <v>203</v>
      </c>
      <c r="O130" s="11">
        <v>258</v>
      </c>
      <c r="P130" s="11">
        <v>115.09</v>
      </c>
      <c r="Q130" s="11">
        <v>117.92</v>
      </c>
      <c r="R130" s="25">
        <f>Oranlar!Y130</f>
        <v>0.700162074554295</v>
      </c>
      <c r="S130" s="26">
        <f>-Oranlar!O130</f>
        <v>6.5</v>
      </c>
      <c r="T130" s="26">
        <f>-Oranlar!I130</f>
        <v>6.5</v>
      </c>
      <c r="U130" s="27">
        <f>Oranlar!V130</f>
        <v>239.5</v>
      </c>
      <c r="V130" s="27">
        <f>Oranlar!L130</f>
        <v>234.5</v>
      </c>
      <c r="W130" s="28">
        <f>(U130+S130)/2</f>
        <v>123.0</v>
      </c>
      <c r="X130" s="28">
        <f>(U130-S130)/2</f>
        <v>116.5</v>
      </c>
      <c r="Y130" s="16">
        <f>IF(G130=0.5,"",IF((G130&gt;0.5)=(E130&gt;0),1,0))</f>
        <v>1</v>
      </c>
      <c r="Z130" s="16">
        <f>IF(R130=0.5,"",IF((R130&gt;0.5)=(E130&gt;0),1,0))</f>
        <v>1</v>
      </c>
      <c r="AA130" s="29">
        <f>(G130-IF(E130&gt;0,1,0))^2</f>
        <v>0.19980899999999996</v>
      </c>
      <c r="AB130" s="29">
        <f>(R130-IF(E130&gt;0,1,0))^2</f>
        <v>0.08990278153558413</v>
      </c>
      <c r="AC130" s="28">
        <f>ABS(H130-E130)</f>
        <v>5.88</v>
      </c>
      <c r="AD130" s="28">
        <f>ABS(I130-E130)</f>
        <v>4.8</v>
      </c>
      <c r="AE130" s="28">
        <f>ABS(S130-E130)</f>
        <v>0.5</v>
      </c>
      <c r="AF130" s="28">
        <f>ABS(L130-F130)</f>
        <v>3.6699999999999875</v>
      </c>
      <c r="AG130" s="28">
        <f>ABS(M130-F130)</f>
        <v>5.400000000000006</v>
      </c>
      <c r="AH130" s="28">
        <f>ABS(U130-F130)</f>
        <v>3.5</v>
      </c>
      <c r="AI130" s="28">
        <f>ABS(P130-C130)</f>
        <v>5.909999999999997</v>
      </c>
      <c r="AJ130" s="28">
        <f>ABS(W130-C130)</f>
        <v>2.0</v>
      </c>
      <c r="AK130" s="28">
        <f>ABS(Q130-D130)</f>
        <v>2.9200000000000017</v>
      </c>
      <c r="AL130" s="28">
        <f>ABS(X130-D130)</f>
        <v>1.5</v>
      </c>
      <c r="AM130" s="17" t="str">
        <f>IF(H130&gt;S130,"Ev",IF(H130&lt;S130,"Dep",""))</f>
        <v>Dep</v>
      </c>
      <c r="AN130" s="17" t="str">
        <f>IF(AM130="","",IF(E130=S130,"Push",IF((E130&gt;S130)=(AM130="Ev"),"Kazandı","Kaybetti")))</f>
        <v>Kazandı</v>
      </c>
      <c r="AO130" s="30">
        <f>IF(AM130="","",IF(AN130="Push",0,IF(AN130="Kazandı",IF(AM130="Ev",Oranlar!P130,Oranlar!Q130)-1,-1)))</f>
        <v>0.925925925925926</v>
      </c>
      <c r="AP130" s="17" t="str">
        <f>IF(L130&gt;U130,"Üst",IF(L130&lt;U130,"Alt",""))</f>
        <v>Alt</v>
      </c>
      <c r="AQ130" s="17" t="str">
        <f>IF(AP130="","",IF(F130=U130,"Push",IF((F130&gt;U130)=(AP130="Üst"),"Kazandı","Kaybetti")))</f>
        <v>Kazandı</v>
      </c>
      <c r="AR130" s="30">
        <f>IF(AP130="","",IF(AQ130="Push",0,IF(AQ130="Kazandı",IF(AP130="Üst",Oranlar!W130,Oranlar!X130)-1,-1)))</f>
        <v>0.8695652173913042</v>
      </c>
      <c r="AS130" s="17" t="str">
        <f>IF(G130*Oranlar!R130&gt;1,"Ev",IF((1-G130)*Oranlar!S130&gt;1,"Dep",""))</f>
        <v>Dep</v>
      </c>
      <c r="AT130" s="30">
        <f>IF(AS130="","",IF((AS130="Ev")=(E130&gt;0),IF(AS130="Ev",Oranlar!R130,Oranlar!S130)-1,-1))</f>
        <v>-1.0</v>
      </c>
      <c r="AU130" s="16">
        <f>IF(OR(H130=T130,S130=T130),"",IF((H130&gt;T130)=(S130&gt;T130),1,0))</f>
        <v/>
      </c>
      <c r="AV130" s="16">
        <f>IF(OR(L130=V130,U130=V130),"",IF((L130&gt;V130)=(U130&gt;V130),1,0))</f>
        <v>0</v>
      </c>
      <c r="AW130" s="16">
        <f>IF(AND(E130&gt;=J130,E130&lt;=K130),1,0)</f>
        <v>1</v>
      </c>
      <c r="AX130" s="16">
        <f>IF(AND(F130&gt;=N130,F130&lt;=O130),1,0)</f>
        <v>1</v>
      </c>
    </row>
    <row r="131" spans="1:50">
      <c r="A131" s="21">
        <f>Oranlar!A131</f>
        <v>46102</v>
      </c>
      <c r="B131" s="22" t="str">
        <f>Oranlar!C131&amp;" @ "&amp;Oranlar!D131</f>
        <v>OKC @ WAS</v>
      </c>
      <c r="C131" s="23">
        <f>Oranlar!F131</f>
        <v>111</v>
      </c>
      <c r="D131" s="23">
        <f>Oranlar!E131</f>
        <v>132</v>
      </c>
      <c r="E131" s="15">
        <f>C131-D131</f>
        <v>-21</v>
      </c>
      <c r="F131" s="16">
        <f>C131+D131</f>
        <v>243</v>
      </c>
      <c r="G131" s="24">
        <v>0.211</v>
      </c>
      <c r="H131" s="10">
        <v>-10.99</v>
      </c>
      <c r="I131" s="10">
        <v>-13.1</v>
      </c>
      <c r="J131" s="10">
        <v>-31</v>
      </c>
      <c r="K131" s="10">
        <v>5</v>
      </c>
      <c r="L131" s="11">
        <v>228.06</v>
      </c>
      <c r="M131" s="11">
        <v>226.5</v>
      </c>
      <c r="N131" s="11">
        <v>199</v>
      </c>
      <c r="O131" s="11">
        <v>254</v>
      </c>
      <c r="P131" s="11">
        <v>109.09</v>
      </c>
      <c r="Q131" s="11">
        <v>121.22</v>
      </c>
      <c r="R131" s="25">
        <f>Oranlar!Y131</f>
        <v>0.06888361045130642</v>
      </c>
      <c r="S131" s="26">
        <f>-Oranlar!O131</f>
        <v>-21.5</v>
      </c>
      <c r="T131" s="26">
        <f>-Oranlar!I131</f>
        <v>-21.5</v>
      </c>
      <c r="U131" s="27">
        <f>Oranlar!V131</f>
        <v>230.5</v>
      </c>
      <c r="V131" s="27">
        <f>Oranlar!L131</f>
        <v>228.5</v>
      </c>
      <c r="W131" s="28">
        <f>(U131+S131)/2</f>
        <v>104.5</v>
      </c>
      <c r="X131" s="28">
        <f>(U131-S131)/2</f>
        <v>126.0</v>
      </c>
      <c r="Y131" s="16">
        <f>IF(G131=0.5,"",IF((G131&gt;0.5)=(E131&gt;0),1,0))</f>
        <v>1</v>
      </c>
      <c r="Z131" s="16">
        <f>IF(R131=0.5,"",IF((R131&gt;0.5)=(E131&gt;0),1,0))</f>
        <v>1</v>
      </c>
      <c r="AA131" s="29">
        <f>(G131-IF(E131&gt;0,1,0))^2</f>
        <v>0.044521</v>
      </c>
      <c r="AB131" s="29">
        <f>(R131-IF(E131&gt;0,1,0))^2</f>
        <v>0.004744951788807331</v>
      </c>
      <c r="AC131" s="28">
        <f>ABS(H131-E131)</f>
        <v>10.01</v>
      </c>
      <c r="AD131" s="28">
        <f>ABS(I131-E131)</f>
        <v>7.9</v>
      </c>
      <c r="AE131" s="28">
        <f>ABS(S131-E131)</f>
        <v>0.5</v>
      </c>
      <c r="AF131" s="28">
        <f>ABS(L131-F131)</f>
        <v>14.939999999999998</v>
      </c>
      <c r="AG131" s="28">
        <f>ABS(M131-F131)</f>
        <v>16.5</v>
      </c>
      <c r="AH131" s="28">
        <f>ABS(U131-F131)</f>
        <v>12.5</v>
      </c>
      <c r="AI131" s="28">
        <f>ABS(P131-C131)</f>
        <v>1.9099999999999966</v>
      </c>
      <c r="AJ131" s="28">
        <f>ABS(W131-C131)</f>
        <v>6.5</v>
      </c>
      <c r="AK131" s="28">
        <f>ABS(Q131-D131)</f>
        <v>10.780000000000001</v>
      </c>
      <c r="AL131" s="28">
        <f>ABS(X131-D131)</f>
        <v>6.0</v>
      </c>
      <c r="AM131" s="17" t="str">
        <f>IF(H131&gt;S131,"Ev",IF(H131&lt;S131,"Dep",""))</f>
        <v>Ev</v>
      </c>
      <c r="AN131" s="17" t="str">
        <f>IF(AM131="","",IF(E131=S131,"Push",IF((E131&gt;S131)=(AM131="Ev"),"Kazandı","Kaybetti")))</f>
        <v>Kazandı</v>
      </c>
      <c r="AO131" s="30">
        <f>IF(AM131="","",IF(AN131="Push",0,IF(AN131="Kazandı",IF(AM131="Ev",Oranlar!P131,Oranlar!Q131)-1,-1)))</f>
        <v>0.9090909090909092</v>
      </c>
      <c r="AP131" s="17" t="str">
        <f>IF(L131&gt;U131,"Üst",IF(L131&lt;U131,"Alt",""))</f>
        <v>Alt</v>
      </c>
      <c r="AQ131" s="17" t="str">
        <f>IF(AP131="","",IF(F131=U131,"Push",IF((F131&gt;U131)=(AP131="Üst"),"Kazandı","Kaybetti")))</f>
        <v>Kaybetti</v>
      </c>
      <c r="AR131" s="30">
        <f>IF(AP131="","",IF(AQ131="Push",0,IF(AQ131="Kazandı",IF(AP131="Üst",Oranlar!W131,Oranlar!X131)-1,-1)))</f>
        <v>-1.0</v>
      </c>
      <c r="AS131" s="17" t="str">
        <f>IF(G131*Oranlar!R131&gt;1,"Ev",IF((1-G131)*Oranlar!S131&gt;1,"Dep",""))</f>
        <v>Ev</v>
      </c>
      <c r="AT131" s="30">
        <f>IF(AS131="","",IF((AS131="Ev")=(E131&gt;0),IF(AS131="Ev",Oranlar!R131,Oranlar!S131)-1,-1))</f>
        <v>-1.0</v>
      </c>
      <c r="AU131" s="16">
        <f>IF(OR(H131=T131,S131=T131),"",IF((H131&gt;T131)=(S131&gt;T131),1,0))</f>
        <v/>
      </c>
      <c r="AV131" s="16">
        <f>IF(OR(L131=V131,U131=V131),"",IF((L131&gt;V131)=(U131&gt;V131),1,0))</f>
        <v>0</v>
      </c>
      <c r="AW131" s="16">
        <f>IF(AND(E131&gt;=J131,E131&lt;=K131),1,0)</f>
        <v>1</v>
      </c>
      <c r="AX131" s="16">
        <f>IF(AND(F131&gt;=N131,F131&lt;=O131),1,0)</f>
        <v>1</v>
      </c>
    </row>
    <row r="132" spans="1:50">
      <c r="A132" s="21">
        <f>Oranlar!A132</f>
        <v>46102</v>
      </c>
      <c r="B132" s="22" t="str">
        <f>Oranlar!C132&amp;" @ "&amp;Oranlar!D132</f>
        <v>MEM @ CHA</v>
      </c>
      <c r="C132" s="23">
        <f>Oranlar!F132</f>
        <v>124</v>
      </c>
      <c r="D132" s="23">
        <f>Oranlar!E132</f>
        <v>101</v>
      </c>
      <c r="E132" s="15">
        <f>C132-D132</f>
        <v>23</v>
      </c>
      <c r="F132" s="16">
        <f>C132+D132</f>
        <v>225</v>
      </c>
      <c r="G132" s="24">
        <v>0.766</v>
      </c>
      <c r="H132" s="10">
        <v>11.72</v>
      </c>
      <c r="I132" s="10">
        <v>13.2</v>
      </c>
      <c r="J132" s="10">
        <v>-5</v>
      </c>
      <c r="K132" s="10">
        <v>32</v>
      </c>
      <c r="L132" s="11">
        <v>226.03</v>
      </c>
      <c r="M132" s="11">
        <v>228.5</v>
      </c>
      <c r="N132" s="11">
        <v>201</v>
      </c>
      <c r="O132" s="11">
        <v>256</v>
      </c>
      <c r="P132" s="11">
        <v>119.65</v>
      </c>
      <c r="Q132" s="11">
        <v>107.56</v>
      </c>
      <c r="R132" s="25">
        <f>Oranlar!Y132</f>
        <v>0.908256880733945</v>
      </c>
      <c r="S132" s="26">
        <f>-Oranlar!O132</f>
        <v>18.5</v>
      </c>
      <c r="T132" s="26">
        <f>-Oranlar!I132</f>
        <v>15.5</v>
      </c>
      <c r="U132" s="27">
        <f>Oranlar!V132</f>
        <v>233.5</v>
      </c>
      <c r="V132" s="27">
        <f>Oranlar!L132</f>
        <v>234.5</v>
      </c>
      <c r="W132" s="28">
        <f>(U132+S132)/2</f>
        <v>126.0</v>
      </c>
      <c r="X132" s="28">
        <f>(U132-S132)/2</f>
        <v>107.5</v>
      </c>
      <c r="Y132" s="16">
        <f>IF(G132=0.5,"",IF((G132&gt;0.5)=(E132&gt;0),1,0))</f>
        <v>1</v>
      </c>
      <c r="Z132" s="16">
        <f>IF(R132=0.5,"",IF((R132&gt;0.5)=(E132&gt;0),1,0))</f>
        <v>1</v>
      </c>
      <c r="AA132" s="29">
        <f>(G132-IF(E132&gt;0,1,0))^2</f>
        <v>0.05475599999999999</v>
      </c>
      <c r="AB132" s="29">
        <f>(R132-IF(E132&gt;0,1,0))^2</f>
        <v>0.008416799932665602</v>
      </c>
      <c r="AC132" s="28">
        <f>ABS(H132-E132)</f>
        <v>11.28</v>
      </c>
      <c r="AD132" s="28">
        <f>ABS(I132-E132)</f>
        <v>9.8</v>
      </c>
      <c r="AE132" s="28">
        <f>ABS(S132-E132)</f>
        <v>4.5</v>
      </c>
      <c r="AF132" s="28">
        <f>ABS(L132-F132)</f>
        <v>1.0300000000000011</v>
      </c>
      <c r="AG132" s="28">
        <f>ABS(M132-F132)</f>
        <v>3.5</v>
      </c>
      <c r="AH132" s="28">
        <f>ABS(U132-F132)</f>
        <v>8.5</v>
      </c>
      <c r="AI132" s="28">
        <f>ABS(P132-C132)</f>
        <v>4.349999999999994</v>
      </c>
      <c r="AJ132" s="28">
        <f>ABS(W132-C132)</f>
        <v>2.0</v>
      </c>
      <c r="AK132" s="28">
        <f>ABS(Q132-D132)</f>
        <v>6.560000000000002</v>
      </c>
      <c r="AL132" s="28">
        <f>ABS(X132-D132)</f>
        <v>6.5</v>
      </c>
      <c r="AM132" s="17" t="str">
        <f>IF(H132&gt;S132,"Ev",IF(H132&lt;S132,"Dep",""))</f>
        <v>Dep</v>
      </c>
      <c r="AN132" s="17" t="str">
        <f>IF(AM132="","",IF(E132=S132,"Push",IF((E132&gt;S132)=(AM132="Ev"),"Kazandı","Kaybetti")))</f>
        <v>Kaybetti</v>
      </c>
      <c r="AO132" s="30">
        <f>IF(AM132="","",IF(AN132="Push",0,IF(AN132="Kazandı",IF(AM132="Ev",Oranlar!P132,Oranlar!Q132)-1,-1)))</f>
        <v>-1.0</v>
      </c>
      <c r="AP132" s="17" t="str">
        <f>IF(L132&gt;U132,"Üst",IF(L132&lt;U132,"Alt",""))</f>
        <v>Alt</v>
      </c>
      <c r="AQ132" s="17" t="str">
        <f>IF(AP132="","",IF(F132=U132,"Push",IF((F132&gt;U132)=(AP132="Üst"),"Kazandı","Kaybetti")))</f>
        <v>Kazandı</v>
      </c>
      <c r="AR132" s="30">
        <f>IF(AP132="","",IF(AQ132="Push",0,IF(AQ132="Kazandı",IF(AP132="Üst",Oranlar!W132,Oranlar!X132)-1,-1)))</f>
        <v>0.8695652173913042</v>
      </c>
      <c r="AS132" s="17" t="str">
        <f>IF(G132*Oranlar!R132&gt;1,"Ev",IF((1-G132)*Oranlar!S132&gt;1,"Dep",""))</f>
        <v>Dep</v>
      </c>
      <c r="AT132" s="30">
        <f>IF(AS132="","",IF((AS132="Ev")=(E132&gt;0),IF(AS132="Ev",Oranlar!R132,Oranlar!S132)-1,-1))</f>
        <v>-1.0</v>
      </c>
      <c r="AU132" s="16">
        <f>IF(OR(H132=T132,S132=T132),"",IF((H132&gt;T132)=(S132&gt;T132),1,0))</f>
        <v>0</v>
      </c>
      <c r="AV132" s="16">
        <f>IF(OR(L132=V132,U132=V132),"",IF((L132&gt;V132)=(U132&gt;V132),1,0))</f>
        <v>1</v>
      </c>
      <c r="AW132" s="16">
        <f>IF(AND(E132&gt;=J132,E132&lt;=K132),1,0)</f>
        <v>1</v>
      </c>
      <c r="AX132" s="16">
        <f>IF(AND(F132&gt;=N132,F132&lt;=O132),1,0)</f>
        <v>1</v>
      </c>
    </row>
    <row r="133" spans="1:50">
      <c r="A133" s="21">
        <f>Oranlar!A133</f>
        <v>46102</v>
      </c>
      <c r="B133" s="22" t="str">
        <f>Oranlar!C133&amp;" @ "&amp;Oranlar!D133</f>
        <v>LAL @ ORL</v>
      </c>
      <c r="C133" s="23">
        <f>Oranlar!F133</f>
        <v>104</v>
      </c>
      <c r="D133" s="23">
        <f>Oranlar!E133</f>
        <v>105</v>
      </c>
      <c r="E133" s="15">
        <f>C133-D133</f>
        <v>-1</v>
      </c>
      <c r="F133" s="16">
        <f>C133+D133</f>
        <v>209</v>
      </c>
      <c r="G133" s="24">
        <v>0.454</v>
      </c>
      <c r="H133" s="10">
        <v>-0.4</v>
      </c>
      <c r="I133" s="10">
        <v>0.4</v>
      </c>
      <c r="J133" s="10">
        <v>-18</v>
      </c>
      <c r="K133" s="10">
        <v>19</v>
      </c>
      <c r="L133" s="11">
        <v>232.98</v>
      </c>
      <c r="M133" s="11">
        <v>230.8</v>
      </c>
      <c r="N133" s="11">
        <v>203</v>
      </c>
      <c r="O133" s="11">
        <v>258</v>
      </c>
      <c r="P133" s="11">
        <v>117.47</v>
      </c>
      <c r="Q133" s="11">
        <v>115.33</v>
      </c>
      <c r="R133" s="25">
        <f>Oranlar!Y133</f>
        <v>0.41700735895339325</v>
      </c>
      <c r="S133" s="26">
        <f>-Oranlar!O133</f>
        <v>-2.5</v>
      </c>
      <c r="T133" s="26">
        <f>-Oranlar!I133</f>
        <v>-2.5</v>
      </c>
      <c r="U133" s="27">
        <f>Oranlar!V133</f>
        <v>234.5</v>
      </c>
      <c r="V133" s="27">
        <f>Oranlar!L133</f>
        <v>231.5</v>
      </c>
      <c r="W133" s="28">
        <f>(U133+S133)/2</f>
        <v>116.0</v>
      </c>
      <c r="X133" s="28">
        <f>(U133-S133)/2</f>
        <v>118.5</v>
      </c>
      <c r="Y133" s="16">
        <f>IF(G133=0.5,"",IF((G133&gt;0.5)=(E133&gt;0),1,0))</f>
        <v>1</v>
      </c>
      <c r="Z133" s="16">
        <f>IF(R133=0.5,"",IF((R133&gt;0.5)=(E133&gt;0),1,0))</f>
        <v>1</v>
      </c>
      <c r="AA133" s="29">
        <f>(G133-IF(E133&gt;0,1,0))^2</f>
        <v>0.20611600000000002</v>
      </c>
      <c r="AB133" s="29">
        <f>(R133-IF(E133&gt;0,1,0))^2</f>
        <v>0.17389513742128415</v>
      </c>
      <c r="AC133" s="28">
        <f>ABS(H133-E133)</f>
        <v>0.6</v>
      </c>
      <c r="AD133" s="28">
        <f>ABS(I133-E133)</f>
        <v>1.4</v>
      </c>
      <c r="AE133" s="28">
        <f>ABS(S133-E133)</f>
        <v>1.5</v>
      </c>
      <c r="AF133" s="28">
        <f>ABS(L133-F133)</f>
        <v>23.97999999999999</v>
      </c>
      <c r="AG133" s="28">
        <f>ABS(M133-F133)</f>
        <v>21.80000000000001</v>
      </c>
      <c r="AH133" s="28">
        <f>ABS(U133-F133)</f>
        <v>25.5</v>
      </c>
      <c r="AI133" s="28">
        <f>ABS(P133-C133)</f>
        <v>13.469999999999999</v>
      </c>
      <c r="AJ133" s="28">
        <f>ABS(W133-C133)</f>
        <v>12.0</v>
      </c>
      <c r="AK133" s="28">
        <f>ABS(Q133-D133)</f>
        <v>10.329999999999998</v>
      </c>
      <c r="AL133" s="28">
        <f>ABS(X133-D133)</f>
        <v>13.5</v>
      </c>
      <c r="AM133" s="17" t="str">
        <f>IF(H133&gt;S133,"Ev",IF(H133&lt;S133,"Dep",""))</f>
        <v>Ev</v>
      </c>
      <c r="AN133" s="17" t="str">
        <f>IF(AM133="","",IF(E133=S133,"Push",IF((E133&gt;S133)=(AM133="Ev"),"Kazandı","Kaybetti")))</f>
        <v>Kazandı</v>
      </c>
      <c r="AO133" s="30">
        <f>IF(AM133="","",IF(AN133="Push",0,IF(AN133="Kazandı",IF(AM133="Ev",Oranlar!P133,Oranlar!Q133)-1,-1)))</f>
        <v>0.9803921568627452</v>
      </c>
      <c r="AP133" s="17" t="str">
        <f>IF(L133&gt;U133,"Üst",IF(L133&lt;U133,"Alt",""))</f>
        <v>Alt</v>
      </c>
      <c r="AQ133" s="17" t="str">
        <f>IF(AP133="","",IF(F133=U133,"Push",IF((F133&gt;U133)=(AP133="Üst"),"Kazandı","Kaybetti")))</f>
        <v>Kazandı</v>
      </c>
      <c r="AR133" s="30">
        <f>IF(AP133="","",IF(AQ133="Push",0,IF(AQ133="Kazandı",IF(AP133="Üst",Oranlar!W133,Oranlar!X133)-1,-1)))</f>
        <v>0.8928571428571428</v>
      </c>
      <c r="AS133" s="17" t="str">
        <f>IF(G133*Oranlar!R133&gt;1,"Ev",IF((1-G133)*Oranlar!S133&gt;1,"Dep",""))</f>
        <v>Ev</v>
      </c>
      <c r="AT133" s="30">
        <f>IF(AS133="","",IF((AS133="Ev")=(E133&gt;0),IF(AS133="Ev",Oranlar!R133,Oranlar!S133)-1,-1))</f>
        <v>-1.0</v>
      </c>
      <c r="AU133" s="16">
        <f>IF(OR(H133=T133,S133=T133),"",IF((H133&gt;T133)=(S133&gt;T133),1,0))</f>
        <v/>
      </c>
      <c r="AV133" s="16">
        <f>IF(OR(L133=V133,U133=V133),"",IF((L133&gt;V133)=(U133&gt;V133),1,0))</f>
        <v>1</v>
      </c>
      <c r="AW133" s="16">
        <f>IF(AND(E133&gt;=J133,E133&lt;=K133),1,0)</f>
        <v>1</v>
      </c>
      <c r="AX133" s="16">
        <f>IF(AND(F133&gt;=N133,F133&lt;=O133),1,0)</f>
        <v>1</v>
      </c>
    </row>
    <row r="134" spans="1:50">
      <c r="A134" s="21">
        <f>Oranlar!A134</f>
        <v>46102</v>
      </c>
      <c r="B134" s="22" t="str">
        <f>Oranlar!C134&amp;" @ "&amp;Oranlar!D134</f>
        <v>CLE @ NOP</v>
      </c>
      <c r="C134" s="23">
        <f>Oranlar!F134</f>
        <v>106</v>
      </c>
      <c r="D134" s="23">
        <f>Oranlar!E134</f>
        <v>111</v>
      </c>
      <c r="E134" s="15">
        <f>C134-D134</f>
        <v>-5</v>
      </c>
      <c r="F134" s="16">
        <f>C134+D134</f>
        <v>217</v>
      </c>
      <c r="G134" s="24">
        <v>0.367</v>
      </c>
      <c r="H134" s="10">
        <v>-2.85</v>
      </c>
      <c r="I134" s="10">
        <v>-0.7</v>
      </c>
      <c r="J134" s="10">
        <v>-19</v>
      </c>
      <c r="K134" s="10">
        <v>18</v>
      </c>
      <c r="L134" s="11">
        <v>236.43</v>
      </c>
      <c r="M134" s="11">
        <v>236.2</v>
      </c>
      <c r="N134" s="11">
        <v>208</v>
      </c>
      <c r="O134" s="11">
        <v>264</v>
      </c>
      <c r="P134" s="11">
        <v>117.74</v>
      </c>
      <c r="Q134" s="11">
        <v>119.48</v>
      </c>
      <c r="R134" s="25">
        <f>Oranlar!Y134</f>
        <v>0.35527082119976705</v>
      </c>
      <c r="S134" s="26">
        <f>-Oranlar!O134</f>
        <v>-4.5</v>
      </c>
      <c r="T134" s="26">
        <f>-Oranlar!I134</f>
        <v>-5.5</v>
      </c>
      <c r="U134" s="27">
        <f>Oranlar!V134</f>
        <v>237.5</v>
      </c>
      <c r="V134" s="27">
        <f>Oranlar!L134</f>
        <v>233.5</v>
      </c>
      <c r="W134" s="28">
        <f>(U134+S134)/2</f>
        <v>116.5</v>
      </c>
      <c r="X134" s="28">
        <f>(U134-S134)/2</f>
        <v>121.0</v>
      </c>
      <c r="Y134" s="16">
        <f>IF(G134=0.5,"",IF((G134&gt;0.5)=(E134&gt;0),1,0))</f>
        <v>1</v>
      </c>
      <c r="Z134" s="16">
        <f>IF(R134=0.5,"",IF((R134&gt;0.5)=(E134&gt;0),1,0))</f>
        <v>1</v>
      </c>
      <c r="AA134" s="29">
        <f>(G134-IF(E134&gt;0,1,0))^2</f>
        <v>0.134689</v>
      </c>
      <c r="AB134" s="29">
        <f>(R134-IF(E134&gt;0,1,0))^2</f>
        <v>0.12621735639595685</v>
      </c>
      <c r="AC134" s="28">
        <f>ABS(H134-E134)</f>
        <v>2.15</v>
      </c>
      <c r="AD134" s="28">
        <f>ABS(I134-E134)</f>
        <v>4.3</v>
      </c>
      <c r="AE134" s="28">
        <f>ABS(S134-E134)</f>
        <v>0.5</v>
      </c>
      <c r="AF134" s="28">
        <f>ABS(L134-F134)</f>
        <v>19.430000000000007</v>
      </c>
      <c r="AG134" s="28">
        <f>ABS(M134-F134)</f>
        <v>19.19999999999999</v>
      </c>
      <c r="AH134" s="28">
        <f>ABS(U134-F134)</f>
        <v>20.5</v>
      </c>
      <c r="AI134" s="28">
        <f>ABS(P134-C134)</f>
        <v>11.739999999999995</v>
      </c>
      <c r="AJ134" s="28">
        <f>ABS(W134-C134)</f>
        <v>10.5</v>
      </c>
      <c r="AK134" s="28">
        <f>ABS(Q134-D134)</f>
        <v>8.480000000000004</v>
      </c>
      <c r="AL134" s="28">
        <f>ABS(X134-D134)</f>
        <v>10.0</v>
      </c>
      <c r="AM134" s="17" t="str">
        <f>IF(H134&gt;S134,"Ev",IF(H134&lt;S134,"Dep",""))</f>
        <v>Ev</v>
      </c>
      <c r="AN134" s="17" t="str">
        <f>IF(AM134="","",IF(E134=S134,"Push",IF((E134&gt;S134)=(AM134="Ev"),"Kazandı","Kaybetti")))</f>
        <v>Kaybetti</v>
      </c>
      <c r="AO134" s="30">
        <f>IF(AM134="","",IF(AN134="Push",0,IF(AN134="Kazandı",IF(AM134="Ev",Oranlar!P134,Oranlar!Q134)-1,-1)))</f>
        <v>-1.0</v>
      </c>
      <c r="AP134" s="17" t="str">
        <f>IF(L134&gt;U134,"Üst",IF(L134&lt;U134,"Alt",""))</f>
        <v>Alt</v>
      </c>
      <c r="AQ134" s="17" t="str">
        <f>IF(AP134="","",IF(F134=U134,"Push",IF((F134&gt;U134)=(AP134="Üst"),"Kazandı","Kaybetti")))</f>
        <v>Kazandı</v>
      </c>
      <c r="AR134" s="30">
        <f>IF(AP134="","",IF(AQ134="Push",0,IF(AQ134="Kazandı",IF(AP134="Üst",Oranlar!W134,Oranlar!X134)-1,-1)))</f>
        <v>0.925925925925926</v>
      </c>
      <c r="AS134" s="17">
        <f>IF(G134*Oranlar!R134&gt;1,"Ev",IF((1-G134)*Oranlar!S134&gt;1,"Dep",""))</f>
        <v/>
      </c>
      <c r="AT134" s="30">
        <f>IF(AS134="","",IF((AS134="Ev")=(E134&gt;0),IF(AS134="Ev",Oranlar!R134,Oranlar!S134)-1,-1))</f>
        <v/>
      </c>
      <c r="AU134" s="16">
        <f>IF(OR(H134=T134,S134=T134),"",IF((H134&gt;T134)=(S134&gt;T134),1,0))</f>
        <v>1</v>
      </c>
      <c r="AV134" s="16">
        <f>IF(OR(L134=V134,U134=V134),"",IF((L134&gt;V134)=(U134&gt;V134),1,0))</f>
        <v>1</v>
      </c>
      <c r="AW134" s="16">
        <f>IF(AND(E134&gt;=J134,E134&lt;=K134),1,0)</f>
        <v>1</v>
      </c>
      <c r="AX134" s="16">
        <f>IF(AND(F134&gt;=N134,F134&lt;=O134),1,0)</f>
        <v>1</v>
      </c>
    </row>
    <row r="135" spans="1:50">
      <c r="A135" s="21">
        <f>Oranlar!A135</f>
        <v>46102</v>
      </c>
      <c r="B135" s="22" t="str">
        <f>Oranlar!C135&amp;" @ "&amp;Oranlar!D135</f>
        <v>GSW @ ATL</v>
      </c>
      <c r="C135" s="23">
        <f>Oranlar!F135</f>
        <v>126</v>
      </c>
      <c r="D135" s="23">
        <f>Oranlar!E135</f>
        <v>110</v>
      </c>
      <c r="E135" s="15">
        <f>C135-D135</f>
        <v>16</v>
      </c>
      <c r="F135" s="16">
        <f>C135+D135</f>
        <v>236</v>
      </c>
      <c r="G135" s="24">
        <v>0.6879999999999999</v>
      </c>
      <c r="H135" s="10">
        <v>5.78</v>
      </c>
      <c r="I135" s="10">
        <v>12.3</v>
      </c>
      <c r="J135" s="10">
        <v>-6</v>
      </c>
      <c r="K135" s="10">
        <v>31</v>
      </c>
      <c r="L135" s="11">
        <v>233.36</v>
      </c>
      <c r="M135" s="11">
        <v>231.7</v>
      </c>
      <c r="N135" s="11">
        <v>204</v>
      </c>
      <c r="O135" s="11">
        <v>259</v>
      </c>
      <c r="P135" s="11">
        <v>119.26</v>
      </c>
      <c r="Q135" s="11">
        <v>111.5</v>
      </c>
      <c r="R135" s="25">
        <f>Oranlar!Y135</f>
        <v>0.725752508361204</v>
      </c>
      <c r="S135" s="26">
        <f>-Oranlar!O135</f>
        <v>7.5</v>
      </c>
      <c r="T135" s="26">
        <f>-Oranlar!I135</f>
        <v>8.5</v>
      </c>
      <c r="U135" s="27">
        <f>Oranlar!V135</f>
        <v>228.5</v>
      </c>
      <c r="V135" s="27">
        <f>Oranlar!L135</f>
        <v>228.5</v>
      </c>
      <c r="W135" s="28">
        <f>(U135+S135)/2</f>
        <v>118.0</v>
      </c>
      <c r="X135" s="28">
        <f>(U135-S135)/2</f>
        <v>110.5</v>
      </c>
      <c r="Y135" s="16">
        <f>IF(G135=0.5,"",IF((G135&gt;0.5)=(E135&gt;0),1,0))</f>
        <v>1</v>
      </c>
      <c r="Z135" s="16">
        <f>IF(R135=0.5,"",IF((R135&gt;0.5)=(E135&gt;0),1,0))</f>
        <v>1</v>
      </c>
      <c r="AA135" s="29">
        <f>(G135-IF(E135&gt;0,1,0))^2</f>
        <v>0.09734400000000003</v>
      </c>
      <c r="AB135" s="29">
        <f>(R135-IF(E135&gt;0,1,0))^2</f>
        <v>0.0752116866701715</v>
      </c>
      <c r="AC135" s="28">
        <f>ABS(H135-E135)</f>
        <v>10.219999999999999</v>
      </c>
      <c r="AD135" s="28">
        <f>ABS(I135-E135)</f>
        <v>3.6999999999999993</v>
      </c>
      <c r="AE135" s="28">
        <f>ABS(S135-E135)</f>
        <v>8.5</v>
      </c>
      <c r="AF135" s="28">
        <f>ABS(L135-F135)</f>
        <v>2.6399999999999864</v>
      </c>
      <c r="AG135" s="28">
        <f>ABS(M135-F135)</f>
        <v>4.300000000000011</v>
      </c>
      <c r="AH135" s="28">
        <f>ABS(U135-F135)</f>
        <v>7.5</v>
      </c>
      <c r="AI135" s="28">
        <f>ABS(P135-C135)</f>
        <v>6.739999999999995</v>
      </c>
      <c r="AJ135" s="28">
        <f>ABS(W135-C135)</f>
        <v>8.0</v>
      </c>
      <c r="AK135" s="28">
        <f>ABS(Q135-D135)</f>
        <v>1.5</v>
      </c>
      <c r="AL135" s="28">
        <f>ABS(X135-D135)</f>
        <v>0.5</v>
      </c>
      <c r="AM135" s="17" t="str">
        <f>IF(H135&gt;S135,"Ev",IF(H135&lt;S135,"Dep",""))</f>
        <v>Dep</v>
      </c>
      <c r="AN135" s="17" t="str">
        <f>IF(AM135="","",IF(E135=S135,"Push",IF((E135&gt;S135)=(AM135="Ev"),"Kazandı","Kaybetti")))</f>
        <v>Kaybetti</v>
      </c>
      <c r="AO135" s="30">
        <f>IF(AM135="","",IF(AN135="Push",0,IF(AN135="Kazandı",IF(AM135="Ev",Oranlar!P135,Oranlar!Q135)-1,-1)))</f>
        <v>-1.0</v>
      </c>
      <c r="AP135" s="17" t="str">
        <f>IF(L135&gt;U135,"Üst",IF(L135&lt;U135,"Alt",""))</f>
        <v>Üst</v>
      </c>
      <c r="AQ135" s="17" t="str">
        <f>IF(AP135="","",IF(F135=U135,"Push",IF((F135&gt;U135)=(AP135="Üst"),"Kazandı","Kaybetti")))</f>
        <v>Kazandı</v>
      </c>
      <c r="AR135" s="30">
        <f>IF(AP135="","",IF(AQ135="Push",0,IF(AQ135="Kazandı",IF(AP135="Üst",Oranlar!W135,Oranlar!X135)-1,-1)))</f>
        <v>0.9523809523809523</v>
      </c>
      <c r="AS135" s="17" t="str">
        <f>IF(G135*Oranlar!R135&gt;1,"Ev",IF((1-G135)*Oranlar!S135&gt;1,"Dep",""))</f>
        <v>Dep</v>
      </c>
      <c r="AT135" s="30">
        <f>IF(AS135="","",IF((AS135="Ev")=(E135&gt;0),IF(AS135="Ev",Oranlar!R135,Oranlar!S135)-1,-1))</f>
        <v>-1.0</v>
      </c>
      <c r="AU135" s="16">
        <f>IF(OR(H135=T135,S135=T135),"",IF((H135&gt;T135)=(S135&gt;T135),1,0))</f>
        <v>1</v>
      </c>
      <c r="AV135" s="16">
        <f>IF(OR(L135=V135,U135=V135),"",IF((L135&gt;V135)=(U135&gt;V135),1,0))</f>
        <v/>
      </c>
      <c r="AW135" s="16">
        <f>IF(AND(E135&gt;=J135,E135&lt;=K135),1,0)</f>
        <v>1</v>
      </c>
      <c r="AX135" s="16">
        <f>IF(AND(F135&gt;=N135,F135&lt;=O135),1,0)</f>
        <v>1</v>
      </c>
    </row>
    <row r="136" spans="1:50">
      <c r="A136" s="21">
        <f>Oranlar!A136</f>
        <v>46102</v>
      </c>
      <c r="B136" s="22" t="str">
        <f>Oranlar!C136&amp;" @ "&amp;Oranlar!D136</f>
        <v>MIA @ HOU</v>
      </c>
      <c r="C136" s="23">
        <f>Oranlar!F136</f>
        <v>123</v>
      </c>
      <c r="D136" s="23">
        <f>Oranlar!E136</f>
        <v>122</v>
      </c>
      <c r="E136" s="15">
        <f>C136-D136</f>
        <v>1</v>
      </c>
      <c r="F136" s="16">
        <f>C136+D136</f>
        <v>245</v>
      </c>
      <c r="G136" s="24">
        <v>0.533</v>
      </c>
      <c r="H136" s="10">
        <v>1.2</v>
      </c>
      <c r="I136" s="10">
        <v>-1.1</v>
      </c>
      <c r="J136" s="10">
        <v>-20</v>
      </c>
      <c r="K136" s="10">
        <v>18</v>
      </c>
      <c r="L136" s="11">
        <v>232.59</v>
      </c>
      <c r="M136" s="11">
        <v>234.3</v>
      </c>
      <c r="N136" s="11">
        <v>206</v>
      </c>
      <c r="O136" s="11">
        <v>262</v>
      </c>
      <c r="P136" s="11">
        <v>116.06</v>
      </c>
      <c r="Q136" s="11">
        <v>117.19</v>
      </c>
      <c r="R136" s="25">
        <f>Oranlar!Y136</f>
        <v>0.5634920634920635</v>
      </c>
      <c r="S136" s="26">
        <f>-Oranlar!O136</f>
        <v>2.5</v>
      </c>
      <c r="T136" s="26">
        <f>-Oranlar!I136</f>
        <v>2.5</v>
      </c>
      <c r="U136" s="27">
        <f>Oranlar!V136</f>
        <v>228.5</v>
      </c>
      <c r="V136" s="27">
        <f>Oranlar!L136</f>
        <v>228.5</v>
      </c>
      <c r="W136" s="28">
        <f>(U136+S136)/2</f>
        <v>115.5</v>
      </c>
      <c r="X136" s="28">
        <f>(U136-S136)/2</f>
        <v>113.0</v>
      </c>
      <c r="Y136" s="16">
        <f>IF(G136=0.5,"",IF((G136&gt;0.5)=(E136&gt;0),1,0))</f>
        <v>1</v>
      </c>
      <c r="Z136" s="16">
        <f>IF(R136=0.5,"",IF((R136&gt;0.5)=(E136&gt;0),1,0))</f>
        <v>1</v>
      </c>
      <c r="AA136" s="29">
        <f>(G136-IF(E136&gt;0,1,0))^2</f>
        <v>0.21808899999999998</v>
      </c>
      <c r="AB136" s="29">
        <f>(R136-IF(E136&gt;0,1,0))^2</f>
        <v>0.19053917863441674</v>
      </c>
      <c r="AC136" s="28">
        <f>ABS(H136-E136)</f>
        <v>0.19999999999999996</v>
      </c>
      <c r="AD136" s="28">
        <f>ABS(I136-E136)</f>
        <v>2.1</v>
      </c>
      <c r="AE136" s="28">
        <f>ABS(S136-E136)</f>
        <v>1.5</v>
      </c>
      <c r="AF136" s="28">
        <f>ABS(L136-F136)</f>
        <v>12.409999999999997</v>
      </c>
      <c r="AG136" s="28">
        <f>ABS(M136-F136)</f>
        <v>10.699999999999989</v>
      </c>
      <c r="AH136" s="28">
        <f>ABS(U136-F136)</f>
        <v>16.5</v>
      </c>
      <c r="AI136" s="28">
        <f>ABS(P136-C136)</f>
        <v>6.939999999999998</v>
      </c>
      <c r="AJ136" s="28">
        <f>ABS(W136-C136)</f>
        <v>7.5</v>
      </c>
      <c r="AK136" s="28">
        <f>ABS(Q136-D136)</f>
        <v>4.810000000000002</v>
      </c>
      <c r="AL136" s="28">
        <f>ABS(X136-D136)</f>
        <v>9.0</v>
      </c>
      <c r="AM136" s="17" t="str">
        <f>IF(H136&gt;S136,"Ev",IF(H136&lt;S136,"Dep",""))</f>
        <v>Dep</v>
      </c>
      <c r="AN136" s="17" t="str">
        <f>IF(AM136="","",IF(E136=S136,"Push",IF((E136&gt;S136)=(AM136="Ev"),"Kazandı","Kaybetti")))</f>
        <v>Kazandı</v>
      </c>
      <c r="AO136" s="30">
        <f>IF(AM136="","",IF(AN136="Push",0,IF(AN136="Kazandı",IF(AM136="Ev",Oranlar!P136,Oranlar!Q136)-1,-1)))</f>
        <v>0.925925925925926</v>
      </c>
      <c r="AP136" s="17" t="str">
        <f>IF(L136&gt;U136,"Üst",IF(L136&lt;U136,"Alt",""))</f>
        <v>Üst</v>
      </c>
      <c r="AQ136" s="17" t="str">
        <f>IF(AP136="","",IF(F136=U136,"Push",IF((F136&gt;U136)=(AP136="Üst"),"Kazandı","Kaybetti")))</f>
        <v>Kazandı</v>
      </c>
      <c r="AR136" s="30">
        <f>IF(AP136="","",IF(AQ136="Push",0,IF(AQ136="Kazandı",IF(AP136="Üst",Oranlar!W136,Oranlar!X136)-1,-1)))</f>
        <v>0.9090909090909092</v>
      </c>
      <c r="AS136" s="17" t="str">
        <f>IF(G136*Oranlar!R136&gt;1,"Ev",IF((1-G136)*Oranlar!S136&gt;1,"Dep",""))</f>
        <v>Dep</v>
      </c>
      <c r="AT136" s="30">
        <f>IF(AS136="","",IF((AS136="Ev")=(E136&gt;0),IF(AS136="Ev",Oranlar!R136,Oranlar!S136)-1,-1))</f>
        <v>-1.0</v>
      </c>
      <c r="AU136" s="16">
        <f>IF(OR(H136=T136,S136=T136),"",IF((H136&gt;T136)=(S136&gt;T136),1,0))</f>
        <v/>
      </c>
      <c r="AV136" s="16">
        <f>IF(OR(L136=V136,U136=V136),"",IF((L136&gt;V136)=(U136&gt;V136),1,0))</f>
        <v/>
      </c>
      <c r="AW136" s="16">
        <f>IF(AND(E136&gt;=J136,E136&lt;=K136),1,0)</f>
        <v>1</v>
      </c>
      <c r="AX136" s="16">
        <f>IF(AND(F136&gt;=N136,F136&lt;=O136),1,0)</f>
        <v>1</v>
      </c>
    </row>
    <row r="137" spans="1:50">
      <c r="A137" s="21">
        <f>Oranlar!A137</f>
        <v>46102</v>
      </c>
      <c r="B137" s="22" t="str">
        <f>Oranlar!C137&amp;" @ "&amp;Oranlar!D137</f>
        <v>IND @ SAS</v>
      </c>
      <c r="C137" s="23">
        <f>Oranlar!F137</f>
        <v>134</v>
      </c>
      <c r="D137" s="23">
        <f>Oranlar!E137</f>
        <v>119</v>
      </c>
      <c r="E137" s="15">
        <f>C137-D137</f>
        <v>15</v>
      </c>
      <c r="F137" s="16">
        <f>C137+D137</f>
        <v>253</v>
      </c>
      <c r="G137" s="24">
        <v>0.803</v>
      </c>
      <c r="H137" s="10">
        <v>11.8</v>
      </c>
      <c r="I137" s="10">
        <v>15.2</v>
      </c>
      <c r="J137" s="10">
        <v>-3</v>
      </c>
      <c r="K137" s="10">
        <v>34</v>
      </c>
      <c r="L137" s="11">
        <v>231.45</v>
      </c>
      <c r="M137" s="11">
        <v>227.9</v>
      </c>
      <c r="N137" s="11">
        <v>201</v>
      </c>
      <c r="O137" s="11">
        <v>255</v>
      </c>
      <c r="P137" s="11">
        <v>122.26</v>
      </c>
      <c r="Q137" s="11">
        <v>108.25</v>
      </c>
      <c r="R137" s="25">
        <f>Oranlar!Y137</f>
        <v>0.9039548022598869</v>
      </c>
      <c r="S137" s="26">
        <f>-Oranlar!O137</f>
        <v>16.5</v>
      </c>
      <c r="T137" s="26">
        <f>-Oranlar!I137</f>
        <v>17.5</v>
      </c>
      <c r="U137" s="27">
        <f>Oranlar!V137</f>
        <v>235.5</v>
      </c>
      <c r="V137" s="27">
        <f>Oranlar!L137</f>
        <v>231.5</v>
      </c>
      <c r="W137" s="28">
        <f>(U137+S137)/2</f>
        <v>126.0</v>
      </c>
      <c r="X137" s="28">
        <f>(U137-S137)/2</f>
        <v>109.5</v>
      </c>
      <c r="Y137" s="16">
        <f>IF(G137=0.5,"",IF((G137&gt;0.5)=(E137&gt;0),1,0))</f>
        <v>1</v>
      </c>
      <c r="Z137" s="16">
        <f>IF(R137=0.5,"",IF((R137&gt;0.5)=(E137&gt;0),1,0))</f>
        <v>1</v>
      </c>
      <c r="AA137" s="29">
        <f>(G137-IF(E137&gt;0,1,0))^2</f>
        <v>0.03880899999999998</v>
      </c>
      <c r="AB137" s="29">
        <f>(R137-IF(E137&gt;0,1,0))^2</f>
        <v>0.009224680008937428</v>
      </c>
      <c r="AC137" s="28">
        <f>ABS(H137-E137)</f>
        <v>3.1999999999999993</v>
      </c>
      <c r="AD137" s="28">
        <f>ABS(I137-E137)</f>
        <v>0.1999999999999993</v>
      </c>
      <c r="AE137" s="28">
        <f>ABS(S137-E137)</f>
        <v>1.5</v>
      </c>
      <c r="AF137" s="28">
        <f>ABS(L137-F137)</f>
        <v>21.55000000000001</v>
      </c>
      <c r="AG137" s="28">
        <f>ABS(M137-F137)</f>
        <v>25.099999999999994</v>
      </c>
      <c r="AH137" s="28">
        <f>ABS(U137-F137)</f>
        <v>17.5</v>
      </c>
      <c r="AI137" s="28">
        <f>ABS(P137-C137)</f>
        <v>11.739999999999995</v>
      </c>
      <c r="AJ137" s="28">
        <f>ABS(W137-C137)</f>
        <v>8.0</v>
      </c>
      <c r="AK137" s="28">
        <f>ABS(Q137-D137)</f>
        <v>10.75</v>
      </c>
      <c r="AL137" s="28">
        <f>ABS(X137-D137)</f>
        <v>9.5</v>
      </c>
      <c r="AM137" s="17" t="str">
        <f>IF(H137&gt;S137,"Ev",IF(H137&lt;S137,"Dep",""))</f>
        <v>Dep</v>
      </c>
      <c r="AN137" s="17" t="str">
        <f>IF(AM137="","",IF(E137=S137,"Push",IF((E137&gt;S137)=(AM137="Ev"),"Kazandı","Kaybetti")))</f>
        <v>Kazandı</v>
      </c>
      <c r="AO137" s="30">
        <f>IF(AM137="","",IF(AN137="Push",0,IF(AN137="Kazandı",IF(AM137="Ev",Oranlar!P137,Oranlar!Q137)-1,-1)))</f>
        <v>0.9090909090909092</v>
      </c>
      <c r="AP137" s="17" t="str">
        <f>IF(L137&gt;U137,"Üst",IF(L137&lt;U137,"Alt",""))</f>
        <v>Alt</v>
      </c>
      <c r="AQ137" s="17" t="str">
        <f>IF(AP137="","",IF(F137=U137,"Push",IF((F137&gt;U137)=(AP137="Üst"),"Kazandı","Kaybetti")))</f>
        <v>Kaybetti</v>
      </c>
      <c r="AR137" s="30">
        <f>IF(AP137="","",IF(AQ137="Push",0,IF(AQ137="Kazandı",IF(AP137="Üst",Oranlar!W137,Oranlar!X137)-1,-1)))</f>
        <v>-1.0</v>
      </c>
      <c r="AS137" s="17" t="str">
        <f>IF(G137*Oranlar!R137&gt;1,"Ev",IF((1-G137)*Oranlar!S137&gt;1,"Dep",""))</f>
        <v>Dep</v>
      </c>
      <c r="AT137" s="30">
        <f>IF(AS137="","",IF((AS137="Ev")=(E137&gt;0),IF(AS137="Ev",Oranlar!R137,Oranlar!S137)-1,-1))</f>
        <v>-1.0</v>
      </c>
      <c r="AU137" s="16">
        <f>IF(OR(H137=T137,S137=T137),"",IF((H137&gt;T137)=(S137&gt;T137),1,0))</f>
        <v>1</v>
      </c>
      <c r="AV137" s="16">
        <f>IF(OR(L137=V137,U137=V137),"",IF((L137&gt;V137)=(U137&gt;V137),1,0))</f>
        <v>0</v>
      </c>
      <c r="AW137" s="16">
        <f>IF(AND(E137&gt;=J137,E137&lt;=K137),1,0)</f>
        <v>1</v>
      </c>
      <c r="AX137" s="16">
        <f>IF(AND(F137&gt;=N137,F137&lt;=O137),1,0)</f>
        <v>1</v>
      </c>
    </row>
    <row r="138" spans="1:50">
      <c r="A138" s="21">
        <f>Oranlar!A138</f>
        <v>46102</v>
      </c>
      <c r="B138" s="22" t="str">
        <f>Oranlar!C138&amp;" @ "&amp;Oranlar!D138</f>
        <v>LAC @ DAL</v>
      </c>
      <c r="C138" s="23">
        <f>Oranlar!F138</f>
        <v>131</v>
      </c>
      <c r="D138" s="23">
        <f>Oranlar!E138</f>
        <v>138</v>
      </c>
      <c r="E138" s="15">
        <f>C138-D138</f>
        <v>-7</v>
      </c>
      <c r="F138" s="16">
        <f>C138+D138</f>
        <v>269</v>
      </c>
      <c r="G138" s="24">
        <v>0.368</v>
      </c>
      <c r="H138" s="10">
        <v>-2.53</v>
      </c>
      <c r="I138" s="10">
        <v>-4.4</v>
      </c>
      <c r="J138" s="10">
        <v>-23</v>
      </c>
      <c r="K138" s="10">
        <v>14</v>
      </c>
      <c r="L138" s="11">
        <v>231.71</v>
      </c>
      <c r="M138" s="11">
        <v>233.3</v>
      </c>
      <c r="N138" s="11">
        <v>206</v>
      </c>
      <c r="O138" s="11">
        <v>261</v>
      </c>
      <c r="P138" s="11">
        <v>113.53</v>
      </c>
      <c r="Q138" s="11">
        <v>118.62</v>
      </c>
      <c r="R138" s="25">
        <f>Oranlar!Y138</f>
        <v>0.299837925445705</v>
      </c>
      <c r="S138" s="26">
        <f>-Oranlar!O138</f>
        <v>-7.5</v>
      </c>
      <c r="T138" s="26">
        <f>-Oranlar!I138</f>
        <v>-7.5</v>
      </c>
      <c r="U138" s="27">
        <f>Oranlar!V138</f>
        <v>233.5</v>
      </c>
      <c r="V138" s="27">
        <f>Oranlar!L138</f>
        <v>232.5</v>
      </c>
      <c r="W138" s="28">
        <f>(U138+S138)/2</f>
        <v>113.0</v>
      </c>
      <c r="X138" s="28">
        <f>(U138-S138)/2</f>
        <v>120.5</v>
      </c>
      <c r="Y138" s="16">
        <f>IF(G138=0.5,"",IF((G138&gt;0.5)=(E138&gt;0),1,0))</f>
        <v>1</v>
      </c>
      <c r="Z138" s="16">
        <f>IF(R138=0.5,"",IF((R138&gt;0.5)=(E138&gt;0),1,0))</f>
        <v>1</v>
      </c>
      <c r="AA138" s="29">
        <f>(G138-IF(E138&gt;0,1,0))^2</f>
        <v>0.135424</v>
      </c>
      <c r="AB138" s="29">
        <f>(R138-IF(E138&gt;0,1,0))^2</f>
        <v>0.08990278153558413</v>
      </c>
      <c r="AC138" s="28">
        <f>ABS(H138-E138)</f>
        <v>4.470000000000001</v>
      </c>
      <c r="AD138" s="28">
        <f>ABS(I138-E138)</f>
        <v>2.5999999999999996</v>
      </c>
      <c r="AE138" s="28">
        <f>ABS(S138-E138)</f>
        <v>0.5</v>
      </c>
      <c r="AF138" s="28">
        <f>ABS(L138-F138)</f>
        <v>37.28999999999999</v>
      </c>
      <c r="AG138" s="28">
        <f>ABS(M138-F138)</f>
        <v>35.69999999999999</v>
      </c>
      <c r="AH138" s="28">
        <f>ABS(U138-F138)</f>
        <v>35.5</v>
      </c>
      <c r="AI138" s="28">
        <f>ABS(P138-C138)</f>
        <v>17.47</v>
      </c>
      <c r="AJ138" s="28">
        <f>ABS(W138-C138)</f>
        <v>18.0</v>
      </c>
      <c r="AK138" s="28">
        <f>ABS(Q138-D138)</f>
        <v>19.379999999999995</v>
      </c>
      <c r="AL138" s="28">
        <f>ABS(X138-D138)</f>
        <v>17.5</v>
      </c>
      <c r="AM138" s="17" t="str">
        <f>IF(H138&gt;S138,"Ev",IF(H138&lt;S138,"Dep",""))</f>
        <v>Ev</v>
      </c>
      <c r="AN138" s="17" t="str">
        <f>IF(AM138="","",IF(E138=S138,"Push",IF((E138&gt;S138)=(AM138="Ev"),"Kazandı","Kaybetti")))</f>
        <v>Kazandı</v>
      </c>
      <c r="AO138" s="30">
        <f>IF(AM138="","",IF(AN138="Push",0,IF(AN138="Kazandı",IF(AM138="Ev",Oranlar!P138,Oranlar!Q138)-1,-1)))</f>
        <v>0.8333333333333335</v>
      </c>
      <c r="AP138" s="17" t="str">
        <f>IF(L138&gt;U138,"Üst",IF(L138&lt;U138,"Alt",""))</f>
        <v>Alt</v>
      </c>
      <c r="AQ138" s="17" t="str">
        <f>IF(AP138="","",IF(F138=U138,"Push",IF((F138&gt;U138)=(AP138="Üst"),"Kazandı","Kaybetti")))</f>
        <v>Kaybetti</v>
      </c>
      <c r="AR138" s="30">
        <f>IF(AP138="","",IF(AQ138="Push",0,IF(AQ138="Kazandı",IF(AP138="Üst",Oranlar!W138,Oranlar!X138)-1,-1)))</f>
        <v>-1.0</v>
      </c>
      <c r="AS138" s="17" t="str">
        <f>IF(G138*Oranlar!R138&gt;1,"Ev",IF((1-G138)*Oranlar!S138&gt;1,"Dep",""))</f>
        <v>Ev</v>
      </c>
      <c r="AT138" s="30">
        <f>IF(AS138="","",IF((AS138="Ev")=(E138&gt;0),IF(AS138="Ev",Oranlar!R138,Oranlar!S138)-1,-1))</f>
        <v>-1.0</v>
      </c>
      <c r="AU138" s="16">
        <f>IF(OR(H138=T138,S138=T138),"",IF((H138&gt;T138)=(S138&gt;T138),1,0))</f>
        <v/>
      </c>
      <c r="AV138" s="16">
        <f>IF(OR(L138=V138,U138=V138),"",IF((L138&gt;V138)=(U138&gt;V138),1,0))</f>
        <v>0</v>
      </c>
      <c r="AW138" s="16">
        <f>IF(AND(E138&gt;=J138,E138&lt;=K138),1,0)</f>
        <v>1</v>
      </c>
      <c r="AX138" s="16">
        <f>IF(AND(F138&gt;=N138,F138&lt;=O138),1,0)</f>
        <v>0</v>
      </c>
    </row>
    <row r="139" spans="1:50">
      <c r="A139" s="21">
        <f>Oranlar!A139</f>
        <v>46102</v>
      </c>
      <c r="B139" s="22" t="str">
        <f>Oranlar!C139&amp;" @ "&amp;Oranlar!D139</f>
        <v>PHI @ UTA</v>
      </c>
      <c r="C139" s="23">
        <f>Oranlar!F139</f>
        <v>116</v>
      </c>
      <c r="D139" s="23">
        <f>Oranlar!E139</f>
        <v>126</v>
      </c>
      <c r="E139" s="15">
        <f>C139-D139</f>
        <v>-10</v>
      </c>
      <c r="F139" s="16">
        <f>C139+D139</f>
        <v>242</v>
      </c>
      <c r="G139" s="24">
        <v>0.354</v>
      </c>
      <c r="H139" s="10">
        <v>-6.08</v>
      </c>
      <c r="I139" s="10">
        <v>-1.8</v>
      </c>
      <c r="J139" s="10">
        <v>-20</v>
      </c>
      <c r="K139" s="10">
        <v>17</v>
      </c>
      <c r="L139" s="11">
        <v>233.36</v>
      </c>
      <c r="M139" s="11">
        <v>229.8</v>
      </c>
      <c r="N139" s="11">
        <v>202</v>
      </c>
      <c r="O139" s="11">
        <v>257</v>
      </c>
      <c r="P139" s="11">
        <v>114.08</v>
      </c>
      <c r="Q139" s="11">
        <v>120.47</v>
      </c>
      <c r="R139" s="25">
        <f>Oranlar!Y139</f>
        <v>0.33635187580853815</v>
      </c>
      <c r="S139" s="26">
        <f>-Oranlar!O139</f>
        <v>-5.5</v>
      </c>
      <c r="T139" s="26">
        <f>-Oranlar!I139</f>
        <v>-6.5</v>
      </c>
      <c r="U139" s="27">
        <f>Oranlar!V139</f>
        <v>228.5</v>
      </c>
      <c r="V139" s="27">
        <f>Oranlar!L139</f>
        <v>233.5</v>
      </c>
      <c r="W139" s="28">
        <f>(U139+S139)/2</f>
        <v>111.5</v>
      </c>
      <c r="X139" s="28">
        <f>(U139-S139)/2</f>
        <v>117.0</v>
      </c>
      <c r="Y139" s="16">
        <f>IF(G139=0.5,"",IF((G139&gt;0.5)=(E139&gt;0),1,0))</f>
        <v>1</v>
      </c>
      <c r="Z139" s="16">
        <f>IF(R139=0.5,"",IF((R139&gt;0.5)=(E139&gt;0),1,0))</f>
        <v>1</v>
      </c>
      <c r="AA139" s="29">
        <f>(G139-IF(E139&gt;0,1,0))^2</f>
        <v>0.12531599999999998</v>
      </c>
      <c r="AB139" s="29">
        <f>(R139-IF(E139&gt;0,1,0))^2</f>
        <v>0.11313258435992227</v>
      </c>
      <c r="AC139" s="28">
        <f>ABS(H139-E139)</f>
        <v>3.92</v>
      </c>
      <c r="AD139" s="28">
        <f>ABS(I139-E139)</f>
        <v>8.2</v>
      </c>
      <c r="AE139" s="28">
        <f>ABS(S139-E139)</f>
        <v>4.5</v>
      </c>
      <c r="AF139" s="28">
        <f>ABS(L139-F139)</f>
        <v>8.639999999999986</v>
      </c>
      <c r="AG139" s="28">
        <f>ABS(M139-F139)</f>
        <v>12.199999999999989</v>
      </c>
      <c r="AH139" s="28">
        <f>ABS(U139-F139)</f>
        <v>13.5</v>
      </c>
      <c r="AI139" s="28">
        <f>ABS(P139-C139)</f>
        <v>1.9200000000000017</v>
      </c>
      <c r="AJ139" s="28">
        <f>ABS(W139-C139)</f>
        <v>4.5</v>
      </c>
      <c r="AK139" s="28">
        <f>ABS(Q139-D139)</f>
        <v>5.530000000000001</v>
      </c>
      <c r="AL139" s="28">
        <f>ABS(X139-D139)</f>
        <v>9.0</v>
      </c>
      <c r="AM139" s="17" t="str">
        <f>IF(H139&gt;S139,"Ev",IF(H139&lt;S139,"Dep",""))</f>
        <v>Dep</v>
      </c>
      <c r="AN139" s="17" t="str">
        <f>IF(AM139="","",IF(E139=S139,"Push",IF((E139&gt;S139)=(AM139="Ev"),"Kazandı","Kaybetti")))</f>
        <v>Kazandı</v>
      </c>
      <c r="AO139" s="30">
        <f>IF(AM139="","",IF(AN139="Push",0,IF(AN139="Kazandı",IF(AM139="Ev",Oranlar!P139,Oranlar!Q139)-1,-1)))</f>
        <v>0.8928571428571428</v>
      </c>
      <c r="AP139" s="17" t="str">
        <f>IF(L139&gt;U139,"Üst",IF(L139&lt;U139,"Alt",""))</f>
        <v>Üst</v>
      </c>
      <c r="AQ139" s="17" t="str">
        <f>IF(AP139="","",IF(F139=U139,"Push",IF((F139&gt;U139)=(AP139="Üst"),"Kazandı","Kaybetti")))</f>
        <v>Kazandı</v>
      </c>
      <c r="AR139" s="30">
        <f>IF(AP139="","",IF(AQ139="Push",0,IF(AQ139="Kazandı",IF(AP139="Üst",Oranlar!W139,Oranlar!X139)-1,-1)))</f>
        <v>0.925925925925926</v>
      </c>
      <c r="AS139" s="17" t="str">
        <f>IF(G139*Oranlar!R139&gt;1,"Ev",IF((1-G139)*Oranlar!S139&gt;1,"Dep",""))</f>
        <v>Ev</v>
      </c>
      <c r="AT139" s="30">
        <f>IF(AS139="","",IF((AS139="Ev")=(E139&gt;0),IF(AS139="Ev",Oranlar!R139,Oranlar!S139)-1,-1))</f>
        <v>-1.0</v>
      </c>
      <c r="AU139" s="16">
        <f>IF(OR(H139=T139,S139=T139),"",IF((H139&gt;T139)=(S139&gt;T139),1,0))</f>
        <v>1</v>
      </c>
      <c r="AV139" s="16">
        <f>IF(OR(L139=V139,U139=V139),"",IF((L139&gt;V139)=(U139&gt;V139),1,0))</f>
        <v>1</v>
      </c>
      <c r="AW139" s="16">
        <f>IF(AND(E139&gt;=J139,E139&lt;=K139),1,0)</f>
        <v>1</v>
      </c>
      <c r="AX139" s="16">
        <f>IF(AND(F139&gt;=N139,F139&lt;=O139),1,0)</f>
        <v>1</v>
      </c>
    </row>
    <row r="140" spans="1:50">
      <c r="A140" s="21">
        <f>Oranlar!A140</f>
        <v>46102</v>
      </c>
      <c r="B140" s="22" t="str">
        <f>Oranlar!C140&amp;" @ "&amp;Oranlar!D140</f>
        <v>MIL @ PHX</v>
      </c>
      <c r="C140" s="23">
        <f>Oranlar!F140</f>
        <v>105</v>
      </c>
      <c r="D140" s="23">
        <f>Oranlar!E140</f>
        <v>108</v>
      </c>
      <c r="E140" s="15">
        <f>C140-D140</f>
        <v>-3</v>
      </c>
      <c r="F140" s="16">
        <f>C140+D140</f>
        <v>213</v>
      </c>
      <c r="G140" s="24">
        <v>0.8080000000000001</v>
      </c>
      <c r="H140" s="10">
        <v>13.18</v>
      </c>
      <c r="I140" s="10">
        <v>8.300000000000001</v>
      </c>
      <c r="J140" s="10">
        <v>-10</v>
      </c>
      <c r="K140" s="10">
        <v>27</v>
      </c>
      <c r="L140" s="11">
        <v>228</v>
      </c>
      <c r="M140" s="11">
        <v>227.1</v>
      </c>
      <c r="N140" s="11">
        <v>200</v>
      </c>
      <c r="O140" s="11">
        <v>254</v>
      </c>
      <c r="P140" s="11">
        <v>119.87</v>
      </c>
      <c r="Q140" s="11">
        <v>106.89</v>
      </c>
      <c r="R140" s="25">
        <f>Oranlar!Y140</f>
        <v>0.8223350253807106</v>
      </c>
      <c r="S140" s="26">
        <f>-Oranlar!O140</f>
        <v>11.5</v>
      </c>
      <c r="T140" s="26">
        <f>-Oranlar!I140</f>
        <v>10.5</v>
      </c>
      <c r="U140" s="27">
        <f>Oranlar!V140</f>
        <v>218.5</v>
      </c>
      <c r="V140" s="27">
        <f>Oranlar!L140</f>
        <v>219.5</v>
      </c>
      <c r="W140" s="28">
        <f>(U140+S140)/2</f>
        <v>115.0</v>
      </c>
      <c r="X140" s="28">
        <f>(U140-S140)/2</f>
        <v>103.5</v>
      </c>
      <c r="Y140" s="16">
        <f>IF(G140=0.5,"",IF((G140&gt;0.5)=(E140&gt;0),1,0))</f>
        <v>0</v>
      </c>
      <c r="Z140" s="16">
        <f>IF(R140=0.5,"",IF((R140&gt;0.5)=(E140&gt;0),1,0))</f>
        <v>0</v>
      </c>
      <c r="AA140" s="29">
        <f>(G140-IF(E140&gt;0,1,0))^2</f>
        <v>0.6528640000000001</v>
      </c>
      <c r="AB140" s="29">
        <f>(R140-IF(E140&gt;0,1,0))^2</f>
        <v>0.6762348939678939</v>
      </c>
      <c r="AC140" s="28">
        <f>ABS(H140-E140)</f>
        <v>16.18</v>
      </c>
      <c r="AD140" s="28">
        <f>ABS(I140-E140)</f>
        <v>11.3</v>
      </c>
      <c r="AE140" s="28">
        <f>ABS(S140-E140)</f>
        <v>14.5</v>
      </c>
      <c r="AF140" s="28">
        <f>ABS(L140-F140)</f>
        <v>15.0</v>
      </c>
      <c r="AG140" s="28">
        <f>ABS(M140-F140)</f>
        <v>14.099999999999994</v>
      </c>
      <c r="AH140" s="28">
        <f>ABS(U140-F140)</f>
        <v>5.5</v>
      </c>
      <c r="AI140" s="28">
        <f>ABS(P140-C140)</f>
        <v>14.870000000000005</v>
      </c>
      <c r="AJ140" s="28">
        <f>ABS(W140-C140)</f>
        <v>10.0</v>
      </c>
      <c r="AK140" s="28">
        <f>ABS(Q140-D140)</f>
        <v>1.1099999999999994</v>
      </c>
      <c r="AL140" s="28">
        <f>ABS(X140-D140)</f>
        <v>4.5</v>
      </c>
      <c r="AM140" s="17" t="str">
        <f>IF(H140&gt;S140,"Ev",IF(H140&lt;S140,"Dep",""))</f>
        <v>Ev</v>
      </c>
      <c r="AN140" s="17" t="str">
        <f>IF(AM140="","",IF(E140=S140,"Push",IF((E140&gt;S140)=(AM140="Ev"),"Kazandı","Kaybetti")))</f>
        <v>Kaybetti</v>
      </c>
      <c r="AO140" s="30">
        <f>IF(AM140="","",IF(AN140="Push",0,IF(AN140="Kazandı",IF(AM140="Ev",Oranlar!P140,Oranlar!Q140)-1,-1)))</f>
        <v>-1.0</v>
      </c>
      <c r="AP140" s="17" t="str">
        <f>IF(L140&gt;U140,"Üst",IF(L140&lt;U140,"Alt",""))</f>
        <v>Üst</v>
      </c>
      <c r="AQ140" s="17" t="str">
        <f>IF(AP140="","",IF(F140=U140,"Push",IF((F140&gt;U140)=(AP140="Üst"),"Kazandı","Kaybetti")))</f>
        <v>Kaybetti</v>
      </c>
      <c r="AR140" s="30">
        <f>IF(AP140="","",IF(AQ140="Push",0,IF(AQ140="Kazandı",IF(AP140="Üst",Oranlar!W140,Oranlar!X140)-1,-1)))</f>
        <v>-1.0</v>
      </c>
      <c r="AS140" s="17" t="str">
        <f>IF(G140*Oranlar!R140&gt;1,"Ev",IF((1-G140)*Oranlar!S140&gt;1,"Dep",""))</f>
        <v>Dep</v>
      </c>
      <c r="AT140" s="30">
        <f>IF(AS140="","",IF((AS140="Ev")=(E140&gt;0),IF(AS140="Ev",Oranlar!R140,Oranlar!S140)-1,-1))</f>
        <v>4.4</v>
      </c>
      <c r="AU140" s="16">
        <f>IF(OR(H140=T140,S140=T140),"",IF((H140&gt;T140)=(S140&gt;T140),1,0))</f>
        <v>1</v>
      </c>
      <c r="AV140" s="16">
        <f>IF(OR(L140=V140,U140=V140),"",IF((L140&gt;V140)=(U140&gt;V140),1,0))</f>
        <v>0</v>
      </c>
      <c r="AW140" s="16">
        <f>IF(AND(E140&gt;=J140,E140&lt;=K140),1,0)</f>
        <v>1</v>
      </c>
      <c r="AX140" s="16">
        <f>IF(AND(F140&gt;=N140,F140&lt;=O140),1,0)</f>
        <v>1</v>
      </c>
    </row>
    <row r="141" spans="1:50">
      <c r="A141" s="21">
        <f>Oranlar!A141</f>
        <v>46103</v>
      </c>
      <c r="B141" s="22" t="str">
        <f>Oranlar!C141&amp;" @ "&amp;Oranlar!D141</f>
        <v>POR @ DEN</v>
      </c>
      <c r="C141" s="23">
        <f>Oranlar!F141</f>
        <v>128</v>
      </c>
      <c r="D141" s="23">
        <f>Oranlar!E141</f>
        <v>112</v>
      </c>
      <c r="E141" s="15">
        <f>C141-D141</f>
        <v>16</v>
      </c>
      <c r="F141" s="16">
        <f>C141+D141</f>
        <v>240</v>
      </c>
      <c r="G141" s="24">
        <v>0.7</v>
      </c>
      <c r="H141" s="10">
        <v>5.05</v>
      </c>
      <c r="I141" s="10">
        <v>8.800000000000001</v>
      </c>
      <c r="J141" s="10">
        <v>-10</v>
      </c>
      <c r="K141" s="10">
        <v>28</v>
      </c>
      <c r="L141" s="11">
        <v>232.07</v>
      </c>
      <c r="M141" s="11">
        <v>230.9</v>
      </c>
      <c r="N141" s="11">
        <v>203</v>
      </c>
      <c r="O141" s="11">
        <v>258</v>
      </c>
      <c r="P141" s="11">
        <v>120.89</v>
      </c>
      <c r="Q141" s="11">
        <v>113.48</v>
      </c>
      <c r="R141" s="25">
        <f>Oranlar!Y141</f>
        <v>0.7408716136631331</v>
      </c>
      <c r="S141" s="26">
        <f>-Oranlar!O141</f>
        <v>8.5</v>
      </c>
      <c r="T141" s="26">
        <f>-Oranlar!I141</f>
        <v>8.5</v>
      </c>
      <c r="U141" s="27">
        <f>Oranlar!V141</f>
        <v>237.5</v>
      </c>
      <c r="V141" s="27">
        <f>Oranlar!L141</f>
        <v>240.5</v>
      </c>
      <c r="W141" s="28">
        <f>(U141+S141)/2</f>
        <v>123.0</v>
      </c>
      <c r="X141" s="28">
        <f>(U141-S141)/2</f>
        <v>114.5</v>
      </c>
      <c r="Y141" s="16">
        <f>IF(G141=0.5,"",IF((G141&gt;0.5)=(E141&gt;0),1,0))</f>
        <v>1</v>
      </c>
      <c r="Z141" s="16">
        <f>IF(R141=0.5,"",IF((R141&gt;0.5)=(E141&gt;0),1,0))</f>
        <v>1</v>
      </c>
      <c r="AA141" s="29">
        <f>(G141-IF(E141&gt;0,1,0))^2</f>
        <v>0.09000000000000002</v>
      </c>
      <c r="AB141" s="29">
        <f>(R141-IF(E141&gt;0,1,0))^2</f>
        <v>0.06714752060554853</v>
      </c>
      <c r="AC141" s="28">
        <f>ABS(H141-E141)</f>
        <v>10.95</v>
      </c>
      <c r="AD141" s="28">
        <f>ABS(I141-E141)</f>
        <v>7.199999999999999</v>
      </c>
      <c r="AE141" s="28">
        <f>ABS(S141-E141)</f>
        <v>7.5</v>
      </c>
      <c r="AF141" s="28">
        <f>ABS(L141-F141)</f>
        <v>7.930000000000007</v>
      </c>
      <c r="AG141" s="28">
        <f>ABS(M141-F141)</f>
        <v>9.099999999999994</v>
      </c>
      <c r="AH141" s="28">
        <f>ABS(U141-F141)</f>
        <v>2.5</v>
      </c>
      <c r="AI141" s="28">
        <f>ABS(P141-C141)</f>
        <v>7.109999999999999</v>
      </c>
      <c r="AJ141" s="28">
        <f>ABS(W141-C141)</f>
        <v>5.0</v>
      </c>
      <c r="AK141" s="28">
        <f>ABS(Q141-D141)</f>
        <v>1.480000000000004</v>
      </c>
      <c r="AL141" s="28">
        <f>ABS(X141-D141)</f>
        <v>2.5</v>
      </c>
      <c r="AM141" s="17" t="str">
        <f>IF(H141&gt;S141,"Ev",IF(H141&lt;S141,"Dep",""))</f>
        <v>Dep</v>
      </c>
      <c r="AN141" s="17" t="str">
        <f>IF(AM141="","",IF(E141=S141,"Push",IF((E141&gt;S141)=(AM141="Ev"),"Kazandı","Kaybetti")))</f>
        <v>Kaybetti</v>
      </c>
      <c r="AO141" s="30">
        <f>IF(AM141="","",IF(AN141="Push",0,IF(AN141="Kazandı",IF(AM141="Ev",Oranlar!P141,Oranlar!Q141)-1,-1)))</f>
        <v>-1.0</v>
      </c>
      <c r="AP141" s="17" t="str">
        <f>IF(L141&gt;U141,"Üst",IF(L141&lt;U141,"Alt",""))</f>
        <v>Alt</v>
      </c>
      <c r="AQ141" s="17" t="str">
        <f>IF(AP141="","",IF(F141=U141,"Push",IF((F141&gt;U141)=(AP141="Üst"),"Kazandı","Kaybetti")))</f>
        <v>Kaybetti</v>
      </c>
      <c r="AR141" s="30">
        <f>IF(AP141="","",IF(AQ141="Push",0,IF(AQ141="Kazandı",IF(AP141="Üst",Oranlar!W141,Oranlar!X141)-1,-1)))</f>
        <v>-1.0</v>
      </c>
      <c r="AS141" s="17" t="str">
        <f>IF(G141*Oranlar!R141&gt;1,"Ev",IF((1-G141)*Oranlar!S141&gt;1,"Dep",""))</f>
        <v>Dep</v>
      </c>
      <c r="AT141" s="30">
        <f>IF(AS141="","",IF((AS141="Ev")=(E141&gt;0),IF(AS141="Ev",Oranlar!R141,Oranlar!S141)-1,-1))</f>
        <v>-1.0</v>
      </c>
      <c r="AU141" s="16">
        <f>IF(OR(H141=T141,S141=T141),"",IF((H141&gt;T141)=(S141&gt;T141),1,0))</f>
        <v/>
      </c>
      <c r="AV141" s="16">
        <f>IF(OR(L141=V141,U141=V141),"",IF((L141&gt;V141)=(U141&gt;V141),1,0))</f>
        <v>1</v>
      </c>
      <c r="AW141" s="16">
        <f>IF(AND(E141&gt;=J141,E141&lt;=K141),1,0)</f>
        <v>1</v>
      </c>
      <c r="AX141" s="16">
        <f>IF(AND(F141&gt;=N141,F141&lt;=O141),1,0)</f>
        <v>1</v>
      </c>
    </row>
    <row r="142" spans="1:50">
      <c r="A142" s="21">
        <f>Oranlar!A142</f>
        <v>46103</v>
      </c>
      <c r="B142" s="22" t="str">
        <f>Oranlar!C142&amp;" @ "&amp;Oranlar!D142</f>
        <v>BKN @ SAC</v>
      </c>
      <c r="C142" s="23">
        <f>Oranlar!F142</f>
        <v>126</v>
      </c>
      <c r="D142" s="23">
        <f>Oranlar!E142</f>
        <v>122</v>
      </c>
      <c r="E142" s="15">
        <f>C142-D142</f>
        <v>4</v>
      </c>
      <c r="F142" s="16">
        <f>C142+D142</f>
        <v>248</v>
      </c>
      <c r="G142" s="24">
        <v>0.6909999999999999</v>
      </c>
      <c r="H142" s="10">
        <v>5.22</v>
      </c>
      <c r="I142" s="10">
        <v>11.1</v>
      </c>
      <c r="J142" s="10">
        <v>-7</v>
      </c>
      <c r="K142" s="10">
        <v>30</v>
      </c>
      <c r="L142" s="11">
        <v>224.59</v>
      </c>
      <c r="M142" s="11">
        <v>228.7</v>
      </c>
      <c r="N142" s="11">
        <v>201</v>
      </c>
      <c r="O142" s="11">
        <v>256</v>
      </c>
      <c r="P142" s="11">
        <v>115.46</v>
      </c>
      <c r="Q142" s="11">
        <v>107.75</v>
      </c>
      <c r="R142" s="25">
        <f>Oranlar!Y142</f>
        <v>0.6853932584269663</v>
      </c>
      <c r="S142" s="26">
        <f>-Oranlar!O142</f>
        <v>6.5</v>
      </c>
      <c r="T142" s="26">
        <f>-Oranlar!I142</f>
        <v>4.5</v>
      </c>
      <c r="U142" s="27">
        <f>Oranlar!V142</f>
        <v>218.5</v>
      </c>
      <c r="V142" s="27">
        <f>Oranlar!L142</f>
        <v>218.5</v>
      </c>
      <c r="W142" s="28">
        <f>(U142+S142)/2</f>
        <v>112.5</v>
      </c>
      <c r="X142" s="28">
        <f>(U142-S142)/2</f>
        <v>106.0</v>
      </c>
      <c r="Y142" s="16">
        <f>IF(G142=0.5,"",IF((G142&gt;0.5)=(E142&gt;0),1,0))</f>
        <v>1</v>
      </c>
      <c r="Z142" s="16">
        <f>IF(R142=0.5,"",IF((R142&gt;0.5)=(E142&gt;0),1,0))</f>
        <v>1</v>
      </c>
      <c r="AA142" s="29">
        <f>(G142-IF(E142&gt;0,1,0))^2</f>
        <v>0.09548100000000004</v>
      </c>
      <c r="AB142" s="29">
        <f>(R142-IF(E142&gt;0,1,0))^2</f>
        <v>0.09897740184320161</v>
      </c>
      <c r="AC142" s="28">
        <f>ABS(H142-E142)</f>
        <v>1.2199999999999998</v>
      </c>
      <c r="AD142" s="28">
        <f>ABS(I142-E142)</f>
        <v>7.1</v>
      </c>
      <c r="AE142" s="28">
        <f>ABS(S142-E142)</f>
        <v>2.5</v>
      </c>
      <c r="AF142" s="28">
        <f>ABS(L142-F142)</f>
        <v>23.409999999999997</v>
      </c>
      <c r="AG142" s="28">
        <f>ABS(M142-F142)</f>
        <v>19.30000000000001</v>
      </c>
      <c r="AH142" s="28">
        <f>ABS(U142-F142)</f>
        <v>29.5</v>
      </c>
      <c r="AI142" s="28">
        <f>ABS(P142-C142)</f>
        <v>10.540000000000006</v>
      </c>
      <c r="AJ142" s="28">
        <f>ABS(W142-C142)</f>
        <v>13.5</v>
      </c>
      <c r="AK142" s="28">
        <f>ABS(Q142-D142)</f>
        <v>14.25</v>
      </c>
      <c r="AL142" s="28">
        <f>ABS(X142-D142)</f>
        <v>16.0</v>
      </c>
      <c r="AM142" s="17" t="str">
        <f>IF(H142&gt;S142,"Ev",IF(H142&lt;S142,"Dep",""))</f>
        <v>Dep</v>
      </c>
      <c r="AN142" s="17" t="str">
        <f>IF(AM142="","",IF(E142=S142,"Push",IF((E142&gt;S142)=(AM142="Ev"),"Kazandı","Kaybetti")))</f>
        <v>Kazandı</v>
      </c>
      <c r="AO142" s="30">
        <f>IF(AM142="","",IF(AN142="Push",0,IF(AN142="Kazandı",IF(AM142="Ev",Oranlar!P142,Oranlar!Q142)-1,-1)))</f>
        <v>0.9803921568627452</v>
      </c>
      <c r="AP142" s="17" t="str">
        <f>IF(L142&gt;U142,"Üst",IF(L142&lt;U142,"Alt",""))</f>
        <v>Üst</v>
      </c>
      <c r="AQ142" s="17" t="str">
        <f>IF(AP142="","",IF(F142=U142,"Push",IF((F142&gt;U142)=(AP142="Üst"),"Kazandı","Kaybetti")))</f>
        <v>Kazandı</v>
      </c>
      <c r="AR142" s="30">
        <f>IF(AP142="","",IF(AQ142="Push",0,IF(AQ142="Kazandı",IF(AP142="Üst",Oranlar!W142,Oranlar!X142)-1,-1)))</f>
        <v>0.8695652173913042</v>
      </c>
      <c r="AS142" s="17">
        <f>IF(G142*Oranlar!R142&gt;1,"Ev",IF((1-G142)*Oranlar!S142&gt;1,"Dep",""))</f>
        <v/>
      </c>
      <c r="AT142" s="30">
        <f>IF(AS142="","",IF((AS142="Ev")=(E142&gt;0),IF(AS142="Ev",Oranlar!R142,Oranlar!S142)-1,-1))</f>
        <v/>
      </c>
      <c r="AU142" s="16">
        <f>IF(OR(H142=T142,S142=T142),"",IF((H142&gt;T142)=(S142&gt;T142),1,0))</f>
        <v>1</v>
      </c>
      <c r="AV142" s="16">
        <f>IF(OR(L142=V142,U142=V142),"",IF((L142&gt;V142)=(U142&gt;V142),1,0))</f>
        <v/>
      </c>
      <c r="AW142" s="16">
        <f>IF(AND(E142&gt;=J142,E142&lt;=K142),1,0)</f>
        <v>1</v>
      </c>
      <c r="AX142" s="16">
        <f>IF(AND(F142&gt;=N142,F142&lt;=O142),1,0)</f>
        <v>1</v>
      </c>
    </row>
    <row r="143" spans="1:50">
      <c r="A143" s="21">
        <f>Oranlar!A143</f>
        <v>46103</v>
      </c>
      <c r="B143" s="22" t="str">
        <f>Oranlar!C143&amp;" @ "&amp;Oranlar!D143</f>
        <v>WAS @ NYK</v>
      </c>
      <c r="C143" s="23">
        <f>Oranlar!F143</f>
        <v>145</v>
      </c>
      <c r="D143" s="23">
        <f>Oranlar!E143</f>
        <v>113</v>
      </c>
      <c r="E143" s="15">
        <f>C143-D143</f>
        <v>32</v>
      </c>
      <c r="F143" s="16">
        <f>C143+D143</f>
        <v>258</v>
      </c>
      <c r="G143" s="24">
        <v>0.86</v>
      </c>
      <c r="H143" s="10">
        <v>19.79</v>
      </c>
      <c r="I143" s="10">
        <v>13.1</v>
      </c>
      <c r="J143" s="10">
        <v>-5</v>
      </c>
      <c r="K143" s="10">
        <v>32</v>
      </c>
      <c r="L143" s="11">
        <v>228.94</v>
      </c>
      <c r="M143" s="11">
        <v>229.3</v>
      </c>
      <c r="N143" s="11">
        <v>202</v>
      </c>
      <c r="O143" s="11">
        <v>257</v>
      </c>
      <c r="P143" s="11">
        <v>121.83</v>
      </c>
      <c r="Q143" s="11">
        <v>107.03</v>
      </c>
      <c r="R143" s="25">
        <f>Oranlar!Y143</f>
        <v>0.9396411092985318</v>
      </c>
      <c r="S143" s="26">
        <f>-Oranlar!O143</f>
        <v>22.5</v>
      </c>
      <c r="T143" s="26">
        <f>-Oranlar!I143</f>
        <v>18.5</v>
      </c>
      <c r="U143" s="27">
        <f>Oranlar!V143</f>
        <v>229.5</v>
      </c>
      <c r="V143" s="27">
        <f>Oranlar!L143</f>
        <v>227.5</v>
      </c>
      <c r="W143" s="28">
        <f>(U143+S143)/2</f>
        <v>126.0</v>
      </c>
      <c r="X143" s="28">
        <f>(U143-S143)/2</f>
        <v>103.5</v>
      </c>
      <c r="Y143" s="16">
        <f>IF(G143=0.5,"",IF((G143&gt;0.5)=(E143&gt;0),1,0))</f>
        <v>1</v>
      </c>
      <c r="Z143" s="16">
        <f>IF(R143=0.5,"",IF((R143&gt;0.5)=(E143&gt;0),1,0))</f>
        <v>1</v>
      </c>
      <c r="AA143" s="29">
        <f>(G143-IF(E143&gt;0,1,0))^2</f>
        <v>0.019600000000000003</v>
      </c>
      <c r="AB143" s="29">
        <f>(R143-IF(E143&gt;0,1,0))^2</f>
        <v>0.0036431956867117796</v>
      </c>
      <c r="AC143" s="28">
        <f>ABS(H143-E143)</f>
        <v>12.21</v>
      </c>
      <c r="AD143" s="28">
        <f>ABS(I143-E143)</f>
        <v>18.9</v>
      </c>
      <c r="AE143" s="28">
        <f>ABS(S143-E143)</f>
        <v>9.5</v>
      </c>
      <c r="AF143" s="28">
        <f>ABS(L143-F143)</f>
        <v>29.060000000000002</v>
      </c>
      <c r="AG143" s="28">
        <f>ABS(M143-F143)</f>
        <v>28.69999999999999</v>
      </c>
      <c r="AH143" s="28">
        <f>ABS(U143-F143)</f>
        <v>28.5</v>
      </c>
      <c r="AI143" s="28">
        <f>ABS(P143-C143)</f>
        <v>23.17</v>
      </c>
      <c r="AJ143" s="28">
        <f>ABS(W143-C143)</f>
        <v>19.0</v>
      </c>
      <c r="AK143" s="28">
        <f>ABS(Q143-D143)</f>
        <v>5.969999999999999</v>
      </c>
      <c r="AL143" s="28">
        <f>ABS(X143-D143)</f>
        <v>9.5</v>
      </c>
      <c r="AM143" s="17" t="str">
        <f>IF(H143&gt;S143,"Ev",IF(H143&lt;S143,"Dep",""))</f>
        <v>Dep</v>
      </c>
      <c r="AN143" s="17" t="str">
        <f>IF(AM143="","",IF(E143=S143,"Push",IF((E143&gt;S143)=(AM143="Ev"),"Kazandı","Kaybetti")))</f>
        <v>Kaybetti</v>
      </c>
      <c r="AO143" s="30">
        <f>IF(AM143="","",IF(AN143="Push",0,IF(AN143="Kazandı",IF(AM143="Ev",Oranlar!P143,Oranlar!Q143)-1,-1)))</f>
        <v>-1.0</v>
      </c>
      <c r="AP143" s="17" t="str">
        <f>IF(L143&gt;U143,"Üst",IF(L143&lt;U143,"Alt",""))</f>
        <v>Alt</v>
      </c>
      <c r="AQ143" s="17" t="str">
        <f>IF(AP143="","",IF(F143=U143,"Push",IF((F143&gt;U143)=(AP143="Üst"),"Kazandı","Kaybetti")))</f>
        <v>Kaybetti</v>
      </c>
      <c r="AR143" s="30">
        <f>IF(AP143="","",IF(AQ143="Push",0,IF(AQ143="Kazandı",IF(AP143="Üst",Oranlar!W143,Oranlar!X143)-1,-1)))</f>
        <v>-1.0</v>
      </c>
      <c r="AS143" s="17" t="str">
        <f>IF(G143*Oranlar!R143&gt;1,"Ev",IF((1-G143)*Oranlar!S143&gt;1,"Dep",""))</f>
        <v>Dep</v>
      </c>
      <c r="AT143" s="30">
        <f>IF(AS143="","",IF((AS143="Ev")=(E143&gt;0),IF(AS143="Ev",Oranlar!R143,Oranlar!S143)-1,-1))</f>
        <v>-1.0</v>
      </c>
      <c r="AU143" s="16">
        <f>IF(OR(H143=T143,S143=T143),"",IF((H143&gt;T143)=(S143&gt;T143),1,0))</f>
        <v>1</v>
      </c>
      <c r="AV143" s="16">
        <f>IF(OR(L143=V143,U143=V143),"",IF((L143&gt;V143)=(U143&gt;V143),1,0))</f>
        <v>1</v>
      </c>
      <c r="AW143" s="16">
        <f>IF(AND(E143&gt;=J143,E143&lt;=K143),1,0)</f>
        <v>1</v>
      </c>
      <c r="AX143" s="16">
        <f>IF(AND(F143&gt;=N143,F143&lt;=O143),1,0)</f>
        <v>0</v>
      </c>
    </row>
    <row r="144" spans="1:50">
      <c r="A144" s="21">
        <f>Oranlar!A144</f>
        <v>46103</v>
      </c>
      <c r="B144" s="22" t="str">
        <f>Oranlar!C144&amp;" @ "&amp;Oranlar!D144</f>
        <v>MIN @ BOS</v>
      </c>
      <c r="C144" s="23">
        <f>Oranlar!F144</f>
        <v>92</v>
      </c>
      <c r="D144" s="23">
        <f>Oranlar!E144</f>
        <v>102</v>
      </c>
      <c r="E144" s="15">
        <f>C144-D144</f>
        <v>-10</v>
      </c>
      <c r="F144" s="16">
        <f>C144+D144</f>
        <v>194</v>
      </c>
      <c r="G144" s="24">
        <v>0.772</v>
      </c>
      <c r="H144" s="10">
        <v>14.51</v>
      </c>
      <c r="I144" s="10">
        <v>8.9</v>
      </c>
      <c r="J144" s="10">
        <v>-10</v>
      </c>
      <c r="K144" s="10">
        <v>28</v>
      </c>
      <c r="L144" s="11">
        <v>227.57</v>
      </c>
      <c r="M144" s="11">
        <v>230.9</v>
      </c>
      <c r="N144" s="11">
        <v>203</v>
      </c>
      <c r="O144" s="11">
        <v>258</v>
      </c>
      <c r="P144" s="11">
        <v>119.46</v>
      </c>
      <c r="Q144" s="11">
        <v>109.08</v>
      </c>
      <c r="R144" s="25">
        <f>Oranlar!Y144</f>
        <v>0.7819063004846527</v>
      </c>
      <c r="S144" s="26">
        <f>-Oranlar!O144</f>
        <v>10.5</v>
      </c>
      <c r="T144" s="26">
        <f>-Oranlar!I144</f>
        <v>9.5</v>
      </c>
      <c r="U144" s="27">
        <f>Oranlar!V144</f>
        <v>222.5</v>
      </c>
      <c r="V144" s="27">
        <f>Oranlar!L144</f>
        <v>219.5</v>
      </c>
      <c r="W144" s="28">
        <f>(U144+S144)/2</f>
        <v>116.5</v>
      </c>
      <c r="X144" s="28">
        <f>(U144-S144)/2</f>
        <v>106.0</v>
      </c>
      <c r="Y144" s="16">
        <f>IF(G144=0.5,"",IF((G144&gt;0.5)=(E144&gt;0),1,0))</f>
        <v>0</v>
      </c>
      <c r="Z144" s="16">
        <f>IF(R144=0.5,"",IF((R144&gt;0.5)=(E144&gt;0),1,0))</f>
        <v>0</v>
      </c>
      <c r="AA144" s="29">
        <f>(G144-IF(E144&gt;0,1,0))^2</f>
        <v>0.5959840000000001</v>
      </c>
      <c r="AB144" s="29">
        <f>(R144-IF(E144&gt;0,1,0))^2</f>
        <v>0.611377462737596</v>
      </c>
      <c r="AC144" s="28">
        <f>ABS(H144-E144)</f>
        <v>24.509999999999998</v>
      </c>
      <c r="AD144" s="28">
        <f>ABS(I144-E144)</f>
        <v>18.9</v>
      </c>
      <c r="AE144" s="28">
        <f>ABS(S144-E144)</f>
        <v>20.5</v>
      </c>
      <c r="AF144" s="28">
        <f>ABS(L144-F144)</f>
        <v>33.56999999999999</v>
      </c>
      <c r="AG144" s="28">
        <f>ABS(M144-F144)</f>
        <v>36.900000000000006</v>
      </c>
      <c r="AH144" s="28">
        <f>ABS(U144-F144)</f>
        <v>28.5</v>
      </c>
      <c r="AI144" s="28">
        <f>ABS(P144-C144)</f>
        <v>27.459999999999994</v>
      </c>
      <c r="AJ144" s="28">
        <f>ABS(W144-C144)</f>
        <v>24.5</v>
      </c>
      <c r="AK144" s="28">
        <f>ABS(Q144-D144)</f>
        <v>7.079999999999998</v>
      </c>
      <c r="AL144" s="28">
        <f>ABS(X144-D144)</f>
        <v>4.0</v>
      </c>
      <c r="AM144" s="17" t="str">
        <f>IF(H144&gt;S144,"Ev",IF(H144&lt;S144,"Dep",""))</f>
        <v>Ev</v>
      </c>
      <c r="AN144" s="17" t="str">
        <f>IF(AM144="","",IF(E144=S144,"Push",IF((E144&gt;S144)=(AM144="Ev"),"Kazandı","Kaybetti")))</f>
        <v>Kaybetti</v>
      </c>
      <c r="AO144" s="30">
        <f>IF(AM144="","",IF(AN144="Push",0,IF(AN144="Kazandı",IF(AM144="Ev",Oranlar!P144,Oranlar!Q144)-1,-1)))</f>
        <v>-1.0</v>
      </c>
      <c r="AP144" s="17" t="str">
        <f>IF(L144&gt;U144,"Üst",IF(L144&lt;U144,"Alt",""))</f>
        <v>Üst</v>
      </c>
      <c r="AQ144" s="17" t="str">
        <f>IF(AP144="","",IF(F144=U144,"Push",IF((F144&gt;U144)=(AP144="Üst"),"Kazandı","Kaybetti")))</f>
        <v>Kaybetti</v>
      </c>
      <c r="AR144" s="30">
        <f>IF(AP144="","",IF(AQ144="Push",0,IF(AQ144="Kazandı",IF(AP144="Üst",Oranlar!W144,Oranlar!X144)-1,-1)))</f>
        <v>-1.0</v>
      </c>
      <c r="AS144" s="17" t="str">
        <f>IF(G144*Oranlar!R144&gt;1,"Ev",IF((1-G144)*Oranlar!S144&gt;1,"Dep",""))</f>
        <v>Dep</v>
      </c>
      <c r="AT144" s="30">
        <f>IF(AS144="","",IF((AS144="Ev")=(E144&gt;0),IF(AS144="Ev",Oranlar!R144,Oranlar!S144)-1,-1))</f>
        <v>3.4000000000000004</v>
      </c>
      <c r="AU144" s="16">
        <f>IF(OR(H144=T144,S144=T144),"",IF((H144&gt;T144)=(S144&gt;T144),1,0))</f>
        <v>1</v>
      </c>
      <c r="AV144" s="16">
        <f>IF(OR(L144=V144,U144=V144),"",IF((L144&gt;V144)=(U144&gt;V144),1,0))</f>
        <v>1</v>
      </c>
      <c r="AW144" s="16">
        <f>IF(AND(E144&gt;=J144,E144&lt;=K144),1,0)</f>
        <v>1</v>
      </c>
      <c r="AX144" s="16">
        <f>IF(AND(F144&gt;=N144,F144&lt;=O144),1,0)</f>
        <v>0</v>
      </c>
    </row>
    <row r="145" spans="1:50">
      <c r="A145" s="21">
        <f>Oranlar!A145</f>
        <v>46103</v>
      </c>
      <c r="B145" s="22" t="str">
        <f>Oranlar!C145&amp;" @ "&amp;Oranlar!D145</f>
        <v>TOR @ PHX</v>
      </c>
      <c r="C145" s="23">
        <f>Oranlar!F145</f>
        <v>120</v>
      </c>
      <c r="D145" s="23">
        <f>Oranlar!E145</f>
        <v>98</v>
      </c>
      <c r="E145" s="15">
        <f>C145-D145</f>
        <v>22</v>
      </c>
      <c r="F145" s="16">
        <f>C145+D145</f>
        <v>218</v>
      </c>
      <c r="G145" s="24">
        <v>0.63</v>
      </c>
      <c r="H145" s="10">
        <v>4.1</v>
      </c>
      <c r="I145" s="10">
        <v>4.2</v>
      </c>
      <c r="J145" s="10">
        <v>-14</v>
      </c>
      <c r="K145" s="10">
        <v>23</v>
      </c>
      <c r="L145" s="11">
        <v>228</v>
      </c>
      <c r="M145" s="11">
        <v>230.3</v>
      </c>
      <c r="N145" s="11">
        <v>203</v>
      </c>
      <c r="O145" s="11">
        <v>258</v>
      </c>
      <c r="P145" s="11">
        <v>116.6</v>
      </c>
      <c r="Q145" s="11">
        <v>112.35</v>
      </c>
      <c r="R145" s="25">
        <f>Oranlar!Y145</f>
        <v>0.38356164383561653</v>
      </c>
      <c r="S145" s="26">
        <f>-Oranlar!O145</f>
        <v>-4.5</v>
      </c>
      <c r="T145" s="26">
        <f>-Oranlar!I145</f>
        <v>-1.5</v>
      </c>
      <c r="U145" s="27">
        <f>Oranlar!V145</f>
        <v>219.5</v>
      </c>
      <c r="V145" s="27">
        <f>Oranlar!L145</f>
        <v>220.5</v>
      </c>
      <c r="W145" s="28">
        <f>(U145+S145)/2</f>
        <v>107.5</v>
      </c>
      <c r="X145" s="28">
        <f>(U145-S145)/2</f>
        <v>112.0</v>
      </c>
      <c r="Y145" s="16">
        <f>IF(G145=0.5,"",IF((G145&gt;0.5)=(E145&gt;0),1,0))</f>
        <v>1</v>
      </c>
      <c r="Z145" s="16">
        <f>IF(R145=0.5,"",IF((R145&gt;0.5)=(E145&gt;0),1,0))</f>
        <v>0</v>
      </c>
      <c r="AA145" s="29">
        <f>(G145-IF(E145&gt;0,1,0))^2</f>
        <v>0.1369</v>
      </c>
      <c r="AB145" s="29">
        <f>(R145-IF(E145&gt;0,1,0))^2</f>
        <v>0.37999624695064727</v>
      </c>
      <c r="AC145" s="28">
        <f>ABS(H145-E145)</f>
        <v>17.9</v>
      </c>
      <c r="AD145" s="28">
        <f>ABS(I145-E145)</f>
        <v>17.8</v>
      </c>
      <c r="AE145" s="28">
        <f>ABS(S145-E145)</f>
        <v>26.5</v>
      </c>
      <c r="AF145" s="28">
        <f>ABS(L145-F145)</f>
        <v>10.0</v>
      </c>
      <c r="AG145" s="28">
        <f>ABS(M145-F145)</f>
        <v>12.300000000000011</v>
      </c>
      <c r="AH145" s="28">
        <f>ABS(U145-F145)</f>
        <v>1.5</v>
      </c>
      <c r="AI145" s="28">
        <f>ABS(P145-C145)</f>
        <v>3.4000000000000057</v>
      </c>
      <c r="AJ145" s="28">
        <f>ABS(W145-C145)</f>
        <v>12.5</v>
      </c>
      <c r="AK145" s="28">
        <f>ABS(Q145-D145)</f>
        <v>14.349999999999994</v>
      </c>
      <c r="AL145" s="28">
        <f>ABS(X145-D145)</f>
        <v>14.0</v>
      </c>
      <c r="AM145" s="17" t="str">
        <f>IF(H145&gt;S145,"Ev",IF(H145&lt;S145,"Dep",""))</f>
        <v>Ev</v>
      </c>
      <c r="AN145" s="17" t="str">
        <f>IF(AM145="","",IF(E145=S145,"Push",IF((E145&gt;S145)=(AM145="Ev"),"Kazandı","Kaybetti")))</f>
        <v>Kazandı</v>
      </c>
      <c r="AO145" s="30">
        <f>IF(AM145="","",IF(AN145="Push",0,IF(AN145="Kazandı",IF(AM145="Ev",Oranlar!P145,Oranlar!Q145)-1,-1)))</f>
        <v>0.9090909090909092</v>
      </c>
      <c r="AP145" s="17" t="str">
        <f>IF(L145&gt;U145,"Üst",IF(L145&lt;U145,"Alt",""))</f>
        <v>Üst</v>
      </c>
      <c r="AQ145" s="17" t="str">
        <f>IF(AP145="","",IF(F145=U145,"Push",IF((F145&gt;U145)=(AP145="Üst"),"Kazandı","Kaybetti")))</f>
        <v>Kaybetti</v>
      </c>
      <c r="AR145" s="30">
        <f>IF(AP145="","",IF(AQ145="Push",0,IF(AQ145="Kazandı",IF(AP145="Üst",Oranlar!W145,Oranlar!X145)-1,-1)))</f>
        <v>-1.0</v>
      </c>
      <c r="AS145" s="17" t="str">
        <f>IF(G145*Oranlar!R145&gt;1,"Ev",IF((1-G145)*Oranlar!S145&gt;1,"Dep",""))</f>
        <v>Ev</v>
      </c>
      <c r="AT145" s="30">
        <f>IF(AS145="","",IF((AS145="Ev")=(E145&gt;0),IF(AS145="Ev",Oranlar!R145,Oranlar!S145)-1,-1))</f>
        <v>1.5</v>
      </c>
      <c r="AU145" s="16">
        <f>IF(OR(H145=T145,S145=T145),"",IF((H145&gt;T145)=(S145&gt;T145),1,0))</f>
        <v>0</v>
      </c>
      <c r="AV145" s="16">
        <f>IF(OR(L145=V145,U145=V145),"",IF((L145&gt;V145)=(U145&gt;V145),1,0))</f>
        <v>0</v>
      </c>
      <c r="AW145" s="16">
        <f>IF(AND(E145&gt;=J145,E145&lt;=K145),1,0)</f>
        <v>1</v>
      </c>
      <c r="AX145" s="16">
        <f>IF(AND(F145&gt;=N145,F145&lt;=O145),1,0)</f>
        <v>1</v>
      </c>
    </row>
    <row r="146" spans="1:50">
      <c r="A146" s="21">
        <f>Oranlar!A146</f>
        <v>46104</v>
      </c>
      <c r="B146" s="22" t="str">
        <f>Oranlar!C146&amp;" @ "&amp;Oranlar!D146</f>
        <v>MEM @ ATL</v>
      </c>
      <c r="C146" s="23">
        <f>Oranlar!F146</f>
        <v>146</v>
      </c>
      <c r="D146" s="23">
        <f>Oranlar!E146</f>
        <v>107</v>
      </c>
      <c r="E146" s="15">
        <f>C146-D146</f>
        <v>39</v>
      </c>
      <c r="F146" s="16">
        <f>C146+D146</f>
        <v>253</v>
      </c>
      <c r="G146" s="24">
        <v>0.765</v>
      </c>
      <c r="H146" s="10">
        <v>16.17</v>
      </c>
      <c r="I146" s="10">
        <v>14.9</v>
      </c>
      <c r="J146" s="10">
        <v>-4</v>
      </c>
      <c r="K146" s="10">
        <v>34</v>
      </c>
      <c r="L146" s="11">
        <v>233.72</v>
      </c>
      <c r="M146" s="11">
        <v>238.2</v>
      </c>
      <c r="N146" s="11">
        <v>210</v>
      </c>
      <c r="O146" s="11">
        <v>266</v>
      </c>
      <c r="P146" s="11">
        <v>123.96</v>
      </c>
      <c r="Q146" s="11">
        <v>112</v>
      </c>
      <c r="R146" s="25">
        <f>Oranlar!Y146</f>
        <v>0.863013698630137</v>
      </c>
      <c r="S146" s="26">
        <f>-Oranlar!O146</f>
        <v>13.5</v>
      </c>
      <c r="T146" s="26">
        <f>-Oranlar!I146</f>
        <v>12.5</v>
      </c>
      <c r="U146" s="27">
        <f>Oranlar!V146</f>
        <v>238.5</v>
      </c>
      <c r="V146" s="27">
        <f>Oranlar!L146</f>
        <v>240.5</v>
      </c>
      <c r="W146" s="28">
        <f>(U146+S146)/2</f>
        <v>126.0</v>
      </c>
      <c r="X146" s="28">
        <f>(U146-S146)/2</f>
        <v>112.5</v>
      </c>
      <c r="Y146" s="16">
        <f>IF(G146=0.5,"",IF((G146&gt;0.5)=(E146&gt;0),1,0))</f>
        <v>1</v>
      </c>
      <c r="Z146" s="16">
        <f>IF(R146=0.5,"",IF((R146&gt;0.5)=(E146&gt;0),1,0))</f>
        <v>1</v>
      </c>
      <c r="AA146" s="29">
        <f>(G146-IF(E146&gt;0,1,0))^2</f>
        <v>0.055224999999999996</v>
      </c>
      <c r="AB146" s="29">
        <f>(R146-IF(E146&gt;0,1,0))^2</f>
        <v>0.01876524676299493</v>
      </c>
      <c r="AC146" s="28">
        <f>ABS(H146-E146)</f>
        <v>22.83</v>
      </c>
      <c r="AD146" s="28">
        <f>ABS(I146-E146)</f>
        <v>24.1</v>
      </c>
      <c r="AE146" s="28">
        <f>ABS(S146-E146)</f>
        <v>25.5</v>
      </c>
      <c r="AF146" s="28">
        <f>ABS(L146-F146)</f>
        <v>19.28</v>
      </c>
      <c r="AG146" s="28">
        <f>ABS(M146-F146)</f>
        <v>14.800000000000011</v>
      </c>
      <c r="AH146" s="28">
        <f>ABS(U146-F146)</f>
        <v>14.5</v>
      </c>
      <c r="AI146" s="28">
        <f>ABS(P146-C146)</f>
        <v>22.040000000000006</v>
      </c>
      <c r="AJ146" s="28">
        <f>ABS(W146-C146)</f>
        <v>20.0</v>
      </c>
      <c r="AK146" s="28">
        <f>ABS(Q146-D146)</f>
        <v>5.0</v>
      </c>
      <c r="AL146" s="28">
        <f>ABS(X146-D146)</f>
        <v>5.5</v>
      </c>
      <c r="AM146" s="17" t="str">
        <f>IF(H146&gt;S146,"Ev",IF(H146&lt;S146,"Dep",""))</f>
        <v>Ev</v>
      </c>
      <c r="AN146" s="17" t="str">
        <f>IF(AM146="","",IF(E146=S146,"Push",IF((E146&gt;S146)=(AM146="Ev"),"Kazandı","Kaybetti")))</f>
        <v>Kazandı</v>
      </c>
      <c r="AO146" s="30">
        <f>IF(AM146="","",IF(AN146="Push",0,IF(AN146="Kazandı",IF(AM146="Ev",Oranlar!P146,Oranlar!Q146)-1,-1)))</f>
        <v>0.9090909090909092</v>
      </c>
      <c r="AP146" s="17" t="str">
        <f>IF(L146&gt;U146,"Üst",IF(L146&lt;U146,"Alt",""))</f>
        <v>Alt</v>
      </c>
      <c r="AQ146" s="17" t="str">
        <f>IF(AP146="","",IF(F146=U146,"Push",IF((F146&gt;U146)=(AP146="Üst"),"Kazandı","Kaybetti")))</f>
        <v>Kaybetti</v>
      </c>
      <c r="AR146" s="30">
        <f>IF(AP146="","",IF(AQ146="Push",0,IF(AQ146="Kazandı",IF(AP146="Üst",Oranlar!W146,Oranlar!X146)-1,-1)))</f>
        <v>-1.0</v>
      </c>
      <c r="AS146" s="17" t="str">
        <f>IF(G146*Oranlar!R146&gt;1,"Ev",IF((1-G146)*Oranlar!S146&gt;1,"Dep",""))</f>
        <v>Dep</v>
      </c>
      <c r="AT146" s="30">
        <f>IF(AS146="","",IF((AS146="Ev")=(E146&gt;0),IF(AS146="Ev",Oranlar!R146,Oranlar!S146)-1,-1))</f>
        <v>-1.0</v>
      </c>
      <c r="AU146" s="16">
        <f>IF(OR(H146=T146,S146=T146),"",IF((H146&gt;T146)=(S146&gt;T146),1,0))</f>
        <v>1</v>
      </c>
      <c r="AV146" s="16">
        <f>IF(OR(L146=V146,U146=V146),"",IF((L146&gt;V146)=(U146&gt;V146),1,0))</f>
        <v>1</v>
      </c>
      <c r="AW146" s="16">
        <f>IF(AND(E146&gt;=J146,E146&lt;=K146),1,0)</f>
        <v>0</v>
      </c>
      <c r="AX146" s="16">
        <f>IF(AND(F146&gt;=N146,F146&lt;=O146),1,0)</f>
        <v>1</v>
      </c>
    </row>
    <row r="147" spans="1:50">
      <c r="A147" s="21">
        <f>Oranlar!A147</f>
        <v>46104</v>
      </c>
      <c r="B147" s="22" t="str">
        <f>Oranlar!C147&amp;" @ "&amp;Oranlar!D147</f>
        <v>LAL @ DET</v>
      </c>
      <c r="C147" s="23">
        <f>Oranlar!F147</f>
        <v>113</v>
      </c>
      <c r="D147" s="23">
        <f>Oranlar!E147</f>
        <v>110</v>
      </c>
      <c r="E147" s="15">
        <f>C147-D147</f>
        <v>3</v>
      </c>
      <c r="F147" s="16">
        <f>C147+D147</f>
        <v>223</v>
      </c>
      <c r="G147" s="24">
        <v>0.53</v>
      </c>
      <c r="H147" s="10">
        <v>2.12</v>
      </c>
      <c r="I147" s="10">
        <v>4.7</v>
      </c>
      <c r="J147" s="10">
        <v>-13</v>
      </c>
      <c r="K147" s="10">
        <v>23</v>
      </c>
      <c r="L147" s="11">
        <v>228.24</v>
      </c>
      <c r="M147" s="11">
        <v>228</v>
      </c>
      <c r="N147" s="11">
        <v>201</v>
      </c>
      <c r="O147" s="11">
        <v>255</v>
      </c>
      <c r="P147" s="11">
        <v>115.47</v>
      </c>
      <c r="Q147" s="11">
        <v>112.98</v>
      </c>
      <c r="R147" s="25">
        <f>Oranlar!Y147</f>
        <v>0.4675324675324676</v>
      </c>
      <c r="S147" s="26">
        <f>-Oranlar!O147</f>
        <v>-1.5</v>
      </c>
      <c r="T147" s="26">
        <f>-Oranlar!I147</f>
        <v>-1.5</v>
      </c>
      <c r="U147" s="27">
        <f>Oranlar!V147</f>
        <v>224.5</v>
      </c>
      <c r="V147" s="27">
        <f>Oranlar!L147</f>
        <v>228.5</v>
      </c>
      <c r="W147" s="28">
        <f>(U147+S147)/2</f>
        <v>111.5</v>
      </c>
      <c r="X147" s="28">
        <f>(U147-S147)/2</f>
        <v>113.0</v>
      </c>
      <c r="Y147" s="16">
        <f>IF(G147=0.5,"",IF((G147&gt;0.5)=(E147&gt;0),1,0))</f>
        <v>1</v>
      </c>
      <c r="Z147" s="16">
        <f>IF(R147=0.5,"",IF((R147&gt;0.5)=(E147&gt;0),1,0))</f>
        <v>0</v>
      </c>
      <c r="AA147" s="29">
        <f>(G147-IF(E147&gt;0,1,0))^2</f>
        <v>0.22089999999999999</v>
      </c>
      <c r="AB147" s="29">
        <f>(R147-IF(E147&gt;0,1,0))^2</f>
        <v>0.28352167313206267</v>
      </c>
      <c r="AC147" s="28">
        <f>ABS(H147-E147)</f>
        <v>0.8799999999999999</v>
      </c>
      <c r="AD147" s="28">
        <f>ABS(I147-E147)</f>
        <v>1.7000000000000002</v>
      </c>
      <c r="AE147" s="28">
        <f>ABS(S147-E147)</f>
        <v>4.5</v>
      </c>
      <c r="AF147" s="28">
        <f>ABS(L147-F147)</f>
        <v>5.240000000000009</v>
      </c>
      <c r="AG147" s="28">
        <f>ABS(M147-F147)</f>
        <v>5.0</v>
      </c>
      <c r="AH147" s="28">
        <f>ABS(U147-F147)</f>
        <v>1.5</v>
      </c>
      <c r="AI147" s="28">
        <f>ABS(P147-C147)</f>
        <v>2.469999999999999</v>
      </c>
      <c r="AJ147" s="28">
        <f>ABS(W147-C147)</f>
        <v>1.5</v>
      </c>
      <c r="AK147" s="28">
        <f>ABS(Q147-D147)</f>
        <v>2.980000000000004</v>
      </c>
      <c r="AL147" s="28">
        <f>ABS(X147-D147)</f>
        <v>3.0</v>
      </c>
      <c r="AM147" s="17" t="str">
        <f>IF(H147&gt;S147,"Ev",IF(H147&lt;S147,"Dep",""))</f>
        <v>Ev</v>
      </c>
      <c r="AN147" s="17" t="str">
        <f>IF(AM147="","",IF(E147=S147,"Push",IF((E147&gt;S147)=(AM147="Ev"),"Kazandı","Kaybetti")))</f>
        <v>Kazandı</v>
      </c>
      <c r="AO147" s="30">
        <f>IF(AM147="","",IF(AN147="Push",0,IF(AN147="Kazandı",IF(AM147="Ev",Oranlar!P147,Oranlar!Q147)-1,-1)))</f>
        <v>0.925925925925926</v>
      </c>
      <c r="AP147" s="17" t="str">
        <f>IF(L147&gt;U147,"Üst",IF(L147&lt;U147,"Alt",""))</f>
        <v>Üst</v>
      </c>
      <c r="AQ147" s="17" t="str">
        <f>IF(AP147="","",IF(F147=U147,"Push",IF((F147&gt;U147)=(AP147="Üst"),"Kazandı","Kaybetti")))</f>
        <v>Kaybetti</v>
      </c>
      <c r="AR147" s="30">
        <f>IF(AP147="","",IF(AQ147="Push",0,IF(AQ147="Kazandı",IF(AP147="Üst",Oranlar!W147,Oranlar!X147)-1,-1)))</f>
        <v>-1.0</v>
      </c>
      <c r="AS147" s="17" t="str">
        <f>IF(G147*Oranlar!R147&gt;1,"Ev",IF((1-G147)*Oranlar!S147&gt;1,"Dep",""))</f>
        <v>Ev</v>
      </c>
      <c r="AT147" s="30">
        <f>IF(AS147="","",IF((AS147="Ev")=(E147&gt;0),IF(AS147="Ev",Oranlar!R147,Oranlar!S147)-1,-1))</f>
        <v>1.0499999999999998</v>
      </c>
      <c r="AU147" s="16">
        <f>IF(OR(H147=T147,S147=T147),"",IF((H147&gt;T147)=(S147&gt;T147),1,0))</f>
        <v/>
      </c>
      <c r="AV147" s="16">
        <f>IF(OR(L147=V147,U147=V147),"",IF((L147&gt;V147)=(U147&gt;V147),1,0))</f>
        <v>1</v>
      </c>
      <c r="AW147" s="16">
        <f>IF(AND(E147&gt;=J147,E147&lt;=K147),1,0)</f>
        <v>1</v>
      </c>
      <c r="AX147" s="16">
        <f>IF(AND(F147&gt;=N147,F147&lt;=O147),1,0)</f>
        <v>1</v>
      </c>
    </row>
    <row r="148" spans="1:50">
      <c r="A148" s="21">
        <f>Oranlar!A148</f>
        <v>46104</v>
      </c>
      <c r="B148" s="22" t="str">
        <f>Oranlar!C148&amp;" @ "&amp;Oranlar!D148</f>
        <v>IND @ ORL</v>
      </c>
      <c r="C148" s="23">
        <f>Oranlar!F148</f>
        <v>126</v>
      </c>
      <c r="D148" s="23">
        <f>Oranlar!E148</f>
        <v>128</v>
      </c>
      <c r="E148" s="15">
        <f>C148-D148</f>
        <v>-2</v>
      </c>
      <c r="F148" s="16">
        <f>C148+D148</f>
        <v>254</v>
      </c>
      <c r="G148" s="24">
        <v>0.731</v>
      </c>
      <c r="H148" s="10">
        <v>8.18</v>
      </c>
      <c r="I148" s="10">
        <v>7.6</v>
      </c>
      <c r="J148" s="10">
        <v>-11</v>
      </c>
      <c r="K148" s="10">
        <v>26</v>
      </c>
      <c r="L148" s="11">
        <v>230.82</v>
      </c>
      <c r="M148" s="11">
        <v>229.4</v>
      </c>
      <c r="N148" s="11">
        <v>202</v>
      </c>
      <c r="O148" s="11">
        <v>257</v>
      </c>
      <c r="P148" s="11">
        <v>119.31</v>
      </c>
      <c r="Q148" s="11">
        <v>111.39</v>
      </c>
      <c r="R148" s="25">
        <f>Oranlar!Y148</f>
        <v>0.8081570996978852</v>
      </c>
      <c r="S148" s="26">
        <f>-Oranlar!O148</f>
        <v>10.5</v>
      </c>
      <c r="T148" s="26">
        <f>-Oranlar!I148</f>
        <v>12.5</v>
      </c>
      <c r="U148" s="27">
        <f>Oranlar!V148</f>
        <v>233.5</v>
      </c>
      <c r="V148" s="27">
        <f>Oranlar!L148</f>
        <v>232.5</v>
      </c>
      <c r="W148" s="28">
        <f>(U148+S148)/2</f>
        <v>122.0</v>
      </c>
      <c r="X148" s="28">
        <f>(U148-S148)/2</f>
        <v>111.5</v>
      </c>
      <c r="Y148" s="16">
        <f>IF(G148=0.5,"",IF((G148&gt;0.5)=(E148&gt;0),1,0))</f>
        <v>0</v>
      </c>
      <c r="Z148" s="16">
        <f>IF(R148=0.5,"",IF((R148&gt;0.5)=(E148&gt;0),1,0))</f>
        <v>0</v>
      </c>
      <c r="AA148" s="29">
        <f>(G148-IF(E148&gt;0,1,0))^2</f>
        <v>0.534361</v>
      </c>
      <c r="AB148" s="29">
        <f>(R148-IF(E148&gt;0,1,0))^2</f>
        <v>0.6531178977920975</v>
      </c>
      <c r="AC148" s="28">
        <f>ABS(H148-E148)</f>
        <v>10.18</v>
      </c>
      <c r="AD148" s="28">
        <f>ABS(I148-E148)</f>
        <v>9.6</v>
      </c>
      <c r="AE148" s="28">
        <f>ABS(S148-E148)</f>
        <v>12.5</v>
      </c>
      <c r="AF148" s="28">
        <f>ABS(L148-F148)</f>
        <v>23.180000000000007</v>
      </c>
      <c r="AG148" s="28">
        <f>ABS(M148-F148)</f>
        <v>24.599999999999994</v>
      </c>
      <c r="AH148" s="28">
        <f>ABS(U148-F148)</f>
        <v>20.5</v>
      </c>
      <c r="AI148" s="28">
        <f>ABS(P148-C148)</f>
        <v>6.689999999999998</v>
      </c>
      <c r="AJ148" s="28">
        <f>ABS(W148-C148)</f>
        <v>4.0</v>
      </c>
      <c r="AK148" s="28">
        <f>ABS(Q148-D148)</f>
        <v>16.61</v>
      </c>
      <c r="AL148" s="28">
        <f>ABS(X148-D148)</f>
        <v>16.5</v>
      </c>
      <c r="AM148" s="17" t="str">
        <f>IF(H148&gt;S148,"Ev",IF(H148&lt;S148,"Dep",""))</f>
        <v>Dep</v>
      </c>
      <c r="AN148" s="17" t="str">
        <f>IF(AM148="","",IF(E148=S148,"Push",IF((E148&gt;S148)=(AM148="Ev"),"Kazandı","Kaybetti")))</f>
        <v>Kazandı</v>
      </c>
      <c r="AO148" s="30">
        <f>IF(AM148="","",IF(AN148="Push",0,IF(AN148="Kazandı",IF(AM148="Ev",Oranlar!P148,Oranlar!Q148)-1,-1)))</f>
        <v>0.9090909090909092</v>
      </c>
      <c r="AP148" s="17" t="str">
        <f>IF(L148&gt;U148,"Üst",IF(L148&lt;U148,"Alt",""))</f>
        <v>Alt</v>
      </c>
      <c r="AQ148" s="17" t="str">
        <f>IF(AP148="","",IF(F148=U148,"Push",IF((F148&gt;U148)=(AP148="Üst"),"Kazandı","Kaybetti")))</f>
        <v>Kaybetti</v>
      </c>
      <c r="AR148" s="30">
        <f>IF(AP148="","",IF(AQ148="Push",0,IF(AQ148="Kazandı",IF(AP148="Üst",Oranlar!W148,Oranlar!X148)-1,-1)))</f>
        <v>-1.0</v>
      </c>
      <c r="AS148" s="17" t="str">
        <f>IF(G148*Oranlar!R148&gt;1,"Ev",IF((1-G148)*Oranlar!S148&gt;1,"Dep",""))</f>
        <v>Dep</v>
      </c>
      <c r="AT148" s="30">
        <f>IF(AS148="","",IF((AS148="Ev")=(E148&gt;0),IF(AS148="Ev",Oranlar!R148,Oranlar!S148)-1,-1))</f>
        <v>4.0</v>
      </c>
      <c r="AU148" s="16">
        <f>IF(OR(H148=T148,S148=T148),"",IF((H148&gt;T148)=(S148&gt;T148),1,0))</f>
        <v>1</v>
      </c>
      <c r="AV148" s="16">
        <f>IF(OR(L148=V148,U148=V148),"",IF((L148&gt;V148)=(U148&gt;V148),1,0))</f>
        <v>0</v>
      </c>
      <c r="AW148" s="16">
        <f>IF(AND(E148&gt;=J148,E148&lt;=K148),1,0)</f>
        <v>1</v>
      </c>
      <c r="AX148" s="16">
        <f>IF(AND(F148&gt;=N148,F148&lt;=O148),1,0)</f>
        <v>1</v>
      </c>
    </row>
    <row r="149" spans="1:50">
      <c r="A149" s="21">
        <f>Oranlar!A149</f>
        <v>46104</v>
      </c>
      <c r="B149" s="22" t="str">
        <f>Oranlar!C149&amp;" @ "&amp;Oranlar!D149</f>
        <v>OKC @ PHI</v>
      </c>
      <c r="C149" s="23">
        <f>Oranlar!F149</f>
        <v>103</v>
      </c>
      <c r="D149" s="23">
        <f>Oranlar!E149</f>
        <v>123</v>
      </c>
      <c r="E149" s="15">
        <f>C149-D149</f>
        <v>-20</v>
      </c>
      <c r="F149" s="16">
        <f>C149+D149</f>
        <v>226</v>
      </c>
      <c r="G149" s="24">
        <v>0.264</v>
      </c>
      <c r="H149" s="10">
        <v>-7.72</v>
      </c>
      <c r="I149" s="10">
        <v>-5.8</v>
      </c>
      <c r="J149" s="10">
        <v>-24</v>
      </c>
      <c r="K149" s="10">
        <v>12</v>
      </c>
      <c r="L149" s="11">
        <v>225.01</v>
      </c>
      <c r="M149" s="11">
        <v>221.9</v>
      </c>
      <c r="N149" s="11">
        <v>195</v>
      </c>
      <c r="O149" s="11">
        <v>248</v>
      </c>
      <c r="P149" s="11">
        <v>108.44</v>
      </c>
      <c r="Q149" s="11">
        <v>119.56</v>
      </c>
      <c r="R149" s="25">
        <f>Oranlar!Y149</f>
        <v>0.11304347826086955</v>
      </c>
      <c r="S149" s="26">
        <f>-Oranlar!O149</f>
        <v>-16.5</v>
      </c>
      <c r="T149" s="26">
        <f>-Oranlar!I149</f>
        <v>-13.5</v>
      </c>
      <c r="U149" s="27">
        <f>Oranlar!V149</f>
        <v>226.5</v>
      </c>
      <c r="V149" s="27">
        <f>Oranlar!L149</f>
        <v>222.5</v>
      </c>
      <c r="W149" s="28">
        <f>(U149+S149)/2</f>
        <v>105.0</v>
      </c>
      <c r="X149" s="28">
        <f>(U149-S149)/2</f>
        <v>121.5</v>
      </c>
      <c r="Y149" s="16">
        <f>IF(G149=0.5,"",IF((G149&gt;0.5)=(E149&gt;0),1,0))</f>
        <v>1</v>
      </c>
      <c r="Z149" s="16">
        <f>IF(R149=0.5,"",IF((R149&gt;0.5)=(E149&gt;0),1,0))</f>
        <v>1</v>
      </c>
      <c r="AA149" s="29">
        <f>(G149-IF(E149&gt;0,1,0))^2</f>
        <v>0.06969600000000001</v>
      </c>
      <c r="AB149" s="29">
        <f>(R149-IF(E149&gt;0,1,0))^2</f>
        <v>0.012778827977315686</v>
      </c>
      <c r="AC149" s="28">
        <f>ABS(H149-E149)</f>
        <v>12.280000000000001</v>
      </c>
      <c r="AD149" s="28">
        <f>ABS(I149-E149)</f>
        <v>14.2</v>
      </c>
      <c r="AE149" s="28">
        <f>ABS(S149-E149)</f>
        <v>3.5</v>
      </c>
      <c r="AF149" s="28">
        <f>ABS(L149-F149)</f>
        <v>0.9900000000000091</v>
      </c>
      <c r="AG149" s="28">
        <f>ABS(M149-F149)</f>
        <v>4.099999999999994</v>
      </c>
      <c r="AH149" s="28">
        <f>ABS(U149-F149)</f>
        <v>0.5</v>
      </c>
      <c r="AI149" s="28">
        <f>ABS(P149-C149)</f>
        <v>5.439999999999998</v>
      </c>
      <c r="AJ149" s="28">
        <f>ABS(W149-C149)</f>
        <v>2.0</v>
      </c>
      <c r="AK149" s="28">
        <f>ABS(Q149-D149)</f>
        <v>3.4399999999999977</v>
      </c>
      <c r="AL149" s="28">
        <f>ABS(X149-D149)</f>
        <v>1.5</v>
      </c>
      <c r="AM149" s="17" t="str">
        <f>IF(H149&gt;S149,"Ev",IF(H149&lt;S149,"Dep",""))</f>
        <v>Ev</v>
      </c>
      <c r="AN149" s="17" t="str">
        <f>IF(AM149="","",IF(E149=S149,"Push",IF((E149&gt;S149)=(AM149="Ev"),"Kazandı","Kaybetti")))</f>
        <v>Kaybetti</v>
      </c>
      <c r="AO149" s="30">
        <f>IF(AM149="","",IF(AN149="Push",0,IF(AN149="Kazandı",IF(AM149="Ev",Oranlar!P149,Oranlar!Q149)-1,-1)))</f>
        <v>-1.0</v>
      </c>
      <c r="AP149" s="17" t="str">
        <f>IF(L149&gt;U149,"Üst",IF(L149&lt;U149,"Alt",""))</f>
        <v>Alt</v>
      </c>
      <c r="AQ149" s="17" t="str">
        <f>IF(AP149="","",IF(F149=U149,"Push",IF((F149&gt;U149)=(AP149="Üst"),"Kazandı","Kaybetti")))</f>
        <v>Kazandı</v>
      </c>
      <c r="AR149" s="30">
        <f>IF(AP149="","",IF(AQ149="Push",0,IF(AQ149="Kazandı",IF(AP149="Üst",Oranlar!W149,Oranlar!X149)-1,-1)))</f>
        <v>0.925925925925926</v>
      </c>
      <c r="AS149" s="17" t="str">
        <f>IF(G149*Oranlar!R149&gt;1,"Ev",IF((1-G149)*Oranlar!S149&gt;1,"Dep",""))</f>
        <v>Ev</v>
      </c>
      <c r="AT149" s="30">
        <f>IF(AS149="","",IF((AS149="Ev")=(E149&gt;0),IF(AS149="Ev",Oranlar!R149,Oranlar!S149)-1,-1))</f>
        <v>-1.0</v>
      </c>
      <c r="AU149" s="16">
        <f>IF(OR(H149=T149,S149=T149),"",IF((H149&gt;T149)=(S149&gt;T149),1,0))</f>
        <v>0</v>
      </c>
      <c r="AV149" s="16">
        <f>IF(OR(L149=V149,U149=V149),"",IF((L149&gt;V149)=(U149&gt;V149),1,0))</f>
        <v>1</v>
      </c>
      <c r="AW149" s="16">
        <f>IF(AND(E149&gt;=J149,E149&lt;=K149),1,0)</f>
        <v>1</v>
      </c>
      <c r="AX149" s="16">
        <f>IF(AND(F149&gt;=N149,F149&lt;=O149),1,0)</f>
        <v>1</v>
      </c>
    </row>
    <row r="150" spans="1:50">
      <c r="A150" s="21">
        <f>Oranlar!A150</f>
        <v>46104</v>
      </c>
      <c r="B150" s="22" t="str">
        <f>Oranlar!C150&amp;" @ "&amp;Oranlar!D150</f>
        <v>SAS @ MIA</v>
      </c>
      <c r="C150" s="23">
        <f>Oranlar!F150</f>
        <v>111</v>
      </c>
      <c r="D150" s="23">
        <f>Oranlar!E150</f>
        <v>136</v>
      </c>
      <c r="E150" s="15">
        <f>C150-D150</f>
        <v>-25</v>
      </c>
      <c r="F150" s="16">
        <f>C150+D150</f>
        <v>247</v>
      </c>
      <c r="G150" s="24">
        <v>0.532</v>
      </c>
      <c r="H150" s="10">
        <v>0.76</v>
      </c>
      <c r="I150" s="10">
        <v>0.2</v>
      </c>
      <c r="J150" s="10">
        <v>-19</v>
      </c>
      <c r="K150" s="10">
        <v>20</v>
      </c>
      <c r="L150" s="11">
        <v>238.57</v>
      </c>
      <c r="M150" s="11">
        <v>240.9</v>
      </c>
      <c r="N150" s="11">
        <v>213</v>
      </c>
      <c r="O150" s="11">
        <v>269</v>
      </c>
      <c r="P150" s="11">
        <v>116.64</v>
      </c>
      <c r="Q150" s="11">
        <v>119.66</v>
      </c>
      <c r="R150" s="25">
        <f>Oranlar!Y150</f>
        <v>0.41700735895339325</v>
      </c>
      <c r="S150" s="26">
        <f>-Oranlar!O150</f>
        <v>-3.5</v>
      </c>
      <c r="T150" s="26">
        <f>-Oranlar!I150</f>
        <v>-5.5</v>
      </c>
      <c r="U150" s="27">
        <f>Oranlar!V150</f>
        <v>244.5</v>
      </c>
      <c r="V150" s="27">
        <f>Oranlar!L150</f>
        <v>240.5</v>
      </c>
      <c r="W150" s="28">
        <f>(U150+S150)/2</f>
        <v>120.5</v>
      </c>
      <c r="X150" s="28">
        <f>(U150-S150)/2</f>
        <v>124.0</v>
      </c>
      <c r="Y150" s="16">
        <f>IF(G150=0.5,"",IF((G150&gt;0.5)=(E150&gt;0),1,0))</f>
        <v>0</v>
      </c>
      <c r="Z150" s="16">
        <f>IF(R150=0.5,"",IF((R150&gt;0.5)=(E150&gt;0),1,0))</f>
        <v>1</v>
      </c>
      <c r="AA150" s="29">
        <f>(G150-IF(E150&gt;0,1,0))^2</f>
        <v>0.28302400000000005</v>
      </c>
      <c r="AB150" s="29">
        <f>(R150-IF(E150&gt;0,1,0))^2</f>
        <v>0.17389513742128415</v>
      </c>
      <c r="AC150" s="28">
        <f>ABS(H150-E150)</f>
        <v>25.76</v>
      </c>
      <c r="AD150" s="28">
        <f>ABS(I150-E150)</f>
        <v>25.2</v>
      </c>
      <c r="AE150" s="28">
        <f>ABS(S150-E150)</f>
        <v>21.5</v>
      </c>
      <c r="AF150" s="28">
        <f>ABS(L150-F150)</f>
        <v>8.430000000000007</v>
      </c>
      <c r="AG150" s="28">
        <f>ABS(M150-F150)</f>
        <v>6.099999999999994</v>
      </c>
      <c r="AH150" s="28">
        <f>ABS(U150-F150)</f>
        <v>2.5</v>
      </c>
      <c r="AI150" s="28">
        <f>ABS(P150-C150)</f>
        <v>5.640000000000001</v>
      </c>
      <c r="AJ150" s="28">
        <f>ABS(W150-C150)</f>
        <v>9.5</v>
      </c>
      <c r="AK150" s="28">
        <f>ABS(Q150-D150)</f>
        <v>16.340000000000003</v>
      </c>
      <c r="AL150" s="28">
        <f>ABS(X150-D150)</f>
        <v>12.0</v>
      </c>
      <c r="AM150" s="17" t="str">
        <f>IF(H150&gt;S150,"Ev",IF(H150&lt;S150,"Dep",""))</f>
        <v>Ev</v>
      </c>
      <c r="AN150" s="17" t="str">
        <f>IF(AM150="","",IF(E150=S150,"Push",IF((E150&gt;S150)=(AM150="Ev"),"Kazandı","Kaybetti")))</f>
        <v>Kaybetti</v>
      </c>
      <c r="AO150" s="30">
        <f>IF(AM150="","",IF(AN150="Push",0,IF(AN150="Kazandı",IF(AM150="Ev",Oranlar!P150,Oranlar!Q150)-1,-1)))</f>
        <v>-1.0</v>
      </c>
      <c r="AP150" s="17" t="str">
        <f>IF(L150&gt;U150,"Üst",IF(L150&lt;U150,"Alt",""))</f>
        <v>Alt</v>
      </c>
      <c r="AQ150" s="17" t="str">
        <f>IF(AP150="","",IF(F150=U150,"Push",IF((F150&gt;U150)=(AP150="Üst"),"Kazandı","Kaybetti")))</f>
        <v>Kaybetti</v>
      </c>
      <c r="AR150" s="30">
        <f>IF(AP150="","",IF(AQ150="Push",0,IF(AQ150="Kazandı",IF(AP150="Üst",Oranlar!W150,Oranlar!X150)-1,-1)))</f>
        <v>-1.0</v>
      </c>
      <c r="AS150" s="17" t="str">
        <f>IF(G150*Oranlar!R150&gt;1,"Ev",IF((1-G150)*Oranlar!S150&gt;1,"Dep",""))</f>
        <v>Ev</v>
      </c>
      <c r="AT150" s="30">
        <f>IF(AS150="","",IF((AS150="Ev")=(E150&gt;0),IF(AS150="Ev",Oranlar!R150,Oranlar!S150)-1,-1))</f>
        <v>-1.0</v>
      </c>
      <c r="AU150" s="16">
        <f>IF(OR(H150=T150,S150=T150),"",IF((H150&gt;T150)=(S150&gt;T150),1,0))</f>
        <v>1</v>
      </c>
      <c r="AV150" s="16">
        <f>IF(OR(L150=V150,U150=V150),"",IF((L150&gt;V150)=(U150&gt;V150),1,0))</f>
        <v>0</v>
      </c>
      <c r="AW150" s="16">
        <f>IF(AND(E150&gt;=J150,E150&lt;=K150),1,0)</f>
        <v>0</v>
      </c>
      <c r="AX150" s="16">
        <f>IF(AND(F150&gt;=N150,F150&lt;=O150),1,0)</f>
        <v>1</v>
      </c>
    </row>
    <row r="151" spans="1:50">
      <c r="A151" s="21">
        <f>Oranlar!A151</f>
        <v>46104</v>
      </c>
      <c r="B151" s="22" t="str">
        <f>Oranlar!C151&amp;" @ "&amp;Oranlar!D151</f>
        <v>HOU @ CHI</v>
      </c>
      <c r="C151" s="23">
        <f>Oranlar!F151</f>
        <v>132</v>
      </c>
      <c r="D151" s="23">
        <f>Oranlar!E151</f>
        <v>124</v>
      </c>
      <c r="E151" s="15">
        <f>C151-D151</f>
        <v>8</v>
      </c>
      <c r="F151" s="16">
        <f>C151+D151</f>
        <v>256</v>
      </c>
      <c r="G151" s="24">
        <v>0.505</v>
      </c>
      <c r="H151" s="10">
        <v>-0.98</v>
      </c>
      <c r="I151" s="10">
        <v>-2.3</v>
      </c>
      <c r="J151" s="10">
        <v>-21</v>
      </c>
      <c r="K151" s="10">
        <v>16</v>
      </c>
      <c r="L151" s="11">
        <v>229.73</v>
      </c>
      <c r="M151" s="11">
        <v>233</v>
      </c>
      <c r="N151" s="11">
        <v>205</v>
      </c>
      <c r="O151" s="11">
        <v>260</v>
      </c>
      <c r="P151" s="11">
        <v>114.41</v>
      </c>
      <c r="Q151" s="11">
        <v>117.97</v>
      </c>
      <c r="R151" s="25">
        <f>Oranlar!Y151</f>
        <v>0.24281150159744405</v>
      </c>
      <c r="S151" s="26">
        <f>-Oranlar!O151</f>
        <v>-8.5</v>
      </c>
      <c r="T151" s="26">
        <f>-Oranlar!I151</f>
        <v>-8.5</v>
      </c>
      <c r="U151" s="27">
        <f>Oranlar!V151</f>
        <v>233.5</v>
      </c>
      <c r="V151" s="27">
        <f>Oranlar!L151</f>
        <v>227.5</v>
      </c>
      <c r="W151" s="28">
        <f>(U151+S151)/2</f>
        <v>112.5</v>
      </c>
      <c r="X151" s="28">
        <f>(U151-S151)/2</f>
        <v>121.0</v>
      </c>
      <c r="Y151" s="16">
        <f>IF(G151=0.5,"",IF((G151&gt;0.5)=(E151&gt;0),1,0))</f>
        <v>1</v>
      </c>
      <c r="Z151" s="16">
        <f>IF(R151=0.5,"",IF((R151&gt;0.5)=(E151&gt;0),1,0))</f>
        <v>0</v>
      </c>
      <c r="AA151" s="29">
        <f>(G151-IF(E151&gt;0,1,0))^2</f>
        <v>0.245025</v>
      </c>
      <c r="AB151" s="29">
        <f>(R151-IF(E151&gt;0,1,0))^2</f>
        <v>0.5733344221131175</v>
      </c>
      <c r="AC151" s="28">
        <f>ABS(H151-E151)</f>
        <v>8.98</v>
      </c>
      <c r="AD151" s="28">
        <f>ABS(I151-E151)</f>
        <v>10.3</v>
      </c>
      <c r="AE151" s="28">
        <f>ABS(S151-E151)</f>
        <v>16.5</v>
      </c>
      <c r="AF151" s="28">
        <f>ABS(L151-F151)</f>
        <v>26.27000000000001</v>
      </c>
      <c r="AG151" s="28">
        <f>ABS(M151-F151)</f>
        <v>23.0</v>
      </c>
      <c r="AH151" s="28">
        <f>ABS(U151-F151)</f>
        <v>22.5</v>
      </c>
      <c r="AI151" s="28">
        <f>ABS(P151-C151)</f>
        <v>17.590000000000003</v>
      </c>
      <c r="AJ151" s="28">
        <f>ABS(W151-C151)</f>
        <v>19.5</v>
      </c>
      <c r="AK151" s="28">
        <f>ABS(Q151-D151)</f>
        <v>6.030000000000001</v>
      </c>
      <c r="AL151" s="28">
        <f>ABS(X151-D151)</f>
        <v>3.0</v>
      </c>
      <c r="AM151" s="17" t="str">
        <f>IF(H151&gt;S151,"Ev",IF(H151&lt;S151,"Dep",""))</f>
        <v>Ev</v>
      </c>
      <c r="AN151" s="17" t="str">
        <f>IF(AM151="","",IF(E151=S151,"Push",IF((E151&gt;S151)=(AM151="Ev"),"Kazandı","Kaybetti")))</f>
        <v>Kazandı</v>
      </c>
      <c r="AO151" s="30">
        <f>IF(AM151="","",IF(AN151="Push",0,IF(AN151="Kazandı",IF(AM151="Ev",Oranlar!P151,Oranlar!Q151)-1,-1)))</f>
        <v>0.9803921568627452</v>
      </c>
      <c r="AP151" s="17" t="str">
        <f>IF(L151&gt;U151,"Üst",IF(L151&lt;U151,"Alt",""))</f>
        <v>Alt</v>
      </c>
      <c r="AQ151" s="17" t="str">
        <f>IF(AP151="","",IF(F151=U151,"Push",IF((F151&gt;U151)=(AP151="Üst"),"Kazandı","Kaybetti")))</f>
        <v>Kaybetti</v>
      </c>
      <c r="AR151" s="30">
        <f>IF(AP151="","",IF(AQ151="Push",0,IF(AQ151="Kazandı",IF(AP151="Üst",Oranlar!W151,Oranlar!X151)-1,-1)))</f>
        <v>-1.0</v>
      </c>
      <c r="AS151" s="17" t="str">
        <f>IF(G151*Oranlar!R151&gt;1,"Ev",IF((1-G151)*Oranlar!S151&gt;1,"Dep",""))</f>
        <v>Ev</v>
      </c>
      <c r="AT151" s="30">
        <f>IF(AS151="","",IF((AS151="Ev")=(E151&gt;0),IF(AS151="Ev",Oranlar!R151,Oranlar!S151)-1,-1))</f>
        <v>2.95</v>
      </c>
      <c r="AU151" s="16">
        <f>IF(OR(H151=T151,S151=T151),"",IF((H151&gt;T151)=(S151&gt;T151),1,0))</f>
        <v/>
      </c>
      <c r="AV151" s="16">
        <f>IF(OR(L151=V151,U151=V151),"",IF((L151&gt;V151)=(U151&gt;V151),1,0))</f>
        <v>1</v>
      </c>
      <c r="AW151" s="16">
        <f>IF(AND(E151&gt;=J151,E151&lt;=K151),1,0)</f>
        <v>1</v>
      </c>
      <c r="AX151" s="16">
        <f>IF(AND(F151&gt;=N151,F151&lt;=O151),1,0)</f>
        <v>1</v>
      </c>
    </row>
    <row r="152" spans="1:50">
      <c r="A152" s="21">
        <f>Oranlar!A152</f>
        <v>46104</v>
      </c>
      <c r="B152" s="22" t="str">
        <f>Oranlar!C152&amp;" @ "&amp;Oranlar!D152</f>
        <v>TOR @ UTA</v>
      </c>
      <c r="C152" s="23">
        <f>Oranlar!F152</f>
        <v>127</v>
      </c>
      <c r="D152" s="23">
        <f>Oranlar!E152</f>
        <v>143</v>
      </c>
      <c r="E152" s="15">
        <f>C152-D152</f>
        <v>-16</v>
      </c>
      <c r="F152" s="16">
        <f>C152+D152</f>
        <v>270</v>
      </c>
      <c r="G152" s="24">
        <v>0.332</v>
      </c>
      <c r="H152" s="10">
        <v>-5.83</v>
      </c>
      <c r="I152" s="10">
        <v>-7.1</v>
      </c>
      <c r="J152" s="10">
        <v>-25</v>
      </c>
      <c r="K152" s="10">
        <v>11</v>
      </c>
      <c r="L152" s="11">
        <v>229.54</v>
      </c>
      <c r="M152" s="11">
        <v>228.7</v>
      </c>
      <c r="N152" s="11">
        <v>201</v>
      </c>
      <c r="O152" s="11">
        <v>256</v>
      </c>
      <c r="P152" s="11">
        <v>111.77</v>
      </c>
      <c r="Q152" s="11">
        <v>117.75</v>
      </c>
      <c r="R152" s="25">
        <f>Oranlar!Y152</f>
        <v>0.23409789548356588</v>
      </c>
      <c r="S152" s="26">
        <f>-Oranlar!O152</f>
        <v>-8.5</v>
      </c>
      <c r="T152" s="26">
        <f>-Oranlar!I152</f>
        <v>-12.5</v>
      </c>
      <c r="U152" s="27">
        <f>Oranlar!V152</f>
        <v>230.5</v>
      </c>
      <c r="V152" s="27">
        <f>Oranlar!L152</f>
        <v>231.5</v>
      </c>
      <c r="W152" s="28">
        <f>(U152+S152)/2</f>
        <v>111.0</v>
      </c>
      <c r="X152" s="28">
        <f>(U152-S152)/2</f>
        <v>119.5</v>
      </c>
      <c r="Y152" s="16">
        <f>IF(G152=0.5,"",IF((G152&gt;0.5)=(E152&gt;0),1,0))</f>
        <v>1</v>
      </c>
      <c r="Z152" s="16">
        <f>IF(R152=0.5,"",IF((R152&gt;0.5)=(E152&gt;0),1,0))</f>
        <v>1</v>
      </c>
      <c r="AA152" s="29">
        <f>(G152-IF(E152&gt;0,1,0))^2</f>
        <v>0.11022400000000002</v>
      </c>
      <c r="AB152" s="29">
        <f>(R152-IF(E152&gt;0,1,0))^2</f>
        <v>0.054801824669834534</v>
      </c>
      <c r="AC152" s="28">
        <f>ABS(H152-E152)</f>
        <v>10.17</v>
      </c>
      <c r="AD152" s="28">
        <f>ABS(I152-E152)</f>
        <v>8.9</v>
      </c>
      <c r="AE152" s="28">
        <f>ABS(S152-E152)</f>
        <v>7.5</v>
      </c>
      <c r="AF152" s="28">
        <f>ABS(L152-F152)</f>
        <v>40.46000000000001</v>
      </c>
      <c r="AG152" s="28">
        <f>ABS(M152-F152)</f>
        <v>41.30000000000001</v>
      </c>
      <c r="AH152" s="28">
        <f>ABS(U152-F152)</f>
        <v>39.5</v>
      </c>
      <c r="AI152" s="28">
        <f>ABS(P152-C152)</f>
        <v>15.230000000000004</v>
      </c>
      <c r="AJ152" s="28">
        <f>ABS(W152-C152)</f>
        <v>16.0</v>
      </c>
      <c r="AK152" s="28">
        <f>ABS(Q152-D152)</f>
        <v>25.25</v>
      </c>
      <c r="AL152" s="28">
        <f>ABS(X152-D152)</f>
        <v>23.5</v>
      </c>
      <c r="AM152" s="17" t="str">
        <f>IF(H152&gt;S152,"Ev",IF(H152&lt;S152,"Dep",""))</f>
        <v>Ev</v>
      </c>
      <c r="AN152" s="17" t="str">
        <f>IF(AM152="","",IF(E152=S152,"Push",IF((E152&gt;S152)=(AM152="Ev"),"Kazandı","Kaybetti")))</f>
        <v>Kaybetti</v>
      </c>
      <c r="AO152" s="30">
        <f>IF(AM152="","",IF(AN152="Push",0,IF(AN152="Kazandı",IF(AM152="Ev",Oranlar!P152,Oranlar!Q152)-1,-1)))</f>
        <v>-1.0</v>
      </c>
      <c r="AP152" s="17" t="str">
        <f>IF(L152&gt;U152,"Üst",IF(L152&lt;U152,"Alt",""))</f>
        <v>Alt</v>
      </c>
      <c r="AQ152" s="17" t="str">
        <f>IF(AP152="","",IF(F152=U152,"Push",IF((F152&gt;U152)=(AP152="Üst"),"Kazandı","Kaybetti")))</f>
        <v>Kaybetti</v>
      </c>
      <c r="AR152" s="30">
        <f>IF(AP152="","",IF(AQ152="Push",0,IF(AQ152="Kazandı",IF(AP152="Üst",Oranlar!W152,Oranlar!X152)-1,-1)))</f>
        <v>-1.0</v>
      </c>
      <c r="AS152" s="17" t="str">
        <f>IF(G152*Oranlar!R152&gt;1,"Ev",IF((1-G152)*Oranlar!S152&gt;1,"Dep",""))</f>
        <v>Ev</v>
      </c>
      <c r="AT152" s="30">
        <f>IF(AS152="","",IF((AS152="Ev")=(E152&gt;0),IF(AS152="Ev",Oranlar!R152,Oranlar!S152)-1,-1))</f>
        <v>-1.0</v>
      </c>
      <c r="AU152" s="16">
        <f>IF(OR(H152=T152,S152=T152),"",IF((H152&gt;T152)=(S152&gt;T152),1,0))</f>
        <v>1</v>
      </c>
      <c r="AV152" s="16">
        <f>IF(OR(L152=V152,U152=V152),"",IF((L152&gt;V152)=(U152&gt;V152),1,0))</f>
        <v>1</v>
      </c>
      <c r="AW152" s="16">
        <f>IF(AND(E152&gt;=J152,E152&lt;=K152),1,0)</f>
        <v>1</v>
      </c>
      <c r="AX152" s="16">
        <f>IF(AND(F152&gt;=N152,F152&lt;=O152),1,0)</f>
        <v>0</v>
      </c>
    </row>
    <row r="153" spans="1:50">
      <c r="A153" s="21">
        <f>Oranlar!A153</f>
        <v>46104</v>
      </c>
      <c r="B153" s="22" t="str">
        <f>Oranlar!C153&amp;" @ "&amp;Oranlar!D153</f>
        <v>GSW @ DAL</v>
      </c>
      <c r="C153" s="23">
        <f>Oranlar!F153</f>
        <v>131</v>
      </c>
      <c r="D153" s="23">
        <f>Oranlar!E153</f>
        <v>137</v>
      </c>
      <c r="E153" s="15">
        <f>C153-D153</f>
        <v>-6</v>
      </c>
      <c r="F153" s="16">
        <f>C153+D153</f>
        <v>268</v>
      </c>
      <c r="G153" s="24">
        <v>0.414</v>
      </c>
      <c r="H153" s="10">
        <v>-2.8</v>
      </c>
      <c r="I153" s="10">
        <v>-1.4</v>
      </c>
      <c r="J153" s="10">
        <v>-20</v>
      </c>
      <c r="K153" s="10">
        <v>18</v>
      </c>
      <c r="L153" s="11">
        <v>236.54</v>
      </c>
      <c r="M153" s="11">
        <v>237.1</v>
      </c>
      <c r="N153" s="11">
        <v>209</v>
      </c>
      <c r="O153" s="11">
        <v>265</v>
      </c>
      <c r="P153" s="11">
        <v>116.43</v>
      </c>
      <c r="Q153" s="11">
        <v>119.48</v>
      </c>
      <c r="R153" s="25">
        <f>Oranlar!Y153</f>
        <v>0.44855888528345106</v>
      </c>
      <c r="S153" s="26">
        <f>-Oranlar!O153</f>
        <v>-3.5</v>
      </c>
      <c r="T153" s="26">
        <f>-Oranlar!I153</f>
        <v>-2.5</v>
      </c>
      <c r="U153" s="27">
        <f>Oranlar!V153</f>
        <v>230.5</v>
      </c>
      <c r="V153" s="27">
        <f>Oranlar!L153</f>
        <v>229.5</v>
      </c>
      <c r="W153" s="28">
        <f>(U153+S153)/2</f>
        <v>113.5</v>
      </c>
      <c r="X153" s="28">
        <f>(U153-S153)/2</f>
        <v>117.0</v>
      </c>
      <c r="Y153" s="16">
        <f>IF(G153=0.5,"",IF((G153&gt;0.5)=(E153&gt;0),1,0))</f>
        <v>1</v>
      </c>
      <c r="Z153" s="16">
        <f>IF(R153=0.5,"",IF((R153&gt;0.5)=(E153&gt;0),1,0))</f>
        <v>1</v>
      </c>
      <c r="AA153" s="29">
        <f>(G153-IF(E153&gt;0,1,0))^2</f>
        <v>0.171396</v>
      </c>
      <c r="AB153" s="29">
        <f>(R153-IF(E153&gt;0,1,0))^2</f>
        <v>0.2012050735667322</v>
      </c>
      <c r="AC153" s="28">
        <f>ABS(H153-E153)</f>
        <v>3.2</v>
      </c>
      <c r="AD153" s="28">
        <f>ABS(I153-E153)</f>
        <v>4.6</v>
      </c>
      <c r="AE153" s="28">
        <f>ABS(S153-E153)</f>
        <v>2.5</v>
      </c>
      <c r="AF153" s="28">
        <f>ABS(L153-F153)</f>
        <v>31.460000000000008</v>
      </c>
      <c r="AG153" s="28">
        <f>ABS(M153-F153)</f>
        <v>30.900000000000006</v>
      </c>
      <c r="AH153" s="28">
        <f>ABS(U153-F153)</f>
        <v>37.5</v>
      </c>
      <c r="AI153" s="28">
        <f>ABS(P153-C153)</f>
        <v>14.569999999999993</v>
      </c>
      <c r="AJ153" s="28">
        <f>ABS(W153-C153)</f>
        <v>17.5</v>
      </c>
      <c r="AK153" s="28">
        <f>ABS(Q153-D153)</f>
        <v>17.519999999999996</v>
      </c>
      <c r="AL153" s="28">
        <f>ABS(X153-D153)</f>
        <v>20.0</v>
      </c>
      <c r="AM153" s="17" t="str">
        <f>IF(H153&gt;S153,"Ev",IF(H153&lt;S153,"Dep",""))</f>
        <v>Ev</v>
      </c>
      <c r="AN153" s="17" t="str">
        <f>IF(AM153="","",IF(E153=S153,"Push",IF((E153&gt;S153)=(AM153="Ev"),"Kazandı","Kaybetti")))</f>
        <v>Kaybetti</v>
      </c>
      <c r="AO153" s="30">
        <f>IF(AM153="","",IF(AN153="Push",0,IF(AN153="Kazandı",IF(AM153="Ev",Oranlar!P153,Oranlar!Q153)-1,-1)))</f>
        <v>-1.0</v>
      </c>
      <c r="AP153" s="17" t="str">
        <f>IF(L153&gt;U153,"Üst",IF(L153&lt;U153,"Alt",""))</f>
        <v>Üst</v>
      </c>
      <c r="AQ153" s="17" t="str">
        <f>IF(AP153="","",IF(F153=U153,"Push",IF((F153&gt;U153)=(AP153="Üst"),"Kazandı","Kaybetti")))</f>
        <v>Kazandı</v>
      </c>
      <c r="AR153" s="30">
        <f>IF(AP153="","",IF(AQ153="Push",0,IF(AQ153="Kazandı",IF(AP153="Üst",Oranlar!W153,Oranlar!X153)-1,-1)))</f>
        <v>0.9523809523809523</v>
      </c>
      <c r="AS153" s="17" t="str">
        <f>IF(G153*Oranlar!R153&gt;1,"Ev",IF((1-G153)*Oranlar!S153&gt;1,"Dep",""))</f>
        <v>Dep</v>
      </c>
      <c r="AT153" s="30">
        <f>IF(AS153="","",IF((AS153="Ev")=(E153&gt;0),IF(AS153="Ev",Oranlar!R153,Oranlar!S153)-1,-1))</f>
        <v>0.7407407407407407</v>
      </c>
      <c r="AU153" s="16">
        <f>IF(OR(H153=T153,S153=T153),"",IF((H153&gt;T153)=(S153&gt;T153),1,0))</f>
        <v>1</v>
      </c>
      <c r="AV153" s="16">
        <f>IF(OR(L153=V153,U153=V153),"",IF((L153&gt;V153)=(U153&gt;V153),1,0))</f>
        <v>1</v>
      </c>
      <c r="AW153" s="16">
        <f>IF(AND(E153&gt;=J153,E153&lt;=K153),1,0)</f>
        <v>1</v>
      </c>
      <c r="AX153" s="16">
        <f>IF(AND(F153&gt;=N153,F153&lt;=O153),1,0)</f>
        <v>0</v>
      </c>
    </row>
    <row r="154" spans="1:50">
      <c r="A154" s="21">
        <f>Oranlar!A154</f>
        <v>46104</v>
      </c>
      <c r="B154" s="22" t="str">
        <f>Oranlar!C154&amp;" @ "&amp;Oranlar!D154</f>
        <v>BKN @ POR</v>
      </c>
      <c r="C154" s="23">
        <f>Oranlar!F154</f>
        <v>134</v>
      </c>
      <c r="D154" s="23">
        <f>Oranlar!E154</f>
        <v>99</v>
      </c>
      <c r="E154" s="15">
        <f>C154-D154</f>
        <v>35</v>
      </c>
      <c r="F154" s="16">
        <f>C154+D154</f>
        <v>233</v>
      </c>
      <c r="G154" s="24">
        <v>0.729</v>
      </c>
      <c r="H154" s="10">
        <v>10.5</v>
      </c>
      <c r="I154" s="10">
        <v>10.2</v>
      </c>
      <c r="J154" s="10">
        <v>-7</v>
      </c>
      <c r="K154" s="10">
        <v>28</v>
      </c>
      <c r="L154" s="11">
        <v>218.52</v>
      </c>
      <c r="M154" s="11">
        <v>216.9</v>
      </c>
      <c r="N154" s="11">
        <v>190</v>
      </c>
      <c r="O154" s="11">
        <v>243</v>
      </c>
      <c r="P154" s="11">
        <v>113.19</v>
      </c>
      <c r="Q154" s="11">
        <v>100.76</v>
      </c>
      <c r="R154" s="25">
        <f>Oranlar!Y154</f>
        <v>0.88</v>
      </c>
      <c r="S154" s="26">
        <f>-Oranlar!O154</f>
        <v>15.5</v>
      </c>
      <c r="T154" s="26">
        <f>-Oranlar!I154</f>
        <v>13.5</v>
      </c>
      <c r="U154" s="27">
        <f>Oranlar!V154</f>
        <v>218.5</v>
      </c>
      <c r="V154" s="27">
        <f>Oranlar!L154</f>
        <v>220.5</v>
      </c>
      <c r="W154" s="28">
        <f>(U154+S154)/2</f>
        <v>117.0</v>
      </c>
      <c r="X154" s="28">
        <f>(U154-S154)/2</f>
        <v>101.5</v>
      </c>
      <c r="Y154" s="16">
        <f>IF(G154=0.5,"",IF((G154&gt;0.5)=(E154&gt;0),1,0))</f>
        <v>1</v>
      </c>
      <c r="Z154" s="16">
        <f>IF(R154=0.5,"",IF((R154&gt;0.5)=(E154&gt;0),1,0))</f>
        <v>1</v>
      </c>
      <c r="AA154" s="29">
        <f>(G154-IF(E154&gt;0,1,0))^2</f>
        <v>0.073441</v>
      </c>
      <c r="AB154" s="29">
        <f>(R154-IF(E154&gt;0,1,0))^2</f>
        <v>0.0144</v>
      </c>
      <c r="AC154" s="28">
        <f>ABS(H154-E154)</f>
        <v>24.5</v>
      </c>
      <c r="AD154" s="28">
        <f>ABS(I154-E154)</f>
        <v>24.8</v>
      </c>
      <c r="AE154" s="28">
        <f>ABS(S154-E154)</f>
        <v>19.5</v>
      </c>
      <c r="AF154" s="28">
        <f>ABS(L154-F154)</f>
        <v>14.47999999999999</v>
      </c>
      <c r="AG154" s="28">
        <f>ABS(M154-F154)</f>
        <v>16.099999999999994</v>
      </c>
      <c r="AH154" s="28">
        <f>ABS(U154-F154)</f>
        <v>14.5</v>
      </c>
      <c r="AI154" s="28">
        <f>ABS(P154-C154)</f>
        <v>20.810000000000002</v>
      </c>
      <c r="AJ154" s="28">
        <f>ABS(W154-C154)</f>
        <v>17.0</v>
      </c>
      <c r="AK154" s="28">
        <f>ABS(Q154-D154)</f>
        <v>1.7600000000000051</v>
      </c>
      <c r="AL154" s="28">
        <f>ABS(X154-D154)</f>
        <v>2.5</v>
      </c>
      <c r="AM154" s="17" t="str">
        <f>IF(H154&gt;S154,"Ev",IF(H154&lt;S154,"Dep",""))</f>
        <v>Dep</v>
      </c>
      <c r="AN154" s="17" t="str">
        <f>IF(AM154="","",IF(E154=S154,"Push",IF((E154&gt;S154)=(AM154="Ev"),"Kazandı","Kaybetti")))</f>
        <v>Kaybetti</v>
      </c>
      <c r="AO154" s="30">
        <f>IF(AM154="","",IF(AN154="Push",0,IF(AN154="Kazandı",IF(AM154="Ev",Oranlar!P154,Oranlar!Q154)-1,-1)))</f>
        <v>-1.0</v>
      </c>
      <c r="AP154" s="17" t="str">
        <f>IF(L154&gt;U154,"Üst",IF(L154&lt;U154,"Alt",""))</f>
        <v>Üst</v>
      </c>
      <c r="AQ154" s="17" t="str">
        <f>IF(AP154="","",IF(F154=U154,"Push",IF((F154&gt;U154)=(AP154="Üst"),"Kazandı","Kaybetti")))</f>
        <v>Kazandı</v>
      </c>
      <c r="AR154" s="30">
        <f>IF(AP154="","",IF(AQ154="Push",0,IF(AQ154="Kazandı",IF(AP154="Üst",Oranlar!W154,Oranlar!X154)-1,-1)))</f>
        <v>0.925925925925926</v>
      </c>
      <c r="AS154" s="17" t="str">
        <f>IF(G154*Oranlar!R154&gt;1,"Ev",IF((1-G154)*Oranlar!S154&gt;1,"Dep",""))</f>
        <v>Dep</v>
      </c>
      <c r="AT154" s="30">
        <f>IF(AS154="","",IF((AS154="Ev")=(E154&gt;0),IF(AS154="Ev",Oranlar!R154,Oranlar!S154)-1,-1))</f>
        <v>-1.0</v>
      </c>
      <c r="AU154" s="16">
        <f>IF(OR(H154=T154,S154=T154),"",IF((H154&gt;T154)=(S154&gt;T154),1,0))</f>
        <v>0</v>
      </c>
      <c r="AV154" s="16">
        <f>IF(OR(L154=V154,U154=V154),"",IF((L154&gt;V154)=(U154&gt;V154),1,0))</f>
        <v>1</v>
      </c>
      <c r="AW154" s="16">
        <f>IF(AND(E154&gt;=J154,E154&lt;=K154),1,0)</f>
        <v>0</v>
      </c>
      <c r="AX154" s="16">
        <f>IF(AND(F154&gt;=N154,F154&lt;=O154),1,0)</f>
        <v>1</v>
      </c>
    </row>
    <row r="155" spans="1:50">
      <c r="A155" s="21">
        <f>Oranlar!A155</f>
        <v>46104</v>
      </c>
      <c r="B155" s="22" t="str">
        <f>Oranlar!C155&amp;" @ "&amp;Oranlar!D155</f>
        <v>MIL @ LAC</v>
      </c>
      <c r="C155" s="23">
        <f>Oranlar!F155</f>
        <v>129</v>
      </c>
      <c r="D155" s="23">
        <f>Oranlar!E155</f>
        <v>96</v>
      </c>
      <c r="E155" s="15">
        <f>C155-D155</f>
        <v>33</v>
      </c>
      <c r="F155" s="16">
        <f>C155+D155</f>
        <v>225</v>
      </c>
      <c r="G155" s="24">
        <v>0.8090000000000001</v>
      </c>
      <c r="H155" s="10">
        <v>21.01</v>
      </c>
      <c r="I155" s="10">
        <v>10.7</v>
      </c>
      <c r="J155" s="10">
        <v>-8</v>
      </c>
      <c r="K155" s="10">
        <v>29</v>
      </c>
      <c r="L155" s="11">
        <v>228.4</v>
      </c>
      <c r="M155" s="11">
        <v>233.4</v>
      </c>
      <c r="N155" s="11">
        <v>206</v>
      </c>
      <c r="O155" s="11">
        <v>261</v>
      </c>
      <c r="P155" s="11">
        <v>120.6</v>
      </c>
      <c r="Q155" s="11">
        <v>107.63</v>
      </c>
      <c r="R155" s="25">
        <f>Oranlar!Y155</f>
        <v>0.863013698630137</v>
      </c>
      <c r="S155" s="26">
        <f>-Oranlar!O155</f>
        <v>13.5</v>
      </c>
      <c r="T155" s="26">
        <f>-Oranlar!I155</f>
        <v>11.5</v>
      </c>
      <c r="U155" s="27">
        <f>Oranlar!V155</f>
        <v>221.5</v>
      </c>
      <c r="V155" s="27">
        <f>Oranlar!L155</f>
        <v>225.5</v>
      </c>
      <c r="W155" s="28">
        <f>(U155+S155)/2</f>
        <v>117.5</v>
      </c>
      <c r="X155" s="28">
        <f>(U155-S155)/2</f>
        <v>104.0</v>
      </c>
      <c r="Y155" s="16">
        <f>IF(G155=0.5,"",IF((G155&gt;0.5)=(E155&gt;0),1,0))</f>
        <v>1</v>
      </c>
      <c r="Z155" s="16">
        <f>IF(R155=0.5,"",IF((R155&gt;0.5)=(E155&gt;0),1,0))</f>
        <v>1</v>
      </c>
      <c r="AA155" s="29">
        <f>(G155-IF(E155&gt;0,1,0))^2</f>
        <v>0.03648099999999998</v>
      </c>
      <c r="AB155" s="29">
        <f>(R155-IF(E155&gt;0,1,0))^2</f>
        <v>0.01876524676299493</v>
      </c>
      <c r="AC155" s="28">
        <f>ABS(H155-E155)</f>
        <v>11.989999999999998</v>
      </c>
      <c r="AD155" s="28">
        <f>ABS(I155-E155)</f>
        <v>22.3</v>
      </c>
      <c r="AE155" s="28">
        <f>ABS(S155-E155)</f>
        <v>19.5</v>
      </c>
      <c r="AF155" s="28">
        <f>ABS(L155-F155)</f>
        <v>3.4000000000000057</v>
      </c>
      <c r="AG155" s="28">
        <f>ABS(M155-F155)</f>
        <v>8.400000000000006</v>
      </c>
      <c r="AH155" s="28">
        <f>ABS(U155-F155)</f>
        <v>3.5</v>
      </c>
      <c r="AI155" s="28">
        <f>ABS(P155-C155)</f>
        <v>8.400000000000006</v>
      </c>
      <c r="AJ155" s="28">
        <f>ABS(W155-C155)</f>
        <v>11.5</v>
      </c>
      <c r="AK155" s="28">
        <f>ABS(Q155-D155)</f>
        <v>11.629999999999995</v>
      </c>
      <c r="AL155" s="28">
        <f>ABS(X155-D155)</f>
        <v>8.0</v>
      </c>
      <c r="AM155" s="17" t="str">
        <f>IF(H155&gt;S155,"Ev",IF(H155&lt;S155,"Dep",""))</f>
        <v>Ev</v>
      </c>
      <c r="AN155" s="17" t="str">
        <f>IF(AM155="","",IF(E155=S155,"Push",IF((E155&gt;S155)=(AM155="Ev"),"Kazandı","Kaybetti")))</f>
        <v>Kazandı</v>
      </c>
      <c r="AO155" s="30">
        <f>IF(AM155="","",IF(AN155="Push",0,IF(AN155="Kazandı",IF(AM155="Ev",Oranlar!P155,Oranlar!Q155)-1,-1)))</f>
        <v>0.847457627118644</v>
      </c>
      <c r="AP155" s="17" t="str">
        <f>IF(L155&gt;U155,"Üst",IF(L155&lt;U155,"Alt",""))</f>
        <v>Üst</v>
      </c>
      <c r="AQ155" s="17" t="str">
        <f>IF(AP155="","",IF(F155=U155,"Push",IF((F155&gt;U155)=(AP155="Üst"),"Kazandı","Kaybetti")))</f>
        <v>Kazandı</v>
      </c>
      <c r="AR155" s="30">
        <f>IF(AP155="","",IF(AQ155="Push",0,IF(AQ155="Kazandı",IF(AP155="Üst",Oranlar!W155,Oranlar!X155)-1,-1)))</f>
        <v>0.8695652173913042</v>
      </c>
      <c r="AS155" s="17" t="str">
        <f>IF(G155*Oranlar!R155&gt;1,"Ev",IF((1-G155)*Oranlar!S155&gt;1,"Dep",""))</f>
        <v>Dep</v>
      </c>
      <c r="AT155" s="30">
        <f>IF(AS155="","",IF((AS155="Ev")=(E155&gt;0),IF(AS155="Ev",Oranlar!R155,Oranlar!S155)-1,-1))</f>
        <v>-1.0</v>
      </c>
      <c r="AU155" s="16">
        <f>IF(OR(H155=T155,S155=T155),"",IF((H155&gt;T155)=(S155&gt;T155),1,0))</f>
        <v>1</v>
      </c>
      <c r="AV155" s="16">
        <f>IF(OR(L155=V155,U155=V155),"",IF((L155&gt;V155)=(U155&gt;V155),1,0))</f>
        <v>0</v>
      </c>
      <c r="AW155" s="16">
        <f>IF(AND(E155&gt;=J155,E155&lt;=K155),1,0)</f>
        <v>0</v>
      </c>
      <c r="AX155" s="16">
        <f>IF(AND(F155&gt;=N155,F155&lt;=O155),1,0)</f>
        <v>1</v>
      </c>
    </row>
    <row r="156" spans="1:50">
      <c r="A156" s="21">
        <f>Oranlar!A156</f>
        <v>46105</v>
      </c>
      <c r="B156" s="22" t="str">
        <f>Oranlar!C156&amp;" @ "&amp;Oranlar!D156</f>
        <v>SAC @ CHA</v>
      </c>
      <c r="C156" s="23">
        <f>Oranlar!F156</f>
        <v>134</v>
      </c>
      <c r="D156" s="23">
        <f>Oranlar!E156</f>
        <v>90</v>
      </c>
      <c r="E156" s="15">
        <f>C156-D156</f>
        <v>44</v>
      </c>
      <c r="F156" s="16">
        <f>C156+D156</f>
        <v>224</v>
      </c>
      <c r="G156" s="24">
        <v>0.747</v>
      </c>
      <c r="H156" s="10">
        <v>12.17</v>
      </c>
      <c r="I156" s="10">
        <v>8.6</v>
      </c>
      <c r="J156" s="10">
        <v>-10</v>
      </c>
      <c r="K156" s="10">
        <v>28</v>
      </c>
      <c r="L156" s="11">
        <v>231.09</v>
      </c>
      <c r="M156" s="11">
        <v>234</v>
      </c>
      <c r="N156" s="11">
        <v>206</v>
      </c>
      <c r="O156" s="11">
        <v>262</v>
      </c>
      <c r="P156" s="11">
        <v>121.49</v>
      </c>
      <c r="Q156" s="11">
        <v>111.5</v>
      </c>
      <c r="R156" s="25">
        <f>Oranlar!Y156</f>
        <v>0.912442396313364</v>
      </c>
      <c r="S156" s="26">
        <f>-Oranlar!O156</f>
        <v>18.5</v>
      </c>
      <c r="T156" s="26">
        <f>-Oranlar!I156</f>
        <v>16.5</v>
      </c>
      <c r="U156" s="27">
        <f>Oranlar!V156</f>
        <v>233.5</v>
      </c>
      <c r="V156" s="27">
        <f>Oranlar!L156</f>
        <v>226.5</v>
      </c>
      <c r="W156" s="28">
        <f>(U156+S156)/2</f>
        <v>126.0</v>
      </c>
      <c r="X156" s="28">
        <f>(U156-S156)/2</f>
        <v>107.5</v>
      </c>
      <c r="Y156" s="16">
        <f>IF(G156=0.5,"",IF((G156&gt;0.5)=(E156&gt;0),1,0))</f>
        <v>1</v>
      </c>
      <c r="Z156" s="16">
        <f>IF(R156=0.5,"",IF((R156&gt;0.5)=(E156&gt;0),1,0))</f>
        <v>1</v>
      </c>
      <c r="AA156" s="29">
        <f>(G156-IF(E156&gt;0,1,0))^2</f>
        <v>0.064009</v>
      </c>
      <c r="AB156" s="29">
        <f>(R156-IF(E156&gt;0,1,0))^2</f>
        <v>0.007666333963346016</v>
      </c>
      <c r="AC156" s="28">
        <f>ABS(H156-E156)</f>
        <v>31.83</v>
      </c>
      <c r="AD156" s="28">
        <f>ABS(I156-E156)</f>
        <v>35.4</v>
      </c>
      <c r="AE156" s="28">
        <f>ABS(S156-E156)</f>
        <v>25.5</v>
      </c>
      <c r="AF156" s="28">
        <f>ABS(L156-F156)</f>
        <v>7.090000000000003</v>
      </c>
      <c r="AG156" s="28">
        <f>ABS(M156-F156)</f>
        <v>10.0</v>
      </c>
      <c r="AH156" s="28">
        <f>ABS(U156-F156)</f>
        <v>9.5</v>
      </c>
      <c r="AI156" s="28">
        <f>ABS(P156-C156)</f>
        <v>12.510000000000005</v>
      </c>
      <c r="AJ156" s="28">
        <f>ABS(W156-C156)</f>
        <v>8.0</v>
      </c>
      <c r="AK156" s="28">
        <f>ABS(Q156-D156)</f>
        <v>21.5</v>
      </c>
      <c r="AL156" s="28">
        <f>ABS(X156-D156)</f>
        <v>17.5</v>
      </c>
      <c r="AM156" s="17" t="str">
        <f>IF(H156&gt;S156,"Ev",IF(H156&lt;S156,"Dep",""))</f>
        <v>Dep</v>
      </c>
      <c r="AN156" s="17" t="str">
        <f>IF(AM156="","",IF(E156=S156,"Push",IF((E156&gt;S156)=(AM156="Ev"),"Kazandı","Kaybetti")))</f>
        <v>Kaybetti</v>
      </c>
      <c r="AO156" s="30">
        <f>IF(AM156="","",IF(AN156="Push",0,IF(AN156="Kazandı",IF(AM156="Ev",Oranlar!P156,Oranlar!Q156)-1,-1)))</f>
        <v>-1.0</v>
      </c>
      <c r="AP156" s="17" t="str">
        <f>IF(L156&gt;U156,"Üst",IF(L156&lt;U156,"Alt",""))</f>
        <v>Alt</v>
      </c>
      <c r="AQ156" s="17" t="str">
        <f>IF(AP156="","",IF(F156=U156,"Push",IF((F156&gt;U156)=(AP156="Üst"),"Kazandı","Kaybetti")))</f>
        <v>Kazandı</v>
      </c>
      <c r="AR156" s="30">
        <f>IF(AP156="","",IF(AQ156="Push",0,IF(AQ156="Kazandı",IF(AP156="Üst",Oranlar!W156,Oranlar!X156)-1,-1)))</f>
        <v>0.8928571428571428</v>
      </c>
      <c r="AS156" s="17" t="str">
        <f>IF(G156*Oranlar!R156&gt;1,"Ev",IF((1-G156)*Oranlar!S156&gt;1,"Dep",""))</f>
        <v>Dep</v>
      </c>
      <c r="AT156" s="30">
        <f>IF(AS156="","",IF((AS156="Ev")=(E156&gt;0),IF(AS156="Ev",Oranlar!R156,Oranlar!S156)-1,-1))</f>
        <v>-1.0</v>
      </c>
      <c r="AU156" s="16">
        <f>IF(OR(H156=T156,S156=T156),"",IF((H156&gt;T156)=(S156&gt;T156),1,0))</f>
        <v>0</v>
      </c>
      <c r="AV156" s="16">
        <f>IF(OR(L156=V156,U156=V156),"",IF((L156&gt;V156)=(U156&gt;V156),1,0))</f>
        <v>1</v>
      </c>
      <c r="AW156" s="16">
        <f>IF(AND(E156&gt;=J156,E156&lt;=K156),1,0)</f>
        <v>0</v>
      </c>
      <c r="AX156" s="16">
        <f>IF(AND(F156&gt;=N156,F156&lt;=O156),1,0)</f>
        <v>1</v>
      </c>
    </row>
    <row r="157" spans="1:50">
      <c r="A157" s="21">
        <f>Oranlar!A157</f>
        <v>46105</v>
      </c>
      <c r="B157" s="22" t="str">
        <f>Oranlar!C157&amp;" @ "&amp;Oranlar!D157</f>
        <v>NOP @ NYK</v>
      </c>
      <c r="C157" s="23">
        <f>Oranlar!F157</f>
        <v>121</v>
      </c>
      <c r="D157" s="23">
        <f>Oranlar!E157</f>
        <v>116</v>
      </c>
      <c r="E157" s="15">
        <f>C157-D157</f>
        <v>5</v>
      </c>
      <c r="F157" s="16">
        <f>C157+D157</f>
        <v>237</v>
      </c>
      <c r="G157" s="24">
        <v>0.628</v>
      </c>
      <c r="H157" s="10">
        <v>3.26</v>
      </c>
      <c r="I157" s="10">
        <v>4.1</v>
      </c>
      <c r="J157" s="10">
        <v>-14</v>
      </c>
      <c r="K157" s="10">
        <v>23</v>
      </c>
      <c r="L157" s="11">
        <v>228.97</v>
      </c>
      <c r="M157" s="11">
        <v>230.7</v>
      </c>
      <c r="N157" s="11">
        <v>203</v>
      </c>
      <c r="O157" s="11">
        <v>258</v>
      </c>
      <c r="P157" s="11">
        <v>116.14</v>
      </c>
      <c r="Q157" s="11">
        <v>112.95</v>
      </c>
      <c r="R157" s="25">
        <f>Oranlar!Y157</f>
        <v>0.7477827050997783</v>
      </c>
      <c r="S157" s="26">
        <f>-Oranlar!O157</f>
        <v>8.5</v>
      </c>
      <c r="T157" s="26">
        <f>-Oranlar!I157</f>
        <v>9.5</v>
      </c>
      <c r="U157" s="27">
        <f>Oranlar!V157</f>
        <v>229.5</v>
      </c>
      <c r="V157" s="27">
        <f>Oranlar!L157</f>
        <v>231.5</v>
      </c>
      <c r="W157" s="28">
        <f>(U157+S157)/2</f>
        <v>119.0</v>
      </c>
      <c r="X157" s="28">
        <f>(U157-S157)/2</f>
        <v>110.5</v>
      </c>
      <c r="Y157" s="16">
        <f>IF(G157=0.5,"",IF((G157&gt;0.5)=(E157&gt;0),1,0))</f>
        <v>1</v>
      </c>
      <c r="Z157" s="16">
        <f>IF(R157=0.5,"",IF((R157&gt;0.5)=(E157&gt;0),1,0))</f>
        <v>1</v>
      </c>
      <c r="AA157" s="29">
        <f>(G157-IF(E157&gt;0,1,0))^2</f>
        <v>0.138384</v>
      </c>
      <c r="AB157" s="29">
        <f>(R157-IF(E157&gt;0,1,0))^2</f>
        <v>0.0636135638467854</v>
      </c>
      <c r="AC157" s="28">
        <f>ABS(H157-E157)</f>
        <v>1.7400000000000002</v>
      </c>
      <c r="AD157" s="28">
        <f>ABS(I157-E157)</f>
        <v>0.9000000000000004</v>
      </c>
      <c r="AE157" s="28">
        <f>ABS(S157-E157)</f>
        <v>3.5</v>
      </c>
      <c r="AF157" s="28">
        <f>ABS(L157-F157)</f>
        <v>8.030000000000001</v>
      </c>
      <c r="AG157" s="28">
        <f>ABS(M157-F157)</f>
        <v>6.300000000000011</v>
      </c>
      <c r="AH157" s="28">
        <f>ABS(U157-F157)</f>
        <v>7.5</v>
      </c>
      <c r="AI157" s="28">
        <f>ABS(P157-C157)</f>
        <v>4.859999999999999</v>
      </c>
      <c r="AJ157" s="28">
        <f>ABS(W157-C157)</f>
        <v>2.0</v>
      </c>
      <c r="AK157" s="28">
        <f>ABS(Q157-D157)</f>
        <v>3.049999999999997</v>
      </c>
      <c r="AL157" s="28">
        <f>ABS(X157-D157)</f>
        <v>5.5</v>
      </c>
      <c r="AM157" s="17" t="str">
        <f>IF(H157&gt;S157,"Ev",IF(H157&lt;S157,"Dep",""))</f>
        <v>Dep</v>
      </c>
      <c r="AN157" s="17" t="str">
        <f>IF(AM157="","",IF(E157=S157,"Push",IF((E157&gt;S157)=(AM157="Ev"),"Kazandı","Kaybetti")))</f>
        <v>Kazandı</v>
      </c>
      <c r="AO157" s="30">
        <f>IF(AM157="","",IF(AN157="Push",0,IF(AN157="Kazandı",IF(AM157="Ev",Oranlar!P157,Oranlar!Q157)-1,-1)))</f>
        <v>0.8695652173913042</v>
      </c>
      <c r="AP157" s="17" t="str">
        <f>IF(L157&gt;U157,"Üst",IF(L157&lt;U157,"Alt",""))</f>
        <v>Alt</v>
      </c>
      <c r="AQ157" s="17" t="str">
        <f>IF(AP157="","",IF(F157=U157,"Push",IF((F157&gt;U157)=(AP157="Üst"),"Kazandı","Kaybetti")))</f>
        <v>Kaybetti</v>
      </c>
      <c r="AR157" s="30">
        <f>IF(AP157="","",IF(AQ157="Push",0,IF(AQ157="Kazandı",IF(AP157="Üst",Oranlar!W157,Oranlar!X157)-1,-1)))</f>
        <v>-1.0</v>
      </c>
      <c r="AS157" s="17" t="str">
        <f>IF(G157*Oranlar!R157&gt;1,"Ev",IF((1-G157)*Oranlar!S157&gt;1,"Dep",""))</f>
        <v>Dep</v>
      </c>
      <c r="AT157" s="30">
        <f>IF(AS157="","",IF((AS157="Ev")=(E157&gt;0),IF(AS157="Ev",Oranlar!R157,Oranlar!S157)-1,-1))</f>
        <v>-1.0</v>
      </c>
      <c r="AU157" s="16">
        <f>IF(OR(H157=T157,S157=T157),"",IF((H157&gt;T157)=(S157&gt;T157),1,0))</f>
        <v>1</v>
      </c>
      <c r="AV157" s="16">
        <f>IF(OR(L157=V157,U157=V157),"",IF((L157&gt;V157)=(U157&gt;V157),1,0))</f>
        <v>1</v>
      </c>
      <c r="AW157" s="16">
        <f>IF(AND(E157&gt;=J157,E157&lt;=K157),1,0)</f>
        <v>1</v>
      </c>
      <c r="AX157" s="16">
        <f>IF(AND(F157&gt;=N157,F157&lt;=O157),1,0)</f>
        <v>1</v>
      </c>
    </row>
    <row r="158" spans="1:50">
      <c r="A158" s="21">
        <f>Oranlar!A158</f>
        <v>46105</v>
      </c>
      <c r="B158" s="22" t="str">
        <f>Oranlar!C158&amp;" @ "&amp;Oranlar!D158</f>
        <v>ORL @ CLE</v>
      </c>
      <c r="C158" s="23">
        <f>Oranlar!F158</f>
        <v>136</v>
      </c>
      <c r="D158" s="23">
        <f>Oranlar!E158</f>
        <v>131</v>
      </c>
      <c r="E158" s="15">
        <f>C158-D158</f>
        <v>5</v>
      </c>
      <c r="F158" s="16">
        <f>C158+D158</f>
        <v>267</v>
      </c>
      <c r="G158" s="24">
        <v>0.634</v>
      </c>
      <c r="H158" s="10">
        <v>3.31</v>
      </c>
      <c r="I158" s="10">
        <v>7.3</v>
      </c>
      <c r="J158" s="10">
        <v>-11</v>
      </c>
      <c r="K158" s="10">
        <v>26</v>
      </c>
      <c r="L158" s="11">
        <v>232.91</v>
      </c>
      <c r="M158" s="11">
        <v>234</v>
      </c>
      <c r="N158" s="11">
        <v>206</v>
      </c>
      <c r="O158" s="11">
        <v>261</v>
      </c>
      <c r="P158" s="11">
        <v>118.06</v>
      </c>
      <c r="Q158" s="11">
        <v>113.87</v>
      </c>
      <c r="R158" s="25">
        <f>Oranlar!Y158</f>
        <v>0.7867435158501441</v>
      </c>
      <c r="S158" s="26">
        <f>-Oranlar!O158</f>
        <v>10.5</v>
      </c>
      <c r="T158" s="26">
        <f>-Oranlar!I158</f>
        <v>10.5</v>
      </c>
      <c r="U158" s="27">
        <f>Oranlar!V158</f>
        <v>230.5</v>
      </c>
      <c r="V158" s="27">
        <f>Oranlar!L158</f>
        <v>228.5</v>
      </c>
      <c r="W158" s="28">
        <f>(U158+S158)/2</f>
        <v>120.5</v>
      </c>
      <c r="X158" s="28">
        <f>(U158-S158)/2</f>
        <v>110.0</v>
      </c>
      <c r="Y158" s="16">
        <f>IF(G158=0.5,"",IF((G158&gt;0.5)=(E158&gt;0),1,0))</f>
        <v>1</v>
      </c>
      <c r="Z158" s="16">
        <f>IF(R158=0.5,"",IF((R158&gt;0.5)=(E158&gt;0),1,0))</f>
        <v>1</v>
      </c>
      <c r="AA158" s="29">
        <f>(G158-IF(E158&gt;0,1,0))^2</f>
        <v>0.133956</v>
      </c>
      <c r="AB158" s="29">
        <f>(R158-IF(E158&gt;0,1,0))^2</f>
        <v>0.04547832803195773</v>
      </c>
      <c r="AC158" s="28">
        <f>ABS(H158-E158)</f>
        <v>1.69</v>
      </c>
      <c r="AD158" s="28">
        <f>ABS(I158-E158)</f>
        <v>2.3</v>
      </c>
      <c r="AE158" s="28">
        <f>ABS(S158-E158)</f>
        <v>5.5</v>
      </c>
      <c r="AF158" s="28">
        <f>ABS(L158-F158)</f>
        <v>34.09</v>
      </c>
      <c r="AG158" s="28">
        <f>ABS(M158-F158)</f>
        <v>33.0</v>
      </c>
      <c r="AH158" s="28">
        <f>ABS(U158-F158)</f>
        <v>36.5</v>
      </c>
      <c r="AI158" s="28">
        <f>ABS(P158-C158)</f>
        <v>17.939999999999998</v>
      </c>
      <c r="AJ158" s="28">
        <f>ABS(W158-C158)</f>
        <v>15.5</v>
      </c>
      <c r="AK158" s="28">
        <f>ABS(Q158-D158)</f>
        <v>17.129999999999995</v>
      </c>
      <c r="AL158" s="28">
        <f>ABS(X158-D158)</f>
        <v>21.0</v>
      </c>
      <c r="AM158" s="17" t="str">
        <f>IF(H158&gt;S158,"Ev",IF(H158&lt;S158,"Dep",""))</f>
        <v>Dep</v>
      </c>
      <c r="AN158" s="17" t="str">
        <f>IF(AM158="","",IF(E158=S158,"Push",IF((E158&gt;S158)=(AM158="Ev"),"Kazandı","Kaybetti")))</f>
        <v>Kazandı</v>
      </c>
      <c r="AO158" s="30">
        <f>IF(AM158="","",IF(AN158="Push",0,IF(AN158="Kazandı",IF(AM158="Ev",Oranlar!P158,Oranlar!Q158)-1,-1)))</f>
        <v>0.925925925925926</v>
      </c>
      <c r="AP158" s="17" t="str">
        <f>IF(L158&gt;U158,"Üst",IF(L158&lt;U158,"Alt",""))</f>
        <v>Üst</v>
      </c>
      <c r="AQ158" s="17" t="str">
        <f>IF(AP158="","",IF(F158=U158,"Push",IF((F158&gt;U158)=(AP158="Üst"),"Kazandı","Kaybetti")))</f>
        <v>Kazandı</v>
      </c>
      <c r="AR158" s="30">
        <f>IF(AP158="","",IF(AQ158="Push",0,IF(AQ158="Kazandı",IF(AP158="Üst",Oranlar!W158,Oranlar!X158)-1,-1)))</f>
        <v>0.9090909090909092</v>
      </c>
      <c r="AS158" s="17" t="str">
        <f>IF(G158*Oranlar!R158&gt;1,"Ev",IF((1-G158)*Oranlar!S158&gt;1,"Dep",""))</f>
        <v>Dep</v>
      </c>
      <c r="AT158" s="30">
        <f>IF(AS158="","",IF((AS158="Ev")=(E158&gt;0),IF(AS158="Ev",Oranlar!R158,Oranlar!S158)-1,-1))</f>
        <v>-1.0</v>
      </c>
      <c r="AU158" s="16">
        <f>IF(OR(H158=T158,S158=T158),"",IF((H158&gt;T158)=(S158&gt;T158),1,0))</f>
        <v/>
      </c>
      <c r="AV158" s="16">
        <f>IF(OR(L158=V158,U158=V158),"",IF((L158&gt;V158)=(U158&gt;V158),1,0))</f>
        <v>1</v>
      </c>
      <c r="AW158" s="16">
        <f>IF(AND(E158&gt;=J158,E158&lt;=K158),1,0)</f>
        <v>1</v>
      </c>
      <c r="AX158" s="16">
        <f>IF(AND(F158&gt;=N158,F158&lt;=O158),1,0)</f>
        <v>0</v>
      </c>
    </row>
    <row r="159" spans="1:50">
      <c r="A159" s="21">
        <f>Oranlar!A159</f>
        <v>46105</v>
      </c>
      <c r="B159" s="22" t="str">
        <f>Oranlar!C159&amp;" @ "&amp;Oranlar!D159</f>
        <v>DEN @ PHX</v>
      </c>
      <c r="C159" s="23">
        <f>Oranlar!F159</f>
        <v>123</v>
      </c>
      <c r="D159" s="23">
        <f>Oranlar!E159</f>
        <v>125</v>
      </c>
      <c r="E159" s="15">
        <f>C159-D159</f>
        <v>-2</v>
      </c>
      <c r="F159" s="16">
        <f>C159+D159</f>
        <v>248</v>
      </c>
      <c r="G159" s="24">
        <v>0.45</v>
      </c>
      <c r="H159" s="10">
        <v>-1.06</v>
      </c>
      <c r="I159" s="10">
        <v>0.7</v>
      </c>
      <c r="J159" s="10">
        <v>-17</v>
      </c>
      <c r="K159" s="10">
        <v>19</v>
      </c>
      <c r="L159" s="11">
        <v>230.2</v>
      </c>
      <c r="M159" s="11">
        <v>228</v>
      </c>
      <c r="N159" s="11">
        <v>201</v>
      </c>
      <c r="O159" s="11">
        <v>255</v>
      </c>
      <c r="P159" s="11">
        <v>115.16</v>
      </c>
      <c r="Q159" s="11">
        <v>115.45</v>
      </c>
      <c r="R159" s="25">
        <f>Oranlar!Y159</f>
        <v>0.33635187580853815</v>
      </c>
      <c r="S159" s="26">
        <f>-Oranlar!O159</f>
        <v>-5.5</v>
      </c>
      <c r="T159" s="26">
        <f>-Oranlar!I159</f>
        <v>-5.5</v>
      </c>
      <c r="U159" s="27">
        <f>Oranlar!V159</f>
        <v>233.5</v>
      </c>
      <c r="V159" s="27">
        <f>Oranlar!L159</f>
        <v>233.5</v>
      </c>
      <c r="W159" s="28">
        <f>(U159+S159)/2</f>
        <v>114.0</v>
      </c>
      <c r="X159" s="28">
        <f>(U159-S159)/2</f>
        <v>119.5</v>
      </c>
      <c r="Y159" s="16">
        <f>IF(G159=0.5,"",IF((G159&gt;0.5)=(E159&gt;0),1,0))</f>
        <v>1</v>
      </c>
      <c r="Z159" s="16">
        <f>IF(R159=0.5,"",IF((R159&gt;0.5)=(E159&gt;0),1,0))</f>
        <v>1</v>
      </c>
      <c r="AA159" s="29">
        <f>(G159-IF(E159&gt;0,1,0))^2</f>
        <v>0.2025</v>
      </c>
      <c r="AB159" s="29">
        <f>(R159-IF(E159&gt;0,1,0))^2</f>
        <v>0.11313258435992227</v>
      </c>
      <c r="AC159" s="28">
        <f>ABS(H159-E159)</f>
        <v>0.94</v>
      </c>
      <c r="AD159" s="28">
        <f>ABS(I159-E159)</f>
        <v>2.7</v>
      </c>
      <c r="AE159" s="28">
        <f>ABS(S159-E159)</f>
        <v>3.5</v>
      </c>
      <c r="AF159" s="28">
        <f>ABS(L159-F159)</f>
        <v>17.80000000000001</v>
      </c>
      <c r="AG159" s="28">
        <f>ABS(M159-F159)</f>
        <v>20.0</v>
      </c>
      <c r="AH159" s="28">
        <f>ABS(U159-F159)</f>
        <v>14.5</v>
      </c>
      <c r="AI159" s="28">
        <f>ABS(P159-C159)</f>
        <v>7.840000000000003</v>
      </c>
      <c r="AJ159" s="28">
        <f>ABS(W159-C159)</f>
        <v>9.0</v>
      </c>
      <c r="AK159" s="28">
        <f>ABS(Q159-D159)</f>
        <v>9.549999999999997</v>
      </c>
      <c r="AL159" s="28">
        <f>ABS(X159-D159)</f>
        <v>5.5</v>
      </c>
      <c r="AM159" s="17" t="str">
        <f>IF(H159&gt;S159,"Ev",IF(H159&lt;S159,"Dep",""))</f>
        <v>Ev</v>
      </c>
      <c r="AN159" s="17" t="str">
        <f>IF(AM159="","",IF(E159=S159,"Push",IF((E159&gt;S159)=(AM159="Ev"),"Kazandı","Kaybetti")))</f>
        <v>Kazandı</v>
      </c>
      <c r="AO159" s="30">
        <f>IF(AM159="","",IF(AN159="Push",0,IF(AN159="Kazandı",IF(AM159="Ev",Oranlar!P159,Oranlar!Q159)-1,-1)))</f>
        <v>0.9523809523809523</v>
      </c>
      <c r="AP159" s="17" t="str">
        <f>IF(L159&gt;U159,"Üst",IF(L159&lt;U159,"Alt",""))</f>
        <v>Alt</v>
      </c>
      <c r="AQ159" s="17" t="str">
        <f>IF(AP159="","",IF(F159=U159,"Push",IF((F159&gt;U159)=(AP159="Üst"),"Kazandı","Kaybetti")))</f>
        <v>Kaybetti</v>
      </c>
      <c r="AR159" s="30">
        <f>IF(AP159="","",IF(AQ159="Push",0,IF(AQ159="Kazandı",IF(AP159="Üst",Oranlar!W159,Oranlar!X159)-1,-1)))</f>
        <v>-1.0</v>
      </c>
      <c r="AS159" s="17" t="str">
        <f>IF(G159*Oranlar!R159&gt;1,"Ev",IF((1-G159)*Oranlar!S159&gt;1,"Dep",""))</f>
        <v>Ev</v>
      </c>
      <c r="AT159" s="30">
        <f>IF(AS159="","",IF((AS159="Ev")=(E159&gt;0),IF(AS159="Ev",Oranlar!R159,Oranlar!S159)-1,-1))</f>
        <v>-1.0</v>
      </c>
      <c r="AU159" s="16">
        <f>IF(OR(H159=T159,S159=T159),"",IF((H159&gt;T159)=(S159&gt;T159),1,0))</f>
        <v/>
      </c>
      <c r="AV159" s="16">
        <f>IF(OR(L159=V159,U159=V159),"",IF((L159&gt;V159)=(U159&gt;V159),1,0))</f>
        <v/>
      </c>
      <c r="AW159" s="16">
        <f>IF(AND(E159&gt;=J159,E159&lt;=K159),1,0)</f>
        <v>1</v>
      </c>
      <c r="AX159" s="16">
        <f>IF(AND(F159&gt;=N159,F159&lt;=O159),1,0)</f>
        <v>1</v>
      </c>
    </row>
    <row r="160" spans="1:50">
      <c r="A160" s="21">
        <f>Oranlar!A160</f>
        <v>46106</v>
      </c>
      <c r="B160" s="22" t="str">
        <f>Oranlar!C160&amp;" @ "&amp;Oranlar!D160</f>
        <v>ATL @ DET</v>
      </c>
      <c r="C160" s="23">
        <f>Oranlar!F160</f>
        <v>129</v>
      </c>
      <c r="D160" s="23">
        <f>Oranlar!E160</f>
        <v>130</v>
      </c>
      <c r="E160" s="15">
        <f>C160-D160</f>
        <v>-1</v>
      </c>
      <c r="F160" s="16">
        <f>C160+D160</f>
        <v>259</v>
      </c>
      <c r="G160" s="24">
        <v>0.569</v>
      </c>
      <c r="H160" s="10">
        <v>2.75</v>
      </c>
      <c r="I160" s="10">
        <v>6</v>
      </c>
      <c r="J160" s="10">
        <v>-12</v>
      </c>
      <c r="K160" s="10">
        <v>25</v>
      </c>
      <c r="L160" s="11">
        <v>230.6</v>
      </c>
      <c r="M160" s="11">
        <v>232.3</v>
      </c>
      <c r="N160" s="11">
        <v>205</v>
      </c>
      <c r="O160" s="11">
        <v>260</v>
      </c>
      <c r="P160" s="11">
        <v>117.21</v>
      </c>
      <c r="Q160" s="11">
        <v>115.15</v>
      </c>
      <c r="R160" s="25">
        <f>Oranlar!Y160</f>
        <v>0.5720596355604638</v>
      </c>
      <c r="S160" s="26">
        <f>-Oranlar!O160</f>
        <v>2.5</v>
      </c>
      <c r="T160" s="26">
        <f>-Oranlar!I160</f>
        <v>2.5</v>
      </c>
      <c r="U160" s="27">
        <f>Oranlar!V160</f>
        <v>229.5</v>
      </c>
      <c r="V160" s="27">
        <f>Oranlar!L160</f>
        <v>226.5</v>
      </c>
      <c r="W160" s="28">
        <f>(U160+S160)/2</f>
        <v>116.0</v>
      </c>
      <c r="X160" s="28">
        <f>(U160-S160)/2</f>
        <v>113.5</v>
      </c>
      <c r="Y160" s="16">
        <f>IF(G160=0.5,"",IF((G160&gt;0.5)=(E160&gt;0),1,0))</f>
        <v>0</v>
      </c>
      <c r="Z160" s="16">
        <f>IF(R160=0.5,"",IF((R160&gt;0.5)=(E160&gt;0),1,0))</f>
        <v>0</v>
      </c>
      <c r="AA160" s="29">
        <f>(G160-IF(E160&gt;0,1,0))^2</f>
        <v>0.32376099999999997</v>
      </c>
      <c r="AB160" s="29">
        <f>(R160-IF(E160&gt;0,1,0))^2</f>
        <v>0.32725222663757064</v>
      </c>
      <c r="AC160" s="28">
        <f>ABS(H160-E160)</f>
        <v>3.75</v>
      </c>
      <c r="AD160" s="28">
        <f>ABS(I160-E160)</f>
        <v>7.0</v>
      </c>
      <c r="AE160" s="28">
        <f>ABS(S160-E160)</f>
        <v>3.5</v>
      </c>
      <c r="AF160" s="28">
        <f>ABS(L160-F160)</f>
        <v>28.400000000000006</v>
      </c>
      <c r="AG160" s="28">
        <f>ABS(M160-F160)</f>
        <v>26.69999999999999</v>
      </c>
      <c r="AH160" s="28">
        <f>ABS(U160-F160)</f>
        <v>29.5</v>
      </c>
      <c r="AI160" s="28">
        <f>ABS(P160-C160)</f>
        <v>11.790000000000006</v>
      </c>
      <c r="AJ160" s="28">
        <f>ABS(W160-C160)</f>
        <v>13.0</v>
      </c>
      <c r="AK160" s="28">
        <f>ABS(Q160-D160)</f>
        <v>14.849999999999994</v>
      </c>
      <c r="AL160" s="28">
        <f>ABS(X160-D160)</f>
        <v>16.5</v>
      </c>
      <c r="AM160" s="17" t="str">
        <f>IF(H160&gt;S160,"Ev",IF(H160&lt;S160,"Dep",""))</f>
        <v>Ev</v>
      </c>
      <c r="AN160" s="17" t="str">
        <f>IF(AM160="","",IF(E160=S160,"Push",IF((E160&gt;S160)=(AM160="Ev"),"Kazandı","Kaybetti")))</f>
        <v>Kaybetti</v>
      </c>
      <c r="AO160" s="30">
        <f>IF(AM160="","",IF(AN160="Push",0,IF(AN160="Kazandı",IF(AM160="Ev",Oranlar!P160,Oranlar!Q160)-1,-1)))</f>
        <v>-1.0</v>
      </c>
      <c r="AP160" s="17" t="str">
        <f>IF(L160&gt;U160,"Üst",IF(L160&lt;U160,"Alt",""))</f>
        <v>Üst</v>
      </c>
      <c r="AQ160" s="17" t="str">
        <f>IF(AP160="","",IF(F160=U160,"Push",IF((F160&gt;U160)=(AP160="Üst"),"Kazandı","Kaybetti")))</f>
        <v>Kazandı</v>
      </c>
      <c r="AR160" s="30">
        <f>IF(AP160="","",IF(AQ160="Push",0,IF(AQ160="Kazandı",IF(AP160="Üst",Oranlar!W160,Oranlar!X160)-1,-1)))</f>
        <v>0.925925925925926</v>
      </c>
      <c r="AS160" s="17">
        <f>IF(G160*Oranlar!R160&gt;1,"Ev",IF((1-G160)*Oranlar!S160&gt;1,"Dep",""))</f>
        <v/>
      </c>
      <c r="AT160" s="30">
        <f>IF(AS160="","",IF((AS160="Ev")=(E160&gt;0),IF(AS160="Ev",Oranlar!R160,Oranlar!S160)-1,-1))</f>
        <v/>
      </c>
      <c r="AU160" s="16">
        <f>IF(OR(H160=T160,S160=T160),"",IF((H160&gt;T160)=(S160&gt;T160),1,0))</f>
        <v/>
      </c>
      <c r="AV160" s="16">
        <f>IF(OR(L160=V160,U160=V160),"",IF((L160&gt;V160)=(U160&gt;V160),1,0))</f>
        <v>1</v>
      </c>
      <c r="AW160" s="16">
        <f>IF(AND(E160&gt;=J160,E160&lt;=K160),1,0)</f>
        <v>1</v>
      </c>
      <c r="AX160" s="16">
        <f>IF(AND(F160&gt;=N160,F160&lt;=O160),1,0)</f>
        <v>1</v>
      </c>
    </row>
    <row r="161" spans="1:50">
      <c r="A161" s="21">
        <f>Oranlar!A161</f>
        <v>46106</v>
      </c>
      <c r="B161" s="22" t="str">
        <f>Oranlar!C161&amp;" @ "&amp;Oranlar!D161</f>
        <v>LAL @ IND</v>
      </c>
      <c r="C161" s="23">
        <f>Oranlar!F161</f>
        <v>130</v>
      </c>
      <c r="D161" s="23">
        <f>Oranlar!E161</f>
        <v>137</v>
      </c>
      <c r="E161" s="15">
        <f>C161-D161</f>
        <v>-7</v>
      </c>
      <c r="F161" s="16">
        <f>C161+D161</f>
        <v>267</v>
      </c>
      <c r="G161" s="24">
        <v>0.307</v>
      </c>
      <c r="H161" s="10">
        <v>-5.13</v>
      </c>
      <c r="I161" s="10">
        <v>-7.7</v>
      </c>
      <c r="J161" s="10">
        <v>-26</v>
      </c>
      <c r="K161" s="10">
        <v>11</v>
      </c>
      <c r="L161" s="11">
        <v>236.53</v>
      </c>
      <c r="M161" s="11">
        <v>236.1</v>
      </c>
      <c r="N161" s="11">
        <v>208</v>
      </c>
      <c r="O161" s="11">
        <v>264</v>
      </c>
      <c r="P161" s="11">
        <v>114.52</v>
      </c>
      <c r="Q161" s="11">
        <v>120.83</v>
      </c>
      <c r="R161" s="25">
        <f>Oranlar!Y161</f>
        <v>0.22316684378320936</v>
      </c>
      <c r="S161" s="26">
        <f>-Oranlar!O161</f>
        <v>-8.5</v>
      </c>
      <c r="T161" s="26">
        <f>-Oranlar!I161</f>
        <v>-12.5</v>
      </c>
      <c r="U161" s="27">
        <f>Oranlar!V161</f>
        <v>241.5</v>
      </c>
      <c r="V161" s="27">
        <f>Oranlar!L161</f>
        <v>237.5</v>
      </c>
      <c r="W161" s="28">
        <f>(U161+S161)/2</f>
        <v>116.5</v>
      </c>
      <c r="X161" s="28">
        <f>(U161-S161)/2</f>
        <v>125.0</v>
      </c>
      <c r="Y161" s="16">
        <f>IF(G161=0.5,"",IF((G161&gt;0.5)=(E161&gt;0),1,0))</f>
        <v>1</v>
      </c>
      <c r="Z161" s="16">
        <f>IF(R161=0.5,"",IF((R161&gt;0.5)=(E161&gt;0),1,0))</f>
        <v>1</v>
      </c>
      <c r="AA161" s="29">
        <f>(G161-IF(E161&gt;0,1,0))^2</f>
        <v>0.094249</v>
      </c>
      <c r="AB161" s="29">
        <f>(R161-IF(E161&gt;0,1,0))^2</f>
        <v>0.04980344016415937</v>
      </c>
      <c r="AC161" s="28">
        <f>ABS(H161-E161)</f>
        <v>1.87</v>
      </c>
      <c r="AD161" s="28">
        <f>ABS(I161-E161)</f>
        <v>0.7000000000000002</v>
      </c>
      <c r="AE161" s="28">
        <f>ABS(S161-E161)</f>
        <v>1.5</v>
      </c>
      <c r="AF161" s="28">
        <f>ABS(L161-F161)</f>
        <v>30.47</v>
      </c>
      <c r="AG161" s="28">
        <f>ABS(M161-F161)</f>
        <v>30.900000000000006</v>
      </c>
      <c r="AH161" s="28">
        <f>ABS(U161-F161)</f>
        <v>25.5</v>
      </c>
      <c r="AI161" s="28">
        <f>ABS(P161-C161)</f>
        <v>15.480000000000004</v>
      </c>
      <c r="AJ161" s="28">
        <f>ABS(W161-C161)</f>
        <v>13.5</v>
      </c>
      <c r="AK161" s="28">
        <f>ABS(Q161-D161)</f>
        <v>16.17</v>
      </c>
      <c r="AL161" s="28">
        <f>ABS(X161-D161)</f>
        <v>12.0</v>
      </c>
      <c r="AM161" s="17" t="str">
        <f>IF(H161&gt;S161,"Ev",IF(H161&lt;S161,"Dep",""))</f>
        <v>Ev</v>
      </c>
      <c r="AN161" s="17" t="str">
        <f>IF(AM161="","",IF(E161=S161,"Push",IF((E161&gt;S161)=(AM161="Ev"),"Kazandı","Kaybetti")))</f>
        <v>Kazandı</v>
      </c>
      <c r="AO161" s="30">
        <f>IF(AM161="","",IF(AN161="Push",0,IF(AN161="Kazandı",IF(AM161="Ev",Oranlar!P161,Oranlar!Q161)-1,-1)))</f>
        <v>0.925925925925926</v>
      </c>
      <c r="AP161" s="17" t="str">
        <f>IF(L161&gt;U161,"Üst",IF(L161&lt;U161,"Alt",""))</f>
        <v>Alt</v>
      </c>
      <c r="AQ161" s="17" t="str">
        <f>IF(AP161="","",IF(F161=U161,"Push",IF((F161&gt;U161)=(AP161="Üst"),"Kazandı","Kaybetti")))</f>
        <v>Kaybetti</v>
      </c>
      <c r="AR161" s="30">
        <f>IF(AP161="","",IF(AQ161="Push",0,IF(AQ161="Kazandı",IF(AP161="Üst",Oranlar!W161,Oranlar!X161)-1,-1)))</f>
        <v>-1.0</v>
      </c>
      <c r="AS161" s="17" t="str">
        <f>IF(G161*Oranlar!R161&gt;1,"Ev",IF((1-G161)*Oranlar!S161&gt;1,"Dep",""))</f>
        <v>Ev</v>
      </c>
      <c r="AT161" s="30">
        <f>IF(AS161="","",IF((AS161="Ev")=(E161&gt;0),IF(AS161="Ev",Oranlar!R161,Oranlar!S161)-1,-1))</f>
        <v>-1.0</v>
      </c>
      <c r="AU161" s="16">
        <f>IF(OR(H161=T161,S161=T161),"",IF((H161&gt;T161)=(S161&gt;T161),1,0))</f>
        <v>1</v>
      </c>
      <c r="AV161" s="16">
        <f>IF(OR(L161=V161,U161=V161),"",IF((L161&gt;V161)=(U161&gt;V161),1,0))</f>
        <v>0</v>
      </c>
      <c r="AW161" s="16">
        <f>IF(AND(E161&gt;=J161,E161&lt;=K161),1,0)</f>
        <v>1</v>
      </c>
      <c r="AX161" s="16">
        <f>IF(AND(F161&gt;=N161,F161&lt;=O161),1,0)</f>
        <v>0</v>
      </c>
    </row>
    <row r="162" spans="1:50">
      <c r="A162" s="21">
        <f>Oranlar!A162</f>
        <v>46106</v>
      </c>
      <c r="B162" s="22" t="str">
        <f>Oranlar!C162&amp;" @ "&amp;Oranlar!D162</f>
        <v>CHI @ PHI</v>
      </c>
      <c r="C162" s="23">
        <f>Oranlar!F162</f>
        <v>157</v>
      </c>
      <c r="D162" s="23">
        <f>Oranlar!E162</f>
        <v>137</v>
      </c>
      <c r="E162" s="15">
        <f>C162-D162</f>
        <v>20</v>
      </c>
      <c r="F162" s="16">
        <f>C162+D162</f>
        <v>294</v>
      </c>
      <c r="G162" s="24">
        <v>0.631</v>
      </c>
      <c r="H162" s="10">
        <v>7.68</v>
      </c>
      <c r="I162" s="10">
        <v>5.9</v>
      </c>
      <c r="J162" s="10">
        <v>-13</v>
      </c>
      <c r="K162" s="10">
        <v>25</v>
      </c>
      <c r="L162" s="11">
        <v>236.29</v>
      </c>
      <c r="M162" s="11">
        <v>237.5</v>
      </c>
      <c r="N162" s="11">
        <v>209</v>
      </c>
      <c r="O162" s="11">
        <v>265</v>
      </c>
      <c r="P162" s="11">
        <v>122.43</v>
      </c>
      <c r="Q162" s="11">
        <v>117.11</v>
      </c>
      <c r="R162" s="25">
        <f>Oranlar!Y162</f>
        <v>0.6805555555555556</v>
      </c>
      <c r="S162" s="26">
        <f>-Oranlar!O162</f>
        <v>6.5</v>
      </c>
      <c r="T162" s="26">
        <f>-Oranlar!I162</f>
        <v>6.5</v>
      </c>
      <c r="U162" s="27">
        <f>Oranlar!V162</f>
        <v>241.5</v>
      </c>
      <c r="V162" s="27">
        <f>Oranlar!L162</f>
        <v>237.5</v>
      </c>
      <c r="W162" s="28">
        <f>(U162+S162)/2</f>
        <v>124.0</v>
      </c>
      <c r="X162" s="28">
        <f>(U162-S162)/2</f>
        <v>117.5</v>
      </c>
      <c r="Y162" s="16">
        <f>IF(G162=0.5,"",IF((G162&gt;0.5)=(E162&gt;0),1,0))</f>
        <v>1</v>
      </c>
      <c r="Z162" s="16">
        <f>IF(R162=0.5,"",IF((R162&gt;0.5)=(E162&gt;0),1,0))</f>
        <v>1</v>
      </c>
      <c r="AA162" s="29">
        <f>(G162-IF(E162&gt;0,1,0))^2</f>
        <v>0.136161</v>
      </c>
      <c r="AB162" s="29">
        <f>(R162-IF(E162&gt;0,1,0))^2</f>
        <v>0.10204475308641973</v>
      </c>
      <c r="AC162" s="28">
        <f>ABS(H162-E162)</f>
        <v>12.32</v>
      </c>
      <c r="AD162" s="28">
        <f>ABS(I162-E162)</f>
        <v>14.1</v>
      </c>
      <c r="AE162" s="28">
        <f>ABS(S162-E162)</f>
        <v>13.5</v>
      </c>
      <c r="AF162" s="28">
        <f>ABS(L162-F162)</f>
        <v>57.71000000000001</v>
      </c>
      <c r="AG162" s="28">
        <f>ABS(M162-F162)</f>
        <v>56.5</v>
      </c>
      <c r="AH162" s="28">
        <f>ABS(U162-F162)</f>
        <v>52.5</v>
      </c>
      <c r="AI162" s="28">
        <f>ABS(P162-C162)</f>
        <v>34.56999999999999</v>
      </c>
      <c r="AJ162" s="28">
        <f>ABS(W162-C162)</f>
        <v>33.0</v>
      </c>
      <c r="AK162" s="28">
        <f>ABS(Q162-D162)</f>
        <v>19.89</v>
      </c>
      <c r="AL162" s="28">
        <f>ABS(X162-D162)</f>
        <v>19.5</v>
      </c>
      <c r="AM162" s="17" t="str">
        <f>IF(H162&gt;S162,"Ev",IF(H162&lt;S162,"Dep",""))</f>
        <v>Ev</v>
      </c>
      <c r="AN162" s="17" t="str">
        <f>IF(AM162="","",IF(E162=S162,"Push",IF((E162&gt;S162)=(AM162="Ev"),"Kazandı","Kaybetti")))</f>
        <v>Kazandı</v>
      </c>
      <c r="AO162" s="30">
        <f>IF(AM162="","",IF(AN162="Push",0,IF(AN162="Kazandı",IF(AM162="Ev",Oranlar!P162,Oranlar!Q162)-1,-1)))</f>
        <v>0.9523809523809523</v>
      </c>
      <c r="AP162" s="17" t="str">
        <f>IF(L162&gt;U162,"Üst",IF(L162&lt;U162,"Alt",""))</f>
        <v>Alt</v>
      </c>
      <c r="AQ162" s="17" t="str">
        <f>IF(AP162="","",IF(F162=U162,"Push",IF((F162&gt;U162)=(AP162="Üst"),"Kazandı","Kaybetti")))</f>
        <v>Kaybetti</v>
      </c>
      <c r="AR162" s="30">
        <f>IF(AP162="","",IF(AQ162="Push",0,IF(AQ162="Kazandı",IF(AP162="Üst",Oranlar!W162,Oranlar!X162)-1,-1)))</f>
        <v>-1.0</v>
      </c>
      <c r="AS162" s="17" t="str">
        <f>IF(G162*Oranlar!R162&gt;1,"Ev",IF((1-G162)*Oranlar!S162&gt;1,"Dep",""))</f>
        <v>Dep</v>
      </c>
      <c r="AT162" s="30">
        <f>IF(AS162="","",IF((AS162="Ev")=(E162&gt;0),IF(AS162="Ev",Oranlar!R162,Oranlar!S162)-1,-1))</f>
        <v>-1.0</v>
      </c>
      <c r="AU162" s="16">
        <f>IF(OR(H162=T162,S162=T162),"",IF((H162&gt;T162)=(S162&gt;T162),1,0))</f>
        <v/>
      </c>
      <c r="AV162" s="16">
        <f>IF(OR(L162=V162,U162=V162),"",IF((L162&gt;V162)=(U162&gt;V162),1,0))</f>
        <v>0</v>
      </c>
      <c r="AW162" s="16">
        <f>IF(AND(E162&gt;=J162,E162&lt;=K162),1,0)</f>
        <v>1</v>
      </c>
      <c r="AX162" s="16">
        <f>IF(AND(F162&gt;=N162,F162&lt;=O162),1,0)</f>
        <v>0</v>
      </c>
    </row>
    <row r="163" spans="1:50">
      <c r="A163" s="21">
        <f>Oranlar!A163</f>
        <v>46106</v>
      </c>
      <c r="B163" s="22" t="str">
        <f>Oranlar!C163&amp;" @ "&amp;Oranlar!D163</f>
        <v>OKC @ BOS</v>
      </c>
      <c r="C163" s="23">
        <f>Oranlar!F163</f>
        <v>119</v>
      </c>
      <c r="D163" s="23">
        <f>Oranlar!E163</f>
        <v>109</v>
      </c>
      <c r="E163" s="15">
        <f>C163-D163</f>
        <v>10</v>
      </c>
      <c r="F163" s="16">
        <f>C163+D163</f>
        <v>228</v>
      </c>
      <c r="G163" s="24">
        <v>0.521</v>
      </c>
      <c r="H163" s="10">
        <v>0.19</v>
      </c>
      <c r="I163" s="10">
        <v>0.2</v>
      </c>
      <c r="J163" s="10">
        <v>-18</v>
      </c>
      <c r="K163" s="10">
        <v>18</v>
      </c>
      <c r="L163" s="11">
        <v>222.16</v>
      </c>
      <c r="M163" s="11">
        <v>221.2</v>
      </c>
      <c r="N163" s="11">
        <v>195</v>
      </c>
      <c r="O163" s="11">
        <v>248</v>
      </c>
      <c r="P163" s="11">
        <v>110.88</v>
      </c>
      <c r="Q163" s="11">
        <v>112.02</v>
      </c>
      <c r="R163" s="25">
        <f>Oranlar!Y163</f>
        <v>0.4572564612326044</v>
      </c>
      <c r="S163" s="26">
        <f>-Oranlar!O163</f>
        <v>-2.5</v>
      </c>
      <c r="T163" s="26">
        <f>-Oranlar!I163</f>
        <v>-3.5</v>
      </c>
      <c r="U163" s="27">
        <f>Oranlar!V163</f>
        <v>222.5</v>
      </c>
      <c r="V163" s="27">
        <f>Oranlar!L163</f>
        <v>217.5</v>
      </c>
      <c r="W163" s="28">
        <f>(U163+S163)/2</f>
        <v>110.0</v>
      </c>
      <c r="X163" s="28">
        <f>(U163-S163)/2</f>
        <v>112.5</v>
      </c>
      <c r="Y163" s="16">
        <f>IF(G163=0.5,"",IF((G163&gt;0.5)=(E163&gt;0),1,0))</f>
        <v>1</v>
      </c>
      <c r="Z163" s="16">
        <f>IF(R163=0.5,"",IF((R163&gt;0.5)=(E163&gt;0),1,0))</f>
        <v>0</v>
      </c>
      <c r="AA163" s="29">
        <f>(G163-IF(E163&gt;0,1,0))^2</f>
        <v>0.22944099999999998</v>
      </c>
      <c r="AB163" s="29">
        <f>(R163-IF(E163&gt;0,1,0))^2</f>
        <v>0.2945705488737554</v>
      </c>
      <c r="AC163" s="28">
        <f>ABS(H163-E163)</f>
        <v>9.81</v>
      </c>
      <c r="AD163" s="28">
        <f>ABS(I163-E163)</f>
        <v>9.8</v>
      </c>
      <c r="AE163" s="28">
        <f>ABS(S163-E163)</f>
        <v>12.5</v>
      </c>
      <c r="AF163" s="28">
        <f>ABS(L163-F163)</f>
        <v>5.840000000000003</v>
      </c>
      <c r="AG163" s="28">
        <f>ABS(M163-F163)</f>
        <v>6.800000000000011</v>
      </c>
      <c r="AH163" s="28">
        <f>ABS(U163-F163)</f>
        <v>5.5</v>
      </c>
      <c r="AI163" s="28">
        <f>ABS(P163-C163)</f>
        <v>8.120000000000005</v>
      </c>
      <c r="AJ163" s="28">
        <f>ABS(W163-C163)</f>
        <v>9.0</v>
      </c>
      <c r="AK163" s="28">
        <f>ABS(Q163-D163)</f>
        <v>3.019999999999996</v>
      </c>
      <c r="AL163" s="28">
        <f>ABS(X163-D163)</f>
        <v>3.5</v>
      </c>
      <c r="AM163" s="17" t="str">
        <f>IF(H163&gt;S163,"Ev",IF(H163&lt;S163,"Dep",""))</f>
        <v>Ev</v>
      </c>
      <c r="AN163" s="17" t="str">
        <f>IF(AM163="","",IF(E163=S163,"Push",IF((E163&gt;S163)=(AM163="Ev"),"Kazandı","Kaybetti")))</f>
        <v>Kazandı</v>
      </c>
      <c r="AO163" s="30">
        <f>IF(AM163="","",IF(AN163="Push",0,IF(AN163="Kazandı",IF(AM163="Ev",Oranlar!P163,Oranlar!Q163)-1,-1)))</f>
        <v>0.8695652173913042</v>
      </c>
      <c r="AP163" s="17" t="str">
        <f>IF(L163&gt;U163,"Üst",IF(L163&lt;U163,"Alt",""))</f>
        <v>Alt</v>
      </c>
      <c r="AQ163" s="17" t="str">
        <f>IF(AP163="","",IF(F163=U163,"Push",IF((F163&gt;U163)=(AP163="Üst"),"Kazandı","Kaybetti")))</f>
        <v>Kaybetti</v>
      </c>
      <c r="AR163" s="30">
        <f>IF(AP163="","",IF(AQ163="Push",0,IF(AQ163="Kazandı",IF(AP163="Üst",Oranlar!W163,Oranlar!X163)-1,-1)))</f>
        <v>-1.0</v>
      </c>
      <c r="AS163" s="17" t="str">
        <f>IF(G163*Oranlar!R163&gt;1,"Ev",IF((1-G163)*Oranlar!S163&gt;1,"Dep",""))</f>
        <v>Ev</v>
      </c>
      <c r="AT163" s="30">
        <f>IF(AS163="","",IF((AS163="Ev")=(E163&gt;0),IF(AS163="Ev",Oranlar!R163,Oranlar!S163)-1,-1))</f>
        <v>1.1</v>
      </c>
      <c r="AU163" s="16">
        <f>IF(OR(H163=T163,S163=T163),"",IF((H163&gt;T163)=(S163&gt;T163),1,0))</f>
        <v>1</v>
      </c>
      <c r="AV163" s="16">
        <f>IF(OR(L163=V163,U163=V163),"",IF((L163&gt;V163)=(U163&gt;V163),1,0))</f>
        <v>1</v>
      </c>
      <c r="AW163" s="16">
        <f>IF(AND(E163&gt;=J163,E163&lt;=K163),1,0)</f>
        <v>1</v>
      </c>
      <c r="AX163" s="16">
        <f>IF(AND(F163&gt;=N163,F163&lt;=O163),1,0)</f>
        <v>1</v>
      </c>
    </row>
    <row r="164" spans="1:50">
      <c r="A164" s="21">
        <f>Oranlar!A164</f>
        <v>46106</v>
      </c>
      <c r="B164" s="22" t="str">
        <f>Oranlar!C164&amp;" @ "&amp;Oranlar!D164</f>
        <v>MIA @ CLE</v>
      </c>
      <c r="C164" s="23">
        <f>Oranlar!F164</f>
        <v>103</v>
      </c>
      <c r="D164" s="23">
        <f>Oranlar!E164</f>
        <v>120</v>
      </c>
      <c r="E164" s="15">
        <f>C164-D164</f>
        <v>-17</v>
      </c>
      <c r="F164" s="16">
        <f>C164+D164</f>
        <v>223</v>
      </c>
      <c r="G164" s="24">
        <v>0.552</v>
      </c>
      <c r="H164" s="10">
        <v>1.02</v>
      </c>
      <c r="I164" s="10">
        <v>5</v>
      </c>
      <c r="J164" s="10">
        <v>-14</v>
      </c>
      <c r="K164" s="10">
        <v>24</v>
      </c>
      <c r="L164" s="11">
        <v>238.6</v>
      </c>
      <c r="M164" s="11">
        <v>241</v>
      </c>
      <c r="N164" s="11">
        <v>213</v>
      </c>
      <c r="O164" s="11">
        <v>269</v>
      </c>
      <c r="P164" s="11">
        <v>122</v>
      </c>
      <c r="Q164" s="11">
        <v>119</v>
      </c>
      <c r="R164" s="25">
        <f>Oranlar!Y164</f>
        <v>0.5720596355604638</v>
      </c>
      <c r="S164" s="26">
        <f>-Oranlar!O164</f>
        <v>2.5</v>
      </c>
      <c r="T164" s="26">
        <f>-Oranlar!I164</f>
        <v>3.5</v>
      </c>
      <c r="U164" s="27">
        <f>Oranlar!V164</f>
        <v>243.5</v>
      </c>
      <c r="V164" s="27">
        <f>Oranlar!L164</f>
        <v>242.5</v>
      </c>
      <c r="W164" s="28">
        <f>(U164+S164)/2</f>
        <v>123.0</v>
      </c>
      <c r="X164" s="28">
        <f>(U164-S164)/2</f>
        <v>120.5</v>
      </c>
      <c r="Y164" s="16">
        <f>IF(G164=0.5,"",IF((G164&gt;0.5)=(E164&gt;0),1,0))</f>
        <v>0</v>
      </c>
      <c r="Z164" s="16">
        <f>IF(R164=0.5,"",IF((R164&gt;0.5)=(E164&gt;0),1,0))</f>
        <v>0</v>
      </c>
      <c r="AA164" s="29">
        <f>(G164-IF(E164&gt;0,1,0))^2</f>
        <v>0.30470400000000003</v>
      </c>
      <c r="AB164" s="29">
        <f>(R164-IF(E164&gt;0,1,0))^2</f>
        <v>0.32725222663757064</v>
      </c>
      <c r="AC164" s="28">
        <f>ABS(H164-E164)</f>
        <v>18.02</v>
      </c>
      <c r="AD164" s="28">
        <f>ABS(I164-E164)</f>
        <v>22.0</v>
      </c>
      <c r="AE164" s="28">
        <f>ABS(S164-E164)</f>
        <v>19.5</v>
      </c>
      <c r="AF164" s="28">
        <f>ABS(L164-F164)</f>
        <v>15.599999999999994</v>
      </c>
      <c r="AG164" s="28">
        <f>ABS(M164-F164)</f>
        <v>18.0</v>
      </c>
      <c r="AH164" s="28">
        <f>ABS(U164-F164)</f>
        <v>20.5</v>
      </c>
      <c r="AI164" s="28">
        <f>ABS(P164-C164)</f>
        <v>19.0</v>
      </c>
      <c r="AJ164" s="28">
        <f>ABS(W164-C164)</f>
        <v>20.0</v>
      </c>
      <c r="AK164" s="28">
        <f>ABS(Q164-D164)</f>
        <v>1.0</v>
      </c>
      <c r="AL164" s="28">
        <f>ABS(X164-D164)</f>
        <v>0.5</v>
      </c>
      <c r="AM164" s="17" t="str">
        <f>IF(H164&gt;S164,"Ev",IF(H164&lt;S164,"Dep",""))</f>
        <v>Dep</v>
      </c>
      <c r="AN164" s="17" t="str">
        <f>IF(AM164="","",IF(E164=S164,"Push",IF((E164&gt;S164)=(AM164="Ev"),"Kazandı","Kaybetti")))</f>
        <v>Kazandı</v>
      </c>
      <c r="AO164" s="30">
        <f>IF(AM164="","",IF(AN164="Push",0,IF(AN164="Kazandı",IF(AM164="Ev",Oranlar!P164,Oranlar!Q164)-1,-1)))</f>
        <v>0.9523809523809523</v>
      </c>
      <c r="AP164" s="17" t="str">
        <f>IF(L164&gt;U164,"Üst",IF(L164&lt;U164,"Alt",""))</f>
        <v>Alt</v>
      </c>
      <c r="AQ164" s="17" t="str">
        <f>IF(AP164="","",IF(F164=U164,"Push",IF((F164&gt;U164)=(AP164="Üst"),"Kazandı","Kaybetti")))</f>
        <v>Kazandı</v>
      </c>
      <c r="AR164" s="30">
        <f>IF(AP164="","",IF(AQ164="Push",0,IF(AQ164="Kazandı",IF(AP164="Üst",Oranlar!W164,Oranlar!X164)-1,-1)))</f>
        <v>0.8695652173913042</v>
      </c>
      <c r="AS164" s="17" t="str">
        <f>IF(G164*Oranlar!R164&gt;1,"Ev",IF((1-G164)*Oranlar!S164&gt;1,"Dep",""))</f>
        <v>Dep</v>
      </c>
      <c r="AT164" s="30">
        <f>IF(AS164="","",IF((AS164="Ev")=(E164&gt;0),IF(AS164="Ev",Oranlar!R164,Oranlar!S164)-1,-1))</f>
        <v>1.2400000000000002</v>
      </c>
      <c r="AU164" s="16">
        <f>IF(OR(H164=T164,S164=T164),"",IF((H164&gt;T164)=(S164&gt;T164),1,0))</f>
        <v>1</v>
      </c>
      <c r="AV164" s="16">
        <f>IF(OR(L164=V164,U164=V164),"",IF((L164&gt;V164)=(U164&gt;V164),1,0))</f>
        <v>0</v>
      </c>
      <c r="AW164" s="16">
        <f>IF(AND(E164&gt;=J164,E164&lt;=K164),1,0)</f>
        <v>0</v>
      </c>
      <c r="AX164" s="16">
        <f>IF(AND(F164&gt;=N164,F164&lt;=O164),1,0)</f>
        <v>1</v>
      </c>
    </row>
    <row r="165" spans="1:50">
      <c r="A165" s="21">
        <f>Oranlar!A165</f>
        <v>46106</v>
      </c>
      <c r="B165" s="22" t="str">
        <f>Oranlar!C165&amp;" @ "&amp;Oranlar!D165</f>
        <v>SAS @ MEM</v>
      </c>
      <c r="C165" s="23">
        <f>Oranlar!F165</f>
        <v>98</v>
      </c>
      <c r="D165" s="23">
        <f>Oranlar!E165</f>
        <v>123</v>
      </c>
      <c r="E165" s="15">
        <f>C165-D165</f>
        <v>-25</v>
      </c>
      <c r="F165" s="16">
        <f>C165+D165</f>
        <v>221</v>
      </c>
      <c r="G165" s="24">
        <v>0.273</v>
      </c>
      <c r="H165" s="10">
        <v>-10.01</v>
      </c>
      <c r="I165" s="10">
        <v>-10</v>
      </c>
      <c r="J165" s="10">
        <v>-28</v>
      </c>
      <c r="K165" s="10">
        <v>8</v>
      </c>
      <c r="L165" s="11">
        <v>236.28</v>
      </c>
      <c r="M165" s="11">
        <v>229.3</v>
      </c>
      <c r="N165" s="11">
        <v>202</v>
      </c>
      <c r="O165" s="11">
        <v>257</v>
      </c>
      <c r="P165" s="11">
        <v>113.11</v>
      </c>
      <c r="Q165" s="11">
        <v>124.14</v>
      </c>
      <c r="R165" s="25">
        <f>Oranlar!Y165</f>
        <v>0.08755760368663595</v>
      </c>
      <c r="S165" s="26">
        <f>-Oranlar!O165</f>
        <v>-16.5</v>
      </c>
      <c r="T165" s="26">
        <f>-Oranlar!I165</f>
        <v>-15.5</v>
      </c>
      <c r="U165" s="27">
        <f>Oranlar!V165</f>
        <v>234.5</v>
      </c>
      <c r="V165" s="27">
        <f>Oranlar!L165</f>
        <v>235.5</v>
      </c>
      <c r="W165" s="28">
        <f>(U165+S165)/2</f>
        <v>109.0</v>
      </c>
      <c r="X165" s="28">
        <f>(U165-S165)/2</f>
        <v>125.5</v>
      </c>
      <c r="Y165" s="16">
        <f>IF(G165=0.5,"",IF((G165&gt;0.5)=(E165&gt;0),1,0))</f>
        <v>1</v>
      </c>
      <c r="Z165" s="16">
        <f>IF(R165=0.5,"",IF((R165&gt;0.5)=(E165&gt;0),1,0))</f>
        <v>1</v>
      </c>
      <c r="AA165" s="29">
        <f>(G165-IF(E165&gt;0,1,0))^2</f>
        <v>0.07452900000000001</v>
      </c>
      <c r="AB165" s="29">
        <f>(R165-IF(E165&gt;0,1,0))^2</f>
        <v>0.007666333963346006</v>
      </c>
      <c r="AC165" s="28">
        <f>ABS(H165-E165)</f>
        <v>14.99</v>
      </c>
      <c r="AD165" s="28">
        <f>ABS(I165-E165)</f>
        <v>15.0</v>
      </c>
      <c r="AE165" s="28">
        <f>ABS(S165-E165)</f>
        <v>8.5</v>
      </c>
      <c r="AF165" s="28">
        <f>ABS(L165-F165)</f>
        <v>15.280000000000001</v>
      </c>
      <c r="AG165" s="28">
        <f>ABS(M165-F165)</f>
        <v>8.300000000000011</v>
      </c>
      <c r="AH165" s="28">
        <f>ABS(U165-F165)</f>
        <v>13.5</v>
      </c>
      <c r="AI165" s="28">
        <f>ABS(P165-C165)</f>
        <v>15.11</v>
      </c>
      <c r="AJ165" s="28">
        <f>ABS(W165-C165)</f>
        <v>11.0</v>
      </c>
      <c r="AK165" s="28">
        <f>ABS(Q165-D165)</f>
        <v>1.1400000000000006</v>
      </c>
      <c r="AL165" s="28">
        <f>ABS(X165-D165)</f>
        <v>2.5</v>
      </c>
      <c r="AM165" s="17" t="str">
        <f>IF(H165&gt;S165,"Ev",IF(H165&lt;S165,"Dep",""))</f>
        <v>Ev</v>
      </c>
      <c r="AN165" s="17" t="str">
        <f>IF(AM165="","",IF(E165=S165,"Push",IF((E165&gt;S165)=(AM165="Ev"),"Kazandı","Kaybetti")))</f>
        <v>Kaybetti</v>
      </c>
      <c r="AO165" s="30">
        <f>IF(AM165="","",IF(AN165="Push",0,IF(AN165="Kazandı",IF(AM165="Ev",Oranlar!P165,Oranlar!Q165)-1,-1)))</f>
        <v>-1.0</v>
      </c>
      <c r="AP165" s="17" t="str">
        <f>IF(L165&gt;U165,"Üst",IF(L165&lt;U165,"Alt",""))</f>
        <v>Üst</v>
      </c>
      <c r="AQ165" s="17" t="str">
        <f>IF(AP165="","",IF(F165=U165,"Push",IF((F165&gt;U165)=(AP165="Üst"),"Kazandı","Kaybetti")))</f>
        <v>Kaybetti</v>
      </c>
      <c r="AR165" s="30">
        <f>IF(AP165="","",IF(AQ165="Push",0,IF(AQ165="Kazandı",IF(AP165="Üst",Oranlar!W165,Oranlar!X165)-1,-1)))</f>
        <v>-1.0</v>
      </c>
      <c r="AS165" s="17" t="str">
        <f>IF(G165*Oranlar!R165&gt;1,"Ev",IF((1-G165)*Oranlar!S165&gt;1,"Dep",""))</f>
        <v>Ev</v>
      </c>
      <c r="AT165" s="30">
        <f>IF(AS165="","",IF((AS165="Ev")=(E165&gt;0),IF(AS165="Ev",Oranlar!R165,Oranlar!S165)-1,-1))</f>
        <v>-1.0</v>
      </c>
      <c r="AU165" s="16">
        <f>IF(OR(H165=T165,S165=T165),"",IF((H165&gt;T165)=(S165&gt;T165),1,0))</f>
        <v>0</v>
      </c>
      <c r="AV165" s="16">
        <f>IF(OR(L165=V165,U165=V165),"",IF((L165&gt;V165)=(U165&gt;V165),1,0))</f>
        <v>0</v>
      </c>
      <c r="AW165" s="16">
        <f>IF(AND(E165&gt;=J165,E165&lt;=K165),1,0)</f>
        <v>1</v>
      </c>
      <c r="AX165" s="16">
        <f>IF(AND(F165&gt;=N165,F165&lt;=O165),1,0)</f>
        <v>1</v>
      </c>
    </row>
    <row r="166" spans="1:50">
      <c r="A166" s="21">
        <f>Oranlar!A166</f>
        <v>46106</v>
      </c>
      <c r="B166" s="22" t="str">
        <f>Oranlar!C166&amp;" @ "&amp;Oranlar!D166</f>
        <v>WAS @ UTA</v>
      </c>
      <c r="C166" s="23">
        <f>Oranlar!F166</f>
        <v>110</v>
      </c>
      <c r="D166" s="23">
        <f>Oranlar!E166</f>
        <v>133</v>
      </c>
      <c r="E166" s="15">
        <f>C166-D166</f>
        <v>-23</v>
      </c>
      <c r="F166" s="16">
        <f>C166+D166</f>
        <v>243</v>
      </c>
      <c r="G166" s="24">
        <v>0.508</v>
      </c>
      <c r="H166" s="10">
        <v>0.65</v>
      </c>
      <c r="I166" s="10">
        <v>-2.7</v>
      </c>
      <c r="J166" s="10">
        <v>-21</v>
      </c>
      <c r="K166" s="10">
        <v>16</v>
      </c>
      <c r="L166" s="11">
        <v>232.42</v>
      </c>
      <c r="M166" s="11">
        <v>233.1</v>
      </c>
      <c r="N166" s="11">
        <v>206</v>
      </c>
      <c r="O166" s="11">
        <v>261</v>
      </c>
      <c r="P166" s="11">
        <v>114.44</v>
      </c>
      <c r="Q166" s="11">
        <v>116.79</v>
      </c>
      <c r="R166" s="25">
        <f>Oranlar!Y166</f>
        <v>0.5829926410466066</v>
      </c>
      <c r="S166" s="26">
        <f>-Oranlar!O166</f>
        <v>3.5</v>
      </c>
      <c r="T166" s="26">
        <f>-Oranlar!I166</f>
        <v>4.5</v>
      </c>
      <c r="U166" s="27">
        <f>Oranlar!V166</f>
        <v>239.5</v>
      </c>
      <c r="V166" s="27">
        <f>Oranlar!L166</f>
        <v>240.5</v>
      </c>
      <c r="W166" s="28">
        <f>(U166+S166)/2</f>
        <v>121.5</v>
      </c>
      <c r="X166" s="28">
        <f>(U166-S166)/2</f>
        <v>118.0</v>
      </c>
      <c r="Y166" s="16">
        <f>IF(G166=0.5,"",IF((G166&gt;0.5)=(E166&gt;0),1,0))</f>
        <v>0</v>
      </c>
      <c r="Z166" s="16">
        <f>IF(R166=0.5,"",IF((R166&gt;0.5)=(E166&gt;0),1,0))</f>
        <v>0</v>
      </c>
      <c r="AA166" s="29">
        <f>(G166-IF(E166&gt;0,1,0))^2</f>
        <v>0.258064</v>
      </c>
      <c r="AB166" s="29">
        <f>(R166-IF(E166&gt;0,1,0))^2</f>
        <v>0.33988041951449754</v>
      </c>
      <c r="AC166" s="28">
        <f>ABS(H166-E166)</f>
        <v>23.65</v>
      </c>
      <c r="AD166" s="28">
        <f>ABS(I166-E166)</f>
        <v>20.3</v>
      </c>
      <c r="AE166" s="28">
        <f>ABS(S166-E166)</f>
        <v>26.5</v>
      </c>
      <c r="AF166" s="28">
        <f>ABS(L166-F166)</f>
        <v>10.580000000000013</v>
      </c>
      <c r="AG166" s="28">
        <f>ABS(M166-F166)</f>
        <v>9.900000000000006</v>
      </c>
      <c r="AH166" s="28">
        <f>ABS(U166-F166)</f>
        <v>3.5</v>
      </c>
      <c r="AI166" s="28">
        <f>ABS(P166-C166)</f>
        <v>4.439999999999998</v>
      </c>
      <c r="AJ166" s="28">
        <f>ABS(W166-C166)</f>
        <v>11.5</v>
      </c>
      <c r="AK166" s="28">
        <f>ABS(Q166-D166)</f>
        <v>16.209999999999994</v>
      </c>
      <c r="AL166" s="28">
        <f>ABS(X166-D166)</f>
        <v>15.0</v>
      </c>
      <c r="AM166" s="17" t="str">
        <f>IF(H166&gt;S166,"Ev",IF(H166&lt;S166,"Dep",""))</f>
        <v>Dep</v>
      </c>
      <c r="AN166" s="17" t="str">
        <f>IF(AM166="","",IF(E166=S166,"Push",IF((E166&gt;S166)=(AM166="Ev"),"Kazandı","Kaybetti")))</f>
        <v>Kazandı</v>
      </c>
      <c r="AO166" s="30">
        <f>IF(AM166="","",IF(AN166="Push",0,IF(AN166="Kazandı",IF(AM166="Ev",Oranlar!P166,Oranlar!Q166)-1,-1)))</f>
        <v>0.8695652173913042</v>
      </c>
      <c r="AP166" s="17" t="str">
        <f>IF(L166&gt;U166,"Üst",IF(L166&lt;U166,"Alt",""))</f>
        <v>Alt</v>
      </c>
      <c r="AQ166" s="17" t="str">
        <f>IF(AP166="","",IF(F166=U166,"Push",IF((F166&gt;U166)=(AP166="Üst"),"Kazandı","Kaybetti")))</f>
        <v>Kaybetti</v>
      </c>
      <c r="AR166" s="30">
        <f>IF(AP166="","",IF(AQ166="Push",0,IF(AQ166="Kazandı",IF(AP166="Üst",Oranlar!W166,Oranlar!X166)-1,-1)))</f>
        <v>-1.0</v>
      </c>
      <c r="AS166" s="17" t="str">
        <f>IF(G166*Oranlar!R166&gt;1,"Ev",IF((1-G166)*Oranlar!S166&gt;1,"Dep",""))</f>
        <v>Dep</v>
      </c>
      <c r="AT166" s="30">
        <f>IF(AS166="","",IF((AS166="Ev")=(E166&gt;0),IF(AS166="Ev",Oranlar!R166,Oranlar!S166)-1,-1))</f>
        <v>1.2999999999999998</v>
      </c>
      <c r="AU166" s="16">
        <f>IF(OR(H166=T166,S166=T166),"",IF((H166&gt;T166)=(S166&gt;T166),1,0))</f>
        <v>1</v>
      </c>
      <c r="AV166" s="16">
        <f>IF(OR(L166=V166,U166=V166),"",IF((L166&gt;V166)=(U166&gt;V166),1,0))</f>
        <v>1</v>
      </c>
      <c r="AW166" s="16">
        <f>IF(AND(E166&gt;=J166,E166&lt;=K166),1,0)</f>
        <v>0</v>
      </c>
      <c r="AX166" s="16">
        <f>IF(AND(F166&gt;=N166,F166&lt;=O166),1,0)</f>
        <v>1</v>
      </c>
    </row>
    <row r="167" spans="1:50">
      <c r="A167" s="21">
        <f>Oranlar!A167</f>
        <v>46106</v>
      </c>
      <c r="B167" s="22" t="str">
        <f>Oranlar!C167&amp;" @ "&amp;Oranlar!D167</f>
        <v>HOU @ MIN</v>
      </c>
      <c r="C167" s="23">
        <f>Oranlar!F167</f>
        <v>110</v>
      </c>
      <c r="D167" s="23">
        <f>Oranlar!E167</f>
        <v>108</v>
      </c>
      <c r="E167" s="15">
        <f>C167-D167</f>
        <v>2</v>
      </c>
      <c r="F167" s="16">
        <f>C167+D167</f>
        <v>218</v>
      </c>
      <c r="G167" s="24">
        <v>0.477</v>
      </c>
      <c r="H167" s="10">
        <v>-1.38</v>
      </c>
      <c r="I167" s="10">
        <v>0.5</v>
      </c>
      <c r="J167" s="10">
        <v>-18</v>
      </c>
      <c r="K167" s="10">
        <v>19</v>
      </c>
      <c r="L167" s="11">
        <v>224.8</v>
      </c>
      <c r="M167" s="11">
        <v>226.5</v>
      </c>
      <c r="N167" s="11">
        <v>199</v>
      </c>
      <c r="O167" s="11">
        <v>254</v>
      </c>
      <c r="P167" s="11">
        <v>112.84</v>
      </c>
      <c r="Q167" s="11">
        <v>113.48</v>
      </c>
      <c r="R167" s="25">
        <f>Oranlar!Y167</f>
        <v>0.4572564612326044</v>
      </c>
      <c r="S167" s="26">
        <f>-Oranlar!O167</f>
        <v>-1.5</v>
      </c>
      <c r="T167" s="26">
        <f>-Oranlar!I167</f>
        <v>-1.5</v>
      </c>
      <c r="U167" s="27">
        <f>Oranlar!V167</f>
        <v>223.5</v>
      </c>
      <c r="V167" s="27">
        <f>Oranlar!L167</f>
        <v>222.5</v>
      </c>
      <c r="W167" s="28">
        <f>(U167+S167)/2</f>
        <v>111.0</v>
      </c>
      <c r="X167" s="28">
        <f>(U167-S167)/2</f>
        <v>112.5</v>
      </c>
      <c r="Y167" s="16">
        <f>IF(G167=0.5,"",IF((G167&gt;0.5)=(E167&gt;0),1,0))</f>
        <v>0</v>
      </c>
      <c r="Z167" s="16">
        <f>IF(R167=0.5,"",IF((R167&gt;0.5)=(E167&gt;0),1,0))</f>
        <v>0</v>
      </c>
      <c r="AA167" s="29">
        <f>(G167-IF(E167&gt;0,1,0))^2</f>
        <v>0.273529</v>
      </c>
      <c r="AB167" s="29">
        <f>(R167-IF(E167&gt;0,1,0))^2</f>
        <v>0.2945705488737554</v>
      </c>
      <c r="AC167" s="28">
        <f>ABS(H167-E167)</f>
        <v>3.38</v>
      </c>
      <c r="AD167" s="28">
        <f>ABS(I167-E167)</f>
        <v>1.5</v>
      </c>
      <c r="AE167" s="28">
        <f>ABS(S167-E167)</f>
        <v>3.5</v>
      </c>
      <c r="AF167" s="28">
        <f>ABS(L167-F167)</f>
        <v>6.800000000000011</v>
      </c>
      <c r="AG167" s="28">
        <f>ABS(M167-F167)</f>
        <v>8.5</v>
      </c>
      <c r="AH167" s="28">
        <f>ABS(U167-F167)</f>
        <v>5.5</v>
      </c>
      <c r="AI167" s="28">
        <f>ABS(P167-C167)</f>
        <v>2.8400000000000034</v>
      </c>
      <c r="AJ167" s="28">
        <f>ABS(W167-C167)</f>
        <v>1.0</v>
      </c>
      <c r="AK167" s="28">
        <f>ABS(Q167-D167)</f>
        <v>5.480000000000004</v>
      </c>
      <c r="AL167" s="28">
        <f>ABS(X167-D167)</f>
        <v>4.5</v>
      </c>
      <c r="AM167" s="17" t="str">
        <f>IF(H167&gt;S167,"Ev",IF(H167&lt;S167,"Dep",""))</f>
        <v>Ev</v>
      </c>
      <c r="AN167" s="17" t="str">
        <f>IF(AM167="","",IF(E167=S167,"Push",IF((E167&gt;S167)=(AM167="Ev"),"Kazandı","Kaybetti")))</f>
        <v>Kazandı</v>
      </c>
      <c r="AO167" s="30">
        <f>IF(AM167="","",IF(AN167="Push",0,IF(AN167="Kazandı",IF(AM167="Ev",Oranlar!P167,Oranlar!Q167)-1,-1)))</f>
        <v>0.9523809523809523</v>
      </c>
      <c r="AP167" s="17" t="str">
        <f>IF(L167&gt;U167,"Üst",IF(L167&lt;U167,"Alt",""))</f>
        <v>Üst</v>
      </c>
      <c r="AQ167" s="17" t="str">
        <f>IF(AP167="","",IF(F167=U167,"Push",IF((F167&gt;U167)=(AP167="Üst"),"Kazandı","Kaybetti")))</f>
        <v>Kaybetti</v>
      </c>
      <c r="AR167" s="30">
        <f>IF(AP167="","",IF(AQ167="Push",0,IF(AQ167="Kazandı",IF(AP167="Üst",Oranlar!W167,Oranlar!X167)-1,-1)))</f>
        <v>-1.0</v>
      </c>
      <c r="AS167" s="17" t="str">
        <f>IF(G167*Oranlar!R167&gt;1,"Ev",IF((1-G167)*Oranlar!S167&gt;1,"Dep",""))</f>
        <v>Ev</v>
      </c>
      <c r="AT167" s="30">
        <f>IF(AS167="","",IF((AS167="Ev")=(E167&gt;0),IF(AS167="Ev",Oranlar!R167,Oranlar!S167)-1,-1))</f>
        <v>1.1</v>
      </c>
      <c r="AU167" s="16">
        <f>IF(OR(H167=T167,S167=T167),"",IF((H167&gt;T167)=(S167&gt;T167),1,0))</f>
        <v/>
      </c>
      <c r="AV167" s="16">
        <f>IF(OR(L167=V167,U167=V167),"",IF((L167&gt;V167)=(U167&gt;V167),1,0))</f>
        <v>1</v>
      </c>
      <c r="AW167" s="16">
        <f>IF(AND(E167&gt;=J167,E167&lt;=K167),1,0)</f>
        <v>1</v>
      </c>
      <c r="AX167" s="16">
        <f>IF(AND(F167&gt;=N167,F167&lt;=O167),1,0)</f>
        <v>1</v>
      </c>
    </row>
    <row r="168" spans="1:50">
      <c r="A168" s="21">
        <f>Oranlar!A168</f>
        <v>46106</v>
      </c>
      <c r="B168" s="22" t="str">
        <f>Oranlar!C168&amp;" @ "&amp;Oranlar!D168</f>
        <v>DAL @ DEN</v>
      </c>
      <c r="C168" s="23">
        <f>Oranlar!F168</f>
        <v>142</v>
      </c>
      <c r="D168" s="23">
        <f>Oranlar!E168</f>
        <v>135</v>
      </c>
      <c r="E168" s="15">
        <f>C168-D168</f>
        <v>7</v>
      </c>
      <c r="F168" s="16">
        <f>C168+D168</f>
        <v>277</v>
      </c>
      <c r="G168" s="24">
        <v>0.823</v>
      </c>
      <c r="H168" s="10">
        <v>12.43</v>
      </c>
      <c r="I168" s="10">
        <v>9.4</v>
      </c>
      <c r="J168" s="10">
        <v>-9</v>
      </c>
      <c r="K168" s="10">
        <v>29</v>
      </c>
      <c r="L168" s="11">
        <v>238.79</v>
      </c>
      <c r="M168" s="11">
        <v>239.4</v>
      </c>
      <c r="N168" s="11">
        <v>211</v>
      </c>
      <c r="O168" s="11">
        <v>267</v>
      </c>
      <c r="P168" s="11">
        <v>123.44</v>
      </c>
      <c r="Q168" s="11">
        <v>115.14</v>
      </c>
      <c r="R168" s="25">
        <f>Oranlar!Y168</f>
        <v>0.8316498316498315</v>
      </c>
      <c r="S168" s="26">
        <f>-Oranlar!O168</f>
        <v>10.5</v>
      </c>
      <c r="T168" s="26">
        <f>-Oranlar!I168</f>
        <v>13.5</v>
      </c>
      <c r="U168" s="27">
        <f>Oranlar!V168</f>
        <v>246.5</v>
      </c>
      <c r="V168" s="27">
        <f>Oranlar!L168</f>
        <v>244.5</v>
      </c>
      <c r="W168" s="28">
        <f>(U168+S168)/2</f>
        <v>128.5</v>
      </c>
      <c r="X168" s="28">
        <f>(U168-S168)/2</f>
        <v>118.0</v>
      </c>
      <c r="Y168" s="16">
        <f>IF(G168=0.5,"",IF((G168&gt;0.5)=(E168&gt;0),1,0))</f>
        <v>1</v>
      </c>
      <c r="Z168" s="16">
        <f>IF(R168=0.5,"",IF((R168&gt;0.5)=(E168&gt;0),1,0))</f>
        <v>1</v>
      </c>
      <c r="AA168" s="29">
        <f>(G168-IF(E168&gt;0,1,0))^2</f>
        <v>0.03132900000000002</v>
      </c>
      <c r="AB168" s="29">
        <f>(R168-IF(E168&gt;0,1,0))^2</f>
        <v>0.028341779183530067</v>
      </c>
      <c r="AC168" s="28">
        <f>ABS(H168-E168)</f>
        <v>5.43</v>
      </c>
      <c r="AD168" s="28">
        <f>ABS(I168-E168)</f>
        <v>2.4000000000000004</v>
      </c>
      <c r="AE168" s="28">
        <f>ABS(S168-E168)</f>
        <v>3.5</v>
      </c>
      <c r="AF168" s="28">
        <f>ABS(L168-F168)</f>
        <v>38.21000000000001</v>
      </c>
      <c r="AG168" s="28">
        <f>ABS(M168-F168)</f>
        <v>37.599999999999994</v>
      </c>
      <c r="AH168" s="28">
        <f>ABS(U168-F168)</f>
        <v>30.5</v>
      </c>
      <c r="AI168" s="28">
        <f>ABS(P168-C168)</f>
        <v>18.560000000000002</v>
      </c>
      <c r="AJ168" s="28">
        <f>ABS(W168-C168)</f>
        <v>13.5</v>
      </c>
      <c r="AK168" s="28">
        <f>ABS(Q168-D168)</f>
        <v>19.86</v>
      </c>
      <c r="AL168" s="28">
        <f>ABS(X168-D168)</f>
        <v>17.0</v>
      </c>
      <c r="AM168" s="17" t="str">
        <f>IF(H168&gt;S168,"Ev",IF(H168&lt;S168,"Dep",""))</f>
        <v>Ev</v>
      </c>
      <c r="AN168" s="17" t="str">
        <f>IF(AM168="","",IF(E168=S168,"Push",IF((E168&gt;S168)=(AM168="Ev"),"Kazandı","Kaybetti")))</f>
        <v>Kaybetti</v>
      </c>
      <c r="AO168" s="30">
        <f>IF(AM168="","",IF(AN168="Push",0,IF(AN168="Kazandı",IF(AM168="Ev",Oranlar!P168,Oranlar!Q168)-1,-1)))</f>
        <v>-1.0</v>
      </c>
      <c r="AP168" s="17" t="str">
        <f>IF(L168&gt;U168,"Üst",IF(L168&lt;U168,"Alt",""))</f>
        <v>Alt</v>
      </c>
      <c r="AQ168" s="17" t="str">
        <f>IF(AP168="","",IF(F168=U168,"Push",IF((F168&gt;U168)=(AP168="Üst"),"Kazandı","Kaybetti")))</f>
        <v>Kaybetti</v>
      </c>
      <c r="AR168" s="30">
        <f>IF(AP168="","",IF(AQ168="Push",0,IF(AQ168="Kazandı",IF(AP168="Üst",Oranlar!W168,Oranlar!X168)-1,-1)))</f>
        <v>-1.0</v>
      </c>
      <c r="AS168" s="17" t="str">
        <f>IF(G168*Oranlar!R168&gt;1,"Ev",IF((1-G168)*Oranlar!S168&gt;1,"Dep",""))</f>
        <v>Dep</v>
      </c>
      <c r="AT168" s="30">
        <f>IF(AS168="","",IF((AS168="Ev")=(E168&gt;0),IF(AS168="Ev",Oranlar!R168,Oranlar!S168)-1,-1))</f>
        <v>-1.0</v>
      </c>
      <c r="AU168" s="16">
        <f>IF(OR(H168=T168,S168=T168),"",IF((H168&gt;T168)=(S168&gt;T168),1,0))</f>
        <v>1</v>
      </c>
      <c r="AV168" s="16">
        <f>IF(OR(L168=V168,U168=V168),"",IF((L168&gt;V168)=(U168&gt;V168),1,0))</f>
        <v>0</v>
      </c>
      <c r="AW168" s="16">
        <f>IF(AND(E168&gt;=J168,E168&lt;=K168),1,0)</f>
        <v>1</v>
      </c>
      <c r="AX168" s="16">
        <f>IF(AND(F168&gt;=N168,F168&lt;=O168),1,0)</f>
        <v>0</v>
      </c>
    </row>
    <row r="169" spans="1:50">
      <c r="A169" s="21">
        <f>Oranlar!A169</f>
        <v>46106</v>
      </c>
      <c r="B169" s="22" t="str">
        <f>Oranlar!C169&amp;" @ "&amp;Oranlar!D169</f>
        <v>BKN @ GSW</v>
      </c>
      <c r="C169" s="23">
        <f>Oranlar!F169</f>
        <v>109</v>
      </c>
      <c r="D169" s="23">
        <f>Oranlar!E169</f>
        <v>106</v>
      </c>
      <c r="E169" s="15">
        <f>C169-D169</f>
        <v>3</v>
      </c>
      <c r="F169" s="16">
        <f>C169+D169</f>
        <v>215</v>
      </c>
      <c r="G169" s="24">
        <v>0.748</v>
      </c>
      <c r="H169" s="10">
        <v>8.83</v>
      </c>
      <c r="I169" s="10">
        <v>5.3</v>
      </c>
      <c r="J169" s="10">
        <v>-13</v>
      </c>
      <c r="K169" s="10">
        <v>24</v>
      </c>
      <c r="L169" s="11">
        <v>220.73</v>
      </c>
      <c r="M169" s="11">
        <v>222.8</v>
      </c>
      <c r="N169" s="11">
        <v>196</v>
      </c>
      <c r="O169" s="11">
        <v>249</v>
      </c>
      <c r="P169" s="11">
        <v>114.47</v>
      </c>
      <c r="Q169" s="11">
        <v>104.28</v>
      </c>
      <c r="R169" s="25">
        <f>Oranlar!Y169</f>
        <v>0.827123695976155</v>
      </c>
      <c r="S169" s="26">
        <f>-Oranlar!O169</f>
        <v>12.5</v>
      </c>
      <c r="T169" s="26">
        <f>-Oranlar!I169</f>
        <v>10.5</v>
      </c>
      <c r="U169" s="27">
        <f>Oranlar!V169</f>
        <v>217.5</v>
      </c>
      <c r="V169" s="27">
        <f>Oranlar!L169</f>
        <v>218.5</v>
      </c>
      <c r="W169" s="28">
        <f>(U169+S169)/2</f>
        <v>115.0</v>
      </c>
      <c r="X169" s="28">
        <f>(U169-S169)/2</f>
        <v>102.5</v>
      </c>
      <c r="Y169" s="16">
        <f>IF(G169=0.5,"",IF((G169&gt;0.5)=(E169&gt;0),1,0))</f>
        <v>1</v>
      </c>
      <c r="Z169" s="16">
        <f>IF(R169=0.5,"",IF((R169&gt;0.5)=(E169&gt;0),1,0))</f>
        <v>1</v>
      </c>
      <c r="AA169" s="29">
        <f>(G169-IF(E169&gt;0,1,0))^2</f>
        <v>0.063504</v>
      </c>
      <c r="AB169" s="29">
        <f>(R169-IF(E169&gt;0,1,0))^2</f>
        <v>0.029886216492944893</v>
      </c>
      <c r="AC169" s="28">
        <f>ABS(H169-E169)</f>
        <v>5.83</v>
      </c>
      <c r="AD169" s="28">
        <f>ABS(I169-E169)</f>
        <v>2.3</v>
      </c>
      <c r="AE169" s="28">
        <f>ABS(S169-E169)</f>
        <v>9.5</v>
      </c>
      <c r="AF169" s="28">
        <f>ABS(L169-F169)</f>
        <v>5.72999999999999</v>
      </c>
      <c r="AG169" s="28">
        <f>ABS(M169-F169)</f>
        <v>7.800000000000011</v>
      </c>
      <c r="AH169" s="28">
        <f>ABS(U169-F169)</f>
        <v>2.5</v>
      </c>
      <c r="AI169" s="28">
        <f>ABS(P169-C169)</f>
        <v>5.469999999999999</v>
      </c>
      <c r="AJ169" s="28">
        <f>ABS(W169-C169)</f>
        <v>6.0</v>
      </c>
      <c r="AK169" s="28">
        <f>ABS(Q169-D169)</f>
        <v>1.7199999999999989</v>
      </c>
      <c r="AL169" s="28">
        <f>ABS(X169-D169)</f>
        <v>3.5</v>
      </c>
      <c r="AM169" s="17" t="str">
        <f>IF(H169&gt;S169,"Ev",IF(H169&lt;S169,"Dep",""))</f>
        <v>Dep</v>
      </c>
      <c r="AN169" s="17" t="str">
        <f>IF(AM169="","",IF(E169=S169,"Push",IF((E169&gt;S169)=(AM169="Ev"),"Kazandı","Kaybetti")))</f>
        <v>Kazandı</v>
      </c>
      <c r="AO169" s="30">
        <f>IF(AM169="","",IF(AN169="Push",0,IF(AN169="Kazandı",IF(AM169="Ev",Oranlar!P169,Oranlar!Q169)-1,-1)))</f>
        <v>0.8928571428571428</v>
      </c>
      <c r="AP169" s="17" t="str">
        <f>IF(L169&gt;U169,"Üst",IF(L169&lt;U169,"Alt",""))</f>
        <v>Üst</v>
      </c>
      <c r="AQ169" s="17" t="str">
        <f>IF(AP169="","",IF(F169=U169,"Push",IF((F169&gt;U169)=(AP169="Üst"),"Kazandı","Kaybetti")))</f>
        <v>Kaybetti</v>
      </c>
      <c r="AR169" s="30">
        <f>IF(AP169="","",IF(AQ169="Push",0,IF(AQ169="Kazandı",IF(AP169="Üst",Oranlar!W169,Oranlar!X169)-1,-1)))</f>
        <v>-1.0</v>
      </c>
      <c r="AS169" s="17" t="str">
        <f>IF(G169*Oranlar!R169&gt;1,"Ev",IF((1-G169)*Oranlar!S169&gt;1,"Dep",""))</f>
        <v>Dep</v>
      </c>
      <c r="AT169" s="30">
        <f>IF(AS169="","",IF((AS169="Ev")=(E169&gt;0),IF(AS169="Ev",Oranlar!R169,Oranlar!S169)-1,-1))</f>
        <v>-1.0</v>
      </c>
      <c r="AU169" s="16">
        <f>IF(OR(H169=T169,S169=T169),"",IF((H169&gt;T169)=(S169&gt;T169),1,0))</f>
        <v>0</v>
      </c>
      <c r="AV169" s="16">
        <f>IF(OR(L169=V169,U169=V169),"",IF((L169&gt;V169)=(U169&gt;V169),1,0))</f>
        <v>0</v>
      </c>
      <c r="AW169" s="16">
        <f>IF(AND(E169&gt;=J169,E169&lt;=K169),1,0)</f>
        <v>1</v>
      </c>
      <c r="AX169" s="16">
        <f>IF(AND(F169&gt;=N169,F169&lt;=O169),1,0)</f>
        <v>1</v>
      </c>
    </row>
    <row r="170" spans="1:50">
      <c r="A170" s="21">
        <f>Oranlar!A170</f>
        <v>46106</v>
      </c>
      <c r="B170" s="22" t="str">
        <f>Oranlar!C170&amp;" @ "&amp;Oranlar!D170</f>
        <v>MIL @ POR</v>
      </c>
      <c r="C170" s="23">
        <f>Oranlar!F170</f>
        <v>130</v>
      </c>
      <c r="D170" s="23">
        <f>Oranlar!E170</f>
        <v>99</v>
      </c>
      <c r="E170" s="15">
        <f>C170-D170</f>
        <v>31</v>
      </c>
      <c r="F170" s="16">
        <f>C170+D170</f>
        <v>229</v>
      </c>
      <c r="G170" s="24">
        <v>0.8090000000000001</v>
      </c>
      <c r="H170" s="10">
        <v>15.27</v>
      </c>
      <c r="I170" s="10">
        <v>13.6</v>
      </c>
      <c r="J170" s="10">
        <v>-5</v>
      </c>
      <c r="K170" s="10">
        <v>32</v>
      </c>
      <c r="L170" s="11">
        <v>228.88</v>
      </c>
      <c r="M170" s="11">
        <v>232.4</v>
      </c>
      <c r="N170" s="11">
        <v>205</v>
      </c>
      <c r="O170" s="11">
        <v>260</v>
      </c>
      <c r="P170" s="11">
        <v>122.76</v>
      </c>
      <c r="Q170" s="11">
        <v>105.57</v>
      </c>
      <c r="R170" s="25">
        <f>Oranlar!Y170</f>
        <v>0.8761776581426649</v>
      </c>
      <c r="S170" s="26">
        <f>-Oranlar!O170</f>
        <v>15.5</v>
      </c>
      <c r="T170" s="26">
        <f>-Oranlar!I170</f>
        <v>12.5</v>
      </c>
      <c r="U170" s="27">
        <f>Oranlar!V170</f>
        <v>226.5</v>
      </c>
      <c r="V170" s="27">
        <f>Oranlar!L170</f>
        <v>225.5</v>
      </c>
      <c r="W170" s="28">
        <f>(U170+S170)/2</f>
        <v>121.0</v>
      </c>
      <c r="X170" s="28">
        <f>(U170-S170)/2</f>
        <v>105.5</v>
      </c>
      <c r="Y170" s="16">
        <f>IF(G170=0.5,"",IF((G170&gt;0.5)=(E170&gt;0),1,0))</f>
        <v>1</v>
      </c>
      <c r="Z170" s="16">
        <f>IF(R170=0.5,"",IF((R170&gt;0.5)=(E170&gt;0),1,0))</f>
        <v>1</v>
      </c>
      <c r="AA170" s="29">
        <f>(G170-IF(E170&gt;0,1,0))^2</f>
        <v>0.03648099999999998</v>
      </c>
      <c r="AB170" s="29">
        <f>(R170-IF(E170&gt;0,1,0))^2</f>
        <v>0.015331972343034758</v>
      </c>
      <c r="AC170" s="28">
        <f>ABS(H170-E170)</f>
        <v>15.73</v>
      </c>
      <c r="AD170" s="28">
        <f>ABS(I170-E170)</f>
        <v>17.4</v>
      </c>
      <c r="AE170" s="28">
        <f>ABS(S170-E170)</f>
        <v>15.5</v>
      </c>
      <c r="AF170" s="28">
        <f>ABS(L170-F170)</f>
        <v>0.12000000000000455</v>
      </c>
      <c r="AG170" s="28">
        <f>ABS(M170-F170)</f>
        <v>3.4000000000000057</v>
      </c>
      <c r="AH170" s="28">
        <f>ABS(U170-F170)</f>
        <v>2.5</v>
      </c>
      <c r="AI170" s="28">
        <f>ABS(P170-C170)</f>
        <v>7.239999999999995</v>
      </c>
      <c r="AJ170" s="28">
        <f>ABS(W170-C170)</f>
        <v>9.0</v>
      </c>
      <c r="AK170" s="28">
        <f>ABS(Q170-D170)</f>
        <v>6.569999999999993</v>
      </c>
      <c r="AL170" s="28">
        <f>ABS(X170-D170)</f>
        <v>6.5</v>
      </c>
      <c r="AM170" s="17" t="str">
        <f>IF(H170&gt;S170,"Ev",IF(H170&lt;S170,"Dep",""))</f>
        <v>Dep</v>
      </c>
      <c r="AN170" s="17" t="str">
        <f>IF(AM170="","",IF(E170=S170,"Push",IF((E170&gt;S170)=(AM170="Ev"),"Kazandı","Kaybetti")))</f>
        <v>Kaybetti</v>
      </c>
      <c r="AO170" s="30">
        <f>IF(AM170="","",IF(AN170="Push",0,IF(AN170="Kazandı",IF(AM170="Ev",Oranlar!P170,Oranlar!Q170)-1,-1)))</f>
        <v>-1.0</v>
      </c>
      <c r="AP170" s="17" t="str">
        <f>IF(L170&gt;U170,"Üst",IF(L170&lt;U170,"Alt",""))</f>
        <v>Üst</v>
      </c>
      <c r="AQ170" s="17" t="str">
        <f>IF(AP170="","",IF(F170=U170,"Push",IF((F170&gt;U170)=(AP170="Üst"),"Kazandı","Kaybetti")))</f>
        <v>Kazandı</v>
      </c>
      <c r="AR170" s="30">
        <f>IF(AP170="","",IF(AQ170="Push",0,IF(AQ170="Kazandı",IF(AP170="Üst",Oranlar!W170,Oranlar!X170)-1,-1)))</f>
        <v>0.9090909090909092</v>
      </c>
      <c r="AS170" s="17" t="str">
        <f>IF(G170*Oranlar!R170&gt;1,"Ev",IF((1-G170)*Oranlar!S170&gt;1,"Dep",""))</f>
        <v>Dep</v>
      </c>
      <c r="AT170" s="30">
        <f>IF(AS170="","",IF((AS170="Ev")=(E170&gt;0),IF(AS170="Ev",Oranlar!R170,Oranlar!S170)-1,-1))</f>
        <v>-1.0</v>
      </c>
      <c r="AU170" s="16">
        <f>IF(OR(H170=T170,S170=T170),"",IF((H170&gt;T170)=(S170&gt;T170),1,0))</f>
        <v>1</v>
      </c>
      <c r="AV170" s="16">
        <f>IF(OR(L170=V170,U170=V170),"",IF((L170&gt;V170)=(U170&gt;V170),1,0))</f>
        <v>1</v>
      </c>
      <c r="AW170" s="16">
        <f>IF(AND(E170&gt;=J170,E170&lt;=K170),1,0)</f>
        <v>1</v>
      </c>
      <c r="AX170" s="16">
        <f>IF(AND(F170&gt;=N170,F170&lt;=O170),1,0)</f>
        <v>1</v>
      </c>
    </row>
    <row r="171" spans="1:50">
      <c r="A171" s="21">
        <f>Oranlar!A171</f>
        <v>46106</v>
      </c>
      <c r="B171" s="22" t="str">
        <f>Oranlar!C171&amp;" @ "&amp;Oranlar!D171</f>
        <v>TOR @ LAC</v>
      </c>
      <c r="C171" s="23">
        <f>Oranlar!F171</f>
        <v>119</v>
      </c>
      <c r="D171" s="23">
        <f>Oranlar!E171</f>
        <v>94</v>
      </c>
      <c r="E171" s="15">
        <f>C171-D171</f>
        <v>25</v>
      </c>
      <c r="F171" s="16">
        <f>C171+D171</f>
        <v>213</v>
      </c>
      <c r="G171" s="24">
        <v>0.649</v>
      </c>
      <c r="H171" s="10">
        <v>5.93</v>
      </c>
      <c r="I171" s="10">
        <v>0.1</v>
      </c>
      <c r="J171" s="10">
        <v>-18</v>
      </c>
      <c r="K171" s="10">
        <v>19</v>
      </c>
      <c r="L171" s="11">
        <v>228.33</v>
      </c>
      <c r="M171" s="11">
        <v>230.3</v>
      </c>
      <c r="N171" s="11">
        <v>203</v>
      </c>
      <c r="O171" s="11">
        <v>258</v>
      </c>
      <c r="P171" s="11">
        <v>117.43</v>
      </c>
      <c r="Q171" s="11">
        <v>112.76</v>
      </c>
      <c r="R171" s="25">
        <f>Oranlar!Y171</f>
        <v>0.6164383561643836</v>
      </c>
      <c r="S171" s="26">
        <f>-Oranlar!O171</f>
        <v>3.5</v>
      </c>
      <c r="T171" s="26">
        <f>-Oranlar!I171</f>
        <v>3.5</v>
      </c>
      <c r="U171" s="27">
        <f>Oranlar!V171</f>
        <v>226.5</v>
      </c>
      <c r="V171" s="27">
        <f>Oranlar!L171</f>
        <v>224.5</v>
      </c>
      <c r="W171" s="28">
        <f>(U171+S171)/2</f>
        <v>115.0</v>
      </c>
      <c r="X171" s="28">
        <f>(U171-S171)/2</f>
        <v>111.5</v>
      </c>
      <c r="Y171" s="16">
        <f>IF(G171=0.5,"",IF((G171&gt;0.5)=(E171&gt;0),1,0))</f>
        <v>1</v>
      </c>
      <c r="Z171" s="16">
        <f>IF(R171=0.5,"",IF((R171&gt;0.5)=(E171&gt;0),1,0))</f>
        <v>1</v>
      </c>
      <c r="AA171" s="29">
        <f>(G171-IF(E171&gt;0,1,0))^2</f>
        <v>0.12320099999999999</v>
      </c>
      <c r="AB171" s="29">
        <f>(R171-IF(E171&gt;0,1,0))^2</f>
        <v>0.14711953462188027</v>
      </c>
      <c r="AC171" s="28">
        <f>ABS(H171-E171)</f>
        <v>19.07</v>
      </c>
      <c r="AD171" s="28">
        <f>ABS(I171-E171)</f>
        <v>24.9</v>
      </c>
      <c r="AE171" s="28">
        <f>ABS(S171-E171)</f>
        <v>21.5</v>
      </c>
      <c r="AF171" s="28">
        <f>ABS(L171-F171)</f>
        <v>15.330000000000013</v>
      </c>
      <c r="AG171" s="28">
        <f>ABS(M171-F171)</f>
        <v>17.30000000000001</v>
      </c>
      <c r="AH171" s="28">
        <f>ABS(U171-F171)</f>
        <v>13.5</v>
      </c>
      <c r="AI171" s="28">
        <f>ABS(P171-C171)</f>
        <v>1.5699999999999932</v>
      </c>
      <c r="AJ171" s="28">
        <f>ABS(W171-C171)</f>
        <v>4.0</v>
      </c>
      <c r="AK171" s="28">
        <f>ABS(Q171-D171)</f>
        <v>18.760000000000005</v>
      </c>
      <c r="AL171" s="28">
        <f>ABS(X171-D171)</f>
        <v>17.5</v>
      </c>
      <c r="AM171" s="17" t="str">
        <f>IF(H171&gt;S171,"Ev",IF(H171&lt;S171,"Dep",""))</f>
        <v>Ev</v>
      </c>
      <c r="AN171" s="17" t="str">
        <f>IF(AM171="","",IF(E171=S171,"Push",IF((E171&gt;S171)=(AM171="Ev"),"Kazandı","Kaybetti")))</f>
        <v>Kazandı</v>
      </c>
      <c r="AO171" s="30">
        <f>IF(AM171="","",IF(AN171="Push",0,IF(AN171="Kazandı",IF(AM171="Ev",Oranlar!P171,Oranlar!Q171)-1,-1)))</f>
        <v>0.847457627118644</v>
      </c>
      <c r="AP171" s="17" t="str">
        <f>IF(L171&gt;U171,"Üst",IF(L171&lt;U171,"Alt",""))</f>
        <v>Üst</v>
      </c>
      <c r="AQ171" s="17" t="str">
        <f>IF(AP171="","",IF(F171=U171,"Push",IF((F171&gt;U171)=(AP171="Üst"),"Kazandı","Kaybetti")))</f>
        <v>Kaybetti</v>
      </c>
      <c r="AR171" s="30">
        <f>IF(AP171="","",IF(AQ171="Push",0,IF(AQ171="Kazandı",IF(AP171="Üst",Oranlar!W171,Oranlar!X171)-1,-1)))</f>
        <v>-1.0</v>
      </c>
      <c r="AS171" s="17" t="str">
        <f>IF(G171*Oranlar!R171&gt;1,"Ev",IF((1-G171)*Oranlar!S171&gt;1,"Dep",""))</f>
        <v>Ev</v>
      </c>
      <c r="AT171" s="30">
        <f>IF(AS171="","",IF((AS171="Ev")=(E171&gt;0),IF(AS171="Ev",Oranlar!R171,Oranlar!S171)-1,-1))</f>
        <v>0.5555555555555556</v>
      </c>
      <c r="AU171" s="16">
        <f>IF(OR(H171=T171,S171=T171),"",IF((H171&gt;T171)=(S171&gt;T171),1,0))</f>
        <v/>
      </c>
      <c r="AV171" s="16">
        <f>IF(OR(L171=V171,U171=V171),"",IF((L171&gt;V171)=(U171&gt;V171),1,0))</f>
        <v>1</v>
      </c>
      <c r="AW171" s="16">
        <f>IF(AND(E171&gt;=J171,E171&lt;=K171),1,0)</f>
        <v>0</v>
      </c>
      <c r="AX171" s="16">
        <f>IF(AND(F171&gt;=N171,F171&lt;=O171),1,0)</f>
        <v>1</v>
      </c>
    </row>
    <row r="172" spans="1:50">
      <c r="A172" s="21">
        <f>Oranlar!A172</f>
        <v>46107</v>
      </c>
      <c r="B172" s="22" t="str">
        <f>Oranlar!C172&amp;" @ "&amp;Oranlar!D172</f>
        <v>NYK @ CHA</v>
      </c>
      <c r="C172" s="23">
        <f>Oranlar!F172</f>
        <v>114</v>
      </c>
      <c r="D172" s="23">
        <f>Oranlar!E172</f>
        <v>103</v>
      </c>
      <c r="E172" s="15">
        <f>C172-D172</f>
        <v>11</v>
      </c>
      <c r="F172" s="16">
        <f>C172+D172</f>
        <v>217</v>
      </c>
      <c r="G172" s="24">
        <v>0.505</v>
      </c>
      <c r="H172" s="10">
        <v>0.16</v>
      </c>
      <c r="I172" s="10">
        <v>1.2</v>
      </c>
      <c r="J172" s="10">
        <v>-17</v>
      </c>
      <c r="K172" s="10">
        <v>20</v>
      </c>
      <c r="L172" s="11">
        <v>225.41</v>
      </c>
      <c r="M172" s="11">
        <v>228</v>
      </c>
      <c r="N172" s="11">
        <v>201</v>
      </c>
      <c r="O172" s="11">
        <v>255</v>
      </c>
      <c r="P172" s="11">
        <v>113.62</v>
      </c>
      <c r="Q172" s="11">
        <v>112.95</v>
      </c>
      <c r="R172" s="25">
        <f>Oranlar!Y172</f>
        <v>0.5427435387673957</v>
      </c>
      <c r="S172" s="26">
        <f>-Oranlar!O172</f>
        <v>2.5</v>
      </c>
      <c r="T172" s="26">
        <f>-Oranlar!I172</f>
        <v>-1.5</v>
      </c>
      <c r="U172" s="27">
        <f>Oranlar!V172</f>
        <v>224.5</v>
      </c>
      <c r="V172" s="27">
        <f>Oranlar!L172</f>
        <v>223.5</v>
      </c>
      <c r="W172" s="28">
        <f>(U172+S172)/2</f>
        <v>113.5</v>
      </c>
      <c r="X172" s="28">
        <f>(U172-S172)/2</f>
        <v>111.0</v>
      </c>
      <c r="Y172" s="16">
        <f>IF(G172=0.5,"",IF((G172&gt;0.5)=(E172&gt;0),1,0))</f>
        <v>1</v>
      </c>
      <c r="Z172" s="16">
        <f>IF(R172=0.5,"",IF((R172&gt;0.5)=(E172&gt;0),1,0))</f>
        <v>1</v>
      </c>
      <c r="AA172" s="29">
        <f>(G172-IF(E172&gt;0,1,0))^2</f>
        <v>0.245025</v>
      </c>
      <c r="AB172" s="29">
        <f>(R172-IF(E172&gt;0,1,0))^2</f>
        <v>0.20908347133896418</v>
      </c>
      <c r="AC172" s="28">
        <f>ABS(H172-E172)</f>
        <v>10.84</v>
      </c>
      <c r="AD172" s="28">
        <f>ABS(I172-E172)</f>
        <v>9.8</v>
      </c>
      <c r="AE172" s="28">
        <f>ABS(S172-E172)</f>
        <v>8.5</v>
      </c>
      <c r="AF172" s="28">
        <f>ABS(L172-F172)</f>
        <v>8.409999999999997</v>
      </c>
      <c r="AG172" s="28">
        <f>ABS(M172-F172)</f>
        <v>11.0</v>
      </c>
      <c r="AH172" s="28">
        <f>ABS(U172-F172)</f>
        <v>7.5</v>
      </c>
      <c r="AI172" s="28">
        <f>ABS(P172-C172)</f>
        <v>0.37999999999999545</v>
      </c>
      <c r="AJ172" s="28">
        <f>ABS(W172-C172)</f>
        <v>0.5</v>
      </c>
      <c r="AK172" s="28">
        <f>ABS(Q172-D172)</f>
        <v>9.950000000000003</v>
      </c>
      <c r="AL172" s="28">
        <f>ABS(X172-D172)</f>
        <v>8.0</v>
      </c>
      <c r="AM172" s="17" t="str">
        <f>IF(H172&gt;S172,"Ev",IF(H172&lt;S172,"Dep",""))</f>
        <v>Dep</v>
      </c>
      <c r="AN172" s="17" t="str">
        <f>IF(AM172="","",IF(E172=S172,"Push",IF((E172&gt;S172)=(AM172="Ev"),"Kazandı","Kaybetti")))</f>
        <v>Kaybetti</v>
      </c>
      <c r="AO172" s="30">
        <f>IF(AM172="","",IF(AN172="Push",0,IF(AN172="Kazandı",IF(AM172="Ev",Oranlar!P172,Oranlar!Q172)-1,-1)))</f>
        <v>-1.0</v>
      </c>
      <c r="AP172" s="17" t="str">
        <f>IF(L172&gt;U172,"Üst",IF(L172&lt;U172,"Alt",""))</f>
        <v>Üst</v>
      </c>
      <c r="AQ172" s="17" t="str">
        <f>IF(AP172="","",IF(F172=U172,"Push",IF((F172&gt;U172)=(AP172="Üst"),"Kazandı","Kaybetti")))</f>
        <v>Kaybetti</v>
      </c>
      <c r="AR172" s="30">
        <f>IF(AP172="","",IF(AQ172="Push",0,IF(AQ172="Kazandı",IF(AP172="Üst",Oranlar!W172,Oranlar!X172)-1,-1)))</f>
        <v>-1.0</v>
      </c>
      <c r="AS172" s="17" t="str">
        <f>IF(G172*Oranlar!R172&gt;1,"Ev",IF((1-G172)*Oranlar!S172&gt;1,"Dep",""))</f>
        <v>Dep</v>
      </c>
      <c r="AT172" s="30">
        <f>IF(AS172="","",IF((AS172="Ev")=(E172&gt;0),IF(AS172="Ev",Oranlar!R172,Oranlar!S172)-1,-1))</f>
        <v>-1.0</v>
      </c>
      <c r="AU172" s="16">
        <f>IF(OR(H172=T172,S172=T172),"",IF((H172&gt;T172)=(S172&gt;T172),1,0))</f>
        <v>1</v>
      </c>
      <c r="AV172" s="16">
        <f>IF(OR(L172=V172,U172=V172),"",IF((L172&gt;V172)=(U172&gt;V172),1,0))</f>
        <v>1</v>
      </c>
      <c r="AW172" s="16">
        <f>IF(AND(E172&gt;=J172,E172&lt;=K172),1,0)</f>
        <v>1</v>
      </c>
      <c r="AX172" s="16">
        <f>IF(AND(F172&gt;=N172,F172&lt;=O172),1,0)</f>
        <v>1</v>
      </c>
    </row>
    <row r="173" spans="1:50">
      <c r="A173" s="21">
        <f>Oranlar!A173</f>
        <v>46107</v>
      </c>
      <c r="B173" s="22" t="str">
        <f>Oranlar!C173&amp;" @ "&amp;Oranlar!D173</f>
        <v>NOP @ DET</v>
      </c>
      <c r="C173" s="23">
        <f>Oranlar!F173</f>
        <v>129</v>
      </c>
      <c r="D173" s="23">
        <f>Oranlar!E173</f>
        <v>108</v>
      </c>
      <c r="E173" s="15">
        <f>C173-D173</f>
        <v>21</v>
      </c>
      <c r="F173" s="16">
        <f>C173+D173</f>
        <v>237</v>
      </c>
      <c r="G173" s="24">
        <v>0.717</v>
      </c>
      <c r="H173" s="10">
        <v>12.36</v>
      </c>
      <c r="I173" s="10">
        <v>4.5</v>
      </c>
      <c r="J173" s="10">
        <v>-14</v>
      </c>
      <c r="K173" s="10">
        <v>23</v>
      </c>
      <c r="L173" s="11">
        <v>230.29</v>
      </c>
      <c r="M173" s="11">
        <v>230.8</v>
      </c>
      <c r="N173" s="11">
        <v>203</v>
      </c>
      <c r="O173" s="11">
        <v>258</v>
      </c>
      <c r="P173" s="11">
        <v>120.19</v>
      </c>
      <c r="Q173" s="11">
        <v>112.96</v>
      </c>
      <c r="R173" s="25">
        <f>Oranlar!Y173</f>
        <v>0.6636481241914618</v>
      </c>
      <c r="S173" s="26">
        <f>-Oranlar!O173</f>
        <v>4.5</v>
      </c>
      <c r="T173" s="26">
        <f>-Oranlar!I173</f>
        <v>5.5</v>
      </c>
      <c r="U173" s="27">
        <f>Oranlar!V173</f>
        <v>225.5</v>
      </c>
      <c r="V173" s="27">
        <f>Oranlar!L173</f>
        <v>225.5</v>
      </c>
      <c r="W173" s="28">
        <f>(U173+S173)/2</f>
        <v>115.0</v>
      </c>
      <c r="X173" s="28">
        <f>(U173-S173)/2</f>
        <v>110.5</v>
      </c>
      <c r="Y173" s="16">
        <f>IF(G173=0.5,"",IF((G173&gt;0.5)=(E173&gt;0),1,0))</f>
        <v>1</v>
      </c>
      <c r="Z173" s="16">
        <f>IF(R173=0.5,"",IF((R173&gt;0.5)=(E173&gt;0),1,0))</f>
        <v>1</v>
      </c>
      <c r="AA173" s="29">
        <f>(G173-IF(E173&gt;0,1,0))^2</f>
        <v>0.08008900000000002</v>
      </c>
      <c r="AB173" s="29">
        <f>(R173-IF(E173&gt;0,1,0))^2</f>
        <v>0.11313258435992231</v>
      </c>
      <c r="AC173" s="28">
        <f>ABS(H173-E173)</f>
        <v>8.64</v>
      </c>
      <c r="AD173" s="28">
        <f>ABS(I173-E173)</f>
        <v>16.5</v>
      </c>
      <c r="AE173" s="28">
        <f>ABS(S173-E173)</f>
        <v>16.5</v>
      </c>
      <c r="AF173" s="28">
        <f>ABS(L173-F173)</f>
        <v>6.710000000000008</v>
      </c>
      <c r="AG173" s="28">
        <f>ABS(M173-F173)</f>
        <v>6.199999999999989</v>
      </c>
      <c r="AH173" s="28">
        <f>ABS(U173-F173)</f>
        <v>11.5</v>
      </c>
      <c r="AI173" s="28">
        <f>ABS(P173-C173)</f>
        <v>8.810000000000002</v>
      </c>
      <c r="AJ173" s="28">
        <f>ABS(W173-C173)</f>
        <v>14.0</v>
      </c>
      <c r="AK173" s="28">
        <f>ABS(Q173-D173)</f>
        <v>4.959999999999994</v>
      </c>
      <c r="AL173" s="28">
        <f>ABS(X173-D173)</f>
        <v>2.5</v>
      </c>
      <c r="AM173" s="17" t="str">
        <f>IF(H173&gt;S173,"Ev",IF(H173&lt;S173,"Dep",""))</f>
        <v>Ev</v>
      </c>
      <c r="AN173" s="17" t="str">
        <f>IF(AM173="","",IF(E173=S173,"Push",IF((E173&gt;S173)=(AM173="Ev"),"Kazandı","Kaybetti")))</f>
        <v>Kazandı</v>
      </c>
      <c r="AO173" s="30">
        <f>IF(AM173="","",IF(AN173="Push",0,IF(AN173="Kazandı",IF(AM173="Ev",Oranlar!P173,Oranlar!Q173)-1,-1)))</f>
        <v>0.8695652173913042</v>
      </c>
      <c r="AP173" s="17" t="str">
        <f>IF(L173&gt;U173,"Üst",IF(L173&lt;U173,"Alt",""))</f>
        <v>Üst</v>
      </c>
      <c r="AQ173" s="17" t="str">
        <f>IF(AP173="","",IF(F173=U173,"Push",IF((F173&gt;U173)=(AP173="Üst"),"Kazandı","Kaybetti")))</f>
        <v>Kazandı</v>
      </c>
      <c r="AR173" s="30">
        <f>IF(AP173="","",IF(AQ173="Push",0,IF(AQ173="Kazandı",IF(AP173="Üst",Oranlar!W173,Oranlar!X173)-1,-1)))</f>
        <v>0.8695652173913042</v>
      </c>
      <c r="AS173" s="17" t="str">
        <f>IF(G173*Oranlar!R173&gt;1,"Ev",IF((1-G173)*Oranlar!S173&gt;1,"Dep",""))</f>
        <v>Ev</v>
      </c>
      <c r="AT173" s="30">
        <f>IF(AS173="","",IF((AS173="Ev")=(E173&gt;0),IF(AS173="Ev",Oranlar!R173,Oranlar!S173)-1,-1))</f>
        <v>0.4444444444444444</v>
      </c>
      <c r="AU173" s="16">
        <f>IF(OR(H173=T173,S173=T173),"",IF((H173&gt;T173)=(S173&gt;T173),1,0))</f>
        <v>0</v>
      </c>
      <c r="AV173" s="16">
        <f>IF(OR(L173=V173,U173=V173),"",IF((L173&gt;V173)=(U173&gt;V173),1,0))</f>
        <v/>
      </c>
      <c r="AW173" s="16">
        <f>IF(AND(E173&gt;=J173,E173&lt;=K173),1,0)</f>
        <v>1</v>
      </c>
      <c r="AX173" s="16">
        <f>IF(AND(F173&gt;=N173,F173&lt;=O173),1,0)</f>
        <v>1</v>
      </c>
    </row>
    <row r="174" spans="1:50">
      <c r="A174" s="21">
        <f>Oranlar!A174</f>
        <v>46107</v>
      </c>
      <c r="B174" s="22" t="str">
        <f>Oranlar!C174&amp;" @ "&amp;Oranlar!D174</f>
        <v>SAC @ ORL</v>
      </c>
      <c r="C174" s="23">
        <f>Oranlar!F174</f>
        <v>121</v>
      </c>
      <c r="D174" s="23">
        <f>Oranlar!E174</f>
        <v>117</v>
      </c>
      <c r="E174" s="15">
        <f>C174-D174</f>
        <v>4</v>
      </c>
      <c r="F174" s="16">
        <f>C174+D174</f>
        <v>238</v>
      </c>
      <c r="G174" s="24">
        <v>0.7</v>
      </c>
      <c r="H174" s="10">
        <v>6.49</v>
      </c>
      <c r="I174" s="10">
        <v>6.5</v>
      </c>
      <c r="J174" s="10">
        <v>-12</v>
      </c>
      <c r="K174" s="10">
        <v>26</v>
      </c>
      <c r="L174" s="11">
        <v>234.05</v>
      </c>
      <c r="M174" s="11">
        <v>238.7</v>
      </c>
      <c r="N174" s="11">
        <v>211</v>
      </c>
      <c r="O174" s="11">
        <v>267</v>
      </c>
      <c r="P174" s="11">
        <v>121.49</v>
      </c>
      <c r="Q174" s="11">
        <v>113.39</v>
      </c>
      <c r="R174" s="25">
        <f>Oranlar!Y174</f>
        <v>0.8933823529411764</v>
      </c>
      <c r="S174" s="26">
        <f>-Oranlar!O174</f>
        <v>15.5</v>
      </c>
      <c r="T174" s="26">
        <f>-Oranlar!I174</f>
        <v>15.5</v>
      </c>
      <c r="U174" s="27">
        <f>Oranlar!V174</f>
        <v>230.5</v>
      </c>
      <c r="V174" s="27">
        <f>Oranlar!L174</f>
        <v>228.5</v>
      </c>
      <c r="W174" s="28">
        <f>(U174+S174)/2</f>
        <v>123.0</v>
      </c>
      <c r="X174" s="28">
        <f>(U174-S174)/2</f>
        <v>107.5</v>
      </c>
      <c r="Y174" s="16">
        <f>IF(G174=0.5,"",IF((G174&gt;0.5)=(E174&gt;0),1,0))</f>
        <v>1</v>
      </c>
      <c r="Z174" s="16">
        <f>IF(R174=0.5,"",IF((R174&gt;0.5)=(E174&gt;0),1,0))</f>
        <v>1</v>
      </c>
      <c r="AA174" s="29">
        <f>(G174-IF(E174&gt;0,1,0))^2</f>
        <v>0.09000000000000002</v>
      </c>
      <c r="AB174" s="29">
        <f>(R174-IF(E174&gt;0,1,0))^2</f>
        <v>0.011367322664359875</v>
      </c>
      <c r="AC174" s="28">
        <f>ABS(H174-E174)</f>
        <v>2.49</v>
      </c>
      <c r="AD174" s="28">
        <f>ABS(I174-E174)</f>
        <v>2.5</v>
      </c>
      <c r="AE174" s="28">
        <f>ABS(S174-E174)</f>
        <v>11.5</v>
      </c>
      <c r="AF174" s="28">
        <f>ABS(L174-F174)</f>
        <v>3.9499999999999886</v>
      </c>
      <c r="AG174" s="28">
        <f>ABS(M174-F174)</f>
        <v>0.6999999999999886</v>
      </c>
      <c r="AH174" s="28">
        <f>ABS(U174-F174)</f>
        <v>7.5</v>
      </c>
      <c r="AI174" s="28">
        <f>ABS(P174-C174)</f>
        <v>0.4899999999999949</v>
      </c>
      <c r="AJ174" s="28">
        <f>ABS(W174-C174)</f>
        <v>2.0</v>
      </c>
      <c r="AK174" s="28">
        <f>ABS(Q174-D174)</f>
        <v>3.6099999999999994</v>
      </c>
      <c r="AL174" s="28">
        <f>ABS(X174-D174)</f>
        <v>9.5</v>
      </c>
      <c r="AM174" s="17" t="str">
        <f>IF(H174&gt;S174,"Ev",IF(H174&lt;S174,"Dep",""))</f>
        <v>Dep</v>
      </c>
      <c r="AN174" s="17" t="str">
        <f>IF(AM174="","",IF(E174=S174,"Push",IF((E174&gt;S174)=(AM174="Ev"),"Kazandı","Kaybetti")))</f>
        <v>Kazandı</v>
      </c>
      <c r="AO174" s="30">
        <f>IF(AM174="","",IF(AN174="Push",0,IF(AN174="Kazandı",IF(AM174="Ev",Oranlar!P174,Oranlar!Q174)-1,-1)))</f>
        <v>0.925925925925926</v>
      </c>
      <c r="AP174" s="17" t="str">
        <f>IF(L174&gt;U174,"Üst",IF(L174&lt;U174,"Alt",""))</f>
        <v>Üst</v>
      </c>
      <c r="AQ174" s="17" t="str">
        <f>IF(AP174="","",IF(F174=U174,"Push",IF((F174&gt;U174)=(AP174="Üst"),"Kazandı","Kaybetti")))</f>
        <v>Kazandı</v>
      </c>
      <c r="AR174" s="30">
        <f>IF(AP174="","",IF(AQ174="Push",0,IF(AQ174="Kazandı",IF(AP174="Üst",Oranlar!W174,Oranlar!X174)-1,-1)))</f>
        <v>0.8695652173913042</v>
      </c>
      <c r="AS174" s="17" t="str">
        <f>IF(G174*Oranlar!R174&gt;1,"Ev",IF((1-G174)*Oranlar!S174&gt;1,"Dep",""))</f>
        <v>Dep</v>
      </c>
      <c r="AT174" s="30">
        <f>IF(AS174="","",IF((AS174="Ev")=(E174&gt;0),IF(AS174="Ev",Oranlar!R174,Oranlar!S174)-1,-1))</f>
        <v>-1.0</v>
      </c>
      <c r="AU174" s="16">
        <f>IF(OR(H174=T174,S174=T174),"",IF((H174&gt;T174)=(S174&gt;T174),1,0))</f>
        <v/>
      </c>
      <c r="AV174" s="16">
        <f>IF(OR(L174=V174,U174=V174),"",IF((L174&gt;V174)=(U174&gt;V174),1,0))</f>
        <v>1</v>
      </c>
      <c r="AW174" s="16">
        <f>IF(AND(E174&gt;=J174,E174&lt;=K174),1,0)</f>
        <v>1</v>
      </c>
      <c r="AX174" s="16">
        <f>IF(AND(F174&gt;=N174,F174&lt;=O174),1,0)</f>
        <v>1</v>
      </c>
    </row>
    <row r="175" spans="1:50">
      <c r="A175" s="21">
        <f>Oranlar!A175</f>
        <v>46108</v>
      </c>
      <c r="B175" s="22" t="str">
        <f>Oranlar!C175&amp;" @ "&amp;Oranlar!D175</f>
        <v>LAC @ IND</v>
      </c>
      <c r="C175" s="23">
        <f>Oranlar!F175</f>
        <v>113</v>
      </c>
      <c r="D175" s="23">
        <f>Oranlar!E175</f>
        <v>114</v>
      </c>
      <c r="E175" s="15">
        <f>C175-D175</f>
        <v>-1</v>
      </c>
      <c r="F175" s="16">
        <f>C175+D175</f>
        <v>227</v>
      </c>
      <c r="G175" s="24">
        <v>0.295</v>
      </c>
      <c r="H175" s="10">
        <v>-8.470000000000001</v>
      </c>
      <c r="I175" s="10">
        <v>-14.3</v>
      </c>
      <c r="J175" s="10">
        <v>-33</v>
      </c>
      <c r="K175" s="10">
        <v>4</v>
      </c>
      <c r="L175" s="11">
        <v>232.25</v>
      </c>
      <c r="M175" s="11">
        <v>234.7</v>
      </c>
      <c r="N175" s="11">
        <v>207</v>
      </c>
      <c r="O175" s="11">
        <v>262</v>
      </c>
      <c r="P175" s="11">
        <v>112.53</v>
      </c>
      <c r="Q175" s="11">
        <v>121.35</v>
      </c>
      <c r="R175" s="25">
        <f>Oranlar!Y175</f>
        <v>0.24</v>
      </c>
      <c r="S175" s="26">
        <f>-Oranlar!O175</f>
        <v>-8.5</v>
      </c>
      <c r="T175" s="26">
        <f>-Oranlar!I175</f>
        <v>-9.5</v>
      </c>
      <c r="U175" s="27">
        <f>Oranlar!V175</f>
        <v>235.5</v>
      </c>
      <c r="V175" s="27">
        <f>Oranlar!L175</f>
        <v>235.5</v>
      </c>
      <c r="W175" s="28">
        <f>(U175+S175)/2</f>
        <v>113.5</v>
      </c>
      <c r="X175" s="28">
        <f>(U175-S175)/2</f>
        <v>122.0</v>
      </c>
      <c r="Y175" s="16">
        <f>IF(G175=0.5,"",IF((G175&gt;0.5)=(E175&gt;0),1,0))</f>
        <v>1</v>
      </c>
      <c r="Z175" s="16">
        <f>IF(R175=0.5,"",IF((R175&gt;0.5)=(E175&gt;0),1,0))</f>
        <v>1</v>
      </c>
      <c r="AA175" s="29">
        <f>(G175-IF(E175&gt;0,1,0))^2</f>
        <v>0.08702499999999999</v>
      </c>
      <c r="AB175" s="29">
        <f>(R175-IF(E175&gt;0,1,0))^2</f>
        <v>0.0576</v>
      </c>
      <c r="AC175" s="28">
        <f>ABS(H175-E175)</f>
        <v>7.470000000000001</v>
      </c>
      <c r="AD175" s="28">
        <f>ABS(I175-E175)</f>
        <v>13.3</v>
      </c>
      <c r="AE175" s="28">
        <f>ABS(S175-E175)</f>
        <v>7.5</v>
      </c>
      <c r="AF175" s="28">
        <f>ABS(L175-F175)</f>
        <v>5.25</v>
      </c>
      <c r="AG175" s="28">
        <f>ABS(M175-F175)</f>
        <v>7.699999999999989</v>
      </c>
      <c r="AH175" s="28">
        <f>ABS(U175-F175)</f>
        <v>8.5</v>
      </c>
      <c r="AI175" s="28">
        <f>ABS(P175-C175)</f>
        <v>0.46999999999999886</v>
      </c>
      <c r="AJ175" s="28">
        <f>ABS(W175-C175)</f>
        <v>0.5</v>
      </c>
      <c r="AK175" s="28">
        <f>ABS(Q175-D175)</f>
        <v>7.349999999999994</v>
      </c>
      <c r="AL175" s="28">
        <f>ABS(X175-D175)</f>
        <v>8.0</v>
      </c>
      <c r="AM175" s="17" t="str">
        <f>IF(H175&gt;S175,"Ev",IF(H175&lt;S175,"Dep",""))</f>
        <v>Ev</v>
      </c>
      <c r="AN175" s="17" t="str">
        <f>IF(AM175="","",IF(E175=S175,"Push",IF((E175&gt;S175)=(AM175="Ev"),"Kazandı","Kaybetti")))</f>
        <v>Kazandı</v>
      </c>
      <c r="AO175" s="30">
        <f>IF(AM175="","",IF(AN175="Push",0,IF(AN175="Kazandı",IF(AM175="Ev",Oranlar!P175,Oranlar!Q175)-1,-1)))</f>
        <v>0.9803921568627452</v>
      </c>
      <c r="AP175" s="17" t="str">
        <f>IF(L175&gt;U175,"Üst",IF(L175&lt;U175,"Alt",""))</f>
        <v>Alt</v>
      </c>
      <c r="AQ175" s="17" t="str">
        <f>IF(AP175="","",IF(F175=U175,"Push",IF((F175&gt;U175)=(AP175="Üst"),"Kazandı","Kaybetti")))</f>
        <v>Kazandı</v>
      </c>
      <c r="AR175" s="30">
        <f>IF(AP175="","",IF(AQ175="Push",0,IF(AQ175="Kazandı",IF(AP175="Üst",Oranlar!W175,Oranlar!X175)-1,-1)))</f>
        <v>0.9523809523809523</v>
      </c>
      <c r="AS175" s="17" t="str">
        <f>IF(G175*Oranlar!R175&gt;1,"Ev",IF((1-G175)*Oranlar!S175&gt;1,"Dep",""))</f>
        <v>Ev</v>
      </c>
      <c r="AT175" s="30">
        <f>IF(AS175="","",IF((AS175="Ev")=(E175&gt;0),IF(AS175="Ev",Oranlar!R175,Oranlar!S175)-1,-1))</f>
        <v>-1.0</v>
      </c>
      <c r="AU175" s="16">
        <f>IF(OR(H175=T175,S175=T175),"",IF((H175&gt;T175)=(S175&gt;T175),1,0))</f>
        <v>1</v>
      </c>
      <c r="AV175" s="16">
        <f>IF(OR(L175=V175,U175=V175),"",IF((L175&gt;V175)=(U175&gt;V175),1,0))</f>
        <v/>
      </c>
      <c r="AW175" s="16">
        <f>IF(AND(E175&gt;=J175,E175&lt;=K175),1,0)</f>
        <v>1</v>
      </c>
      <c r="AX175" s="16">
        <f>IF(AND(F175&gt;=N175,F175&lt;=O175),1,0)</f>
        <v>1</v>
      </c>
    </row>
    <row r="176" spans="1:50">
      <c r="A176" s="21">
        <f>Oranlar!A176</f>
        <v>46108</v>
      </c>
      <c r="B176" s="22" t="str">
        <f>Oranlar!C176&amp;" @ "&amp;Oranlar!D176</f>
        <v>ATL @ BOS</v>
      </c>
      <c r="C176" s="23">
        <f>Oranlar!F176</f>
        <v>109</v>
      </c>
      <c r="D176" s="23">
        <f>Oranlar!E176</f>
        <v>102</v>
      </c>
      <c r="E176" s="15">
        <f>C176-D176</f>
        <v>7</v>
      </c>
      <c r="F176" s="16">
        <f>C176+D176</f>
        <v>211</v>
      </c>
      <c r="G176" s="24">
        <v>0.601</v>
      </c>
      <c r="H176" s="10">
        <v>2.77</v>
      </c>
      <c r="I176" s="10">
        <v>6.4</v>
      </c>
      <c r="J176" s="10">
        <v>-12</v>
      </c>
      <c r="K176" s="10">
        <v>25</v>
      </c>
      <c r="L176" s="11">
        <v>232.27</v>
      </c>
      <c r="M176" s="11">
        <v>230.5</v>
      </c>
      <c r="N176" s="11">
        <v>203</v>
      </c>
      <c r="O176" s="11">
        <v>258</v>
      </c>
      <c r="P176" s="11">
        <v>117.46</v>
      </c>
      <c r="Q176" s="11">
        <v>115.41</v>
      </c>
      <c r="R176" s="25">
        <f>Oranlar!Y176</f>
        <v>0.6574752261956053</v>
      </c>
      <c r="S176" s="26">
        <f>-Oranlar!O176</f>
        <v>4.5</v>
      </c>
      <c r="T176" s="26">
        <f>-Oranlar!I176</f>
        <v>7.5</v>
      </c>
      <c r="U176" s="27">
        <f>Oranlar!V176</f>
        <v>223.5</v>
      </c>
      <c r="V176" s="27">
        <f>Oranlar!L176</f>
        <v>224.5</v>
      </c>
      <c r="W176" s="28">
        <f>(U176+S176)/2</f>
        <v>114.0</v>
      </c>
      <c r="X176" s="28">
        <f>(U176-S176)/2</f>
        <v>109.5</v>
      </c>
      <c r="Y176" s="16">
        <f>IF(G176=0.5,"",IF((G176&gt;0.5)=(E176&gt;0),1,0))</f>
        <v>1</v>
      </c>
      <c r="Z176" s="16">
        <f>IF(R176=0.5,"",IF((R176&gt;0.5)=(E176&gt;0),1,0))</f>
        <v>1</v>
      </c>
      <c r="AA176" s="29">
        <f>(G176-IF(E176&gt;0,1,0))^2</f>
        <v>0.159201</v>
      </c>
      <c r="AB176" s="29">
        <f>(R176-IF(E176&gt;0,1,0))^2</f>
        <v>0.11732322066975177</v>
      </c>
      <c r="AC176" s="28">
        <f>ABS(H176-E176)</f>
        <v>4.23</v>
      </c>
      <c r="AD176" s="28">
        <f>ABS(I176-E176)</f>
        <v>0.5999999999999996</v>
      </c>
      <c r="AE176" s="28">
        <f>ABS(S176-E176)</f>
        <v>2.5</v>
      </c>
      <c r="AF176" s="28">
        <f>ABS(L176-F176)</f>
        <v>21.27000000000001</v>
      </c>
      <c r="AG176" s="28">
        <f>ABS(M176-F176)</f>
        <v>19.5</v>
      </c>
      <c r="AH176" s="28">
        <f>ABS(U176-F176)</f>
        <v>12.5</v>
      </c>
      <c r="AI176" s="28">
        <f>ABS(P176-C176)</f>
        <v>8.459999999999994</v>
      </c>
      <c r="AJ176" s="28">
        <f>ABS(W176-C176)</f>
        <v>5.0</v>
      </c>
      <c r="AK176" s="28">
        <f>ABS(Q176-D176)</f>
        <v>13.409999999999997</v>
      </c>
      <c r="AL176" s="28">
        <f>ABS(X176-D176)</f>
        <v>7.5</v>
      </c>
      <c r="AM176" s="17" t="str">
        <f>IF(H176&gt;S176,"Ev",IF(H176&lt;S176,"Dep",""))</f>
        <v>Dep</v>
      </c>
      <c r="AN176" s="17" t="str">
        <f>IF(AM176="","",IF(E176=S176,"Push",IF((E176&gt;S176)=(AM176="Ev"),"Kazandı","Kaybetti")))</f>
        <v>Kaybetti</v>
      </c>
      <c r="AO176" s="30">
        <f>IF(AM176="","",IF(AN176="Push",0,IF(AN176="Kazandı",IF(AM176="Ev",Oranlar!P176,Oranlar!Q176)-1,-1)))</f>
        <v>-1.0</v>
      </c>
      <c r="AP176" s="17" t="str">
        <f>IF(L176&gt;U176,"Üst",IF(L176&lt;U176,"Alt",""))</f>
        <v>Üst</v>
      </c>
      <c r="AQ176" s="17" t="str">
        <f>IF(AP176="","",IF(F176=U176,"Push",IF((F176&gt;U176)=(AP176="Üst"),"Kazandı","Kaybetti")))</f>
        <v>Kaybetti</v>
      </c>
      <c r="AR176" s="30">
        <f>IF(AP176="","",IF(AQ176="Push",0,IF(AQ176="Kazandı",IF(AP176="Üst",Oranlar!W176,Oranlar!X176)-1,-1)))</f>
        <v>-1.0</v>
      </c>
      <c r="AS176" s="17" t="str">
        <f>IF(G176*Oranlar!R176&gt;1,"Ev",IF((1-G176)*Oranlar!S176&gt;1,"Dep",""))</f>
        <v>Dep</v>
      </c>
      <c r="AT176" s="30">
        <f>IF(AS176="","",IF((AS176="Ev")=(E176&gt;0),IF(AS176="Ev",Oranlar!R176,Oranlar!S176)-1,-1))</f>
        <v>-1.0</v>
      </c>
      <c r="AU176" s="16">
        <f>IF(OR(H176=T176,S176=T176),"",IF((H176&gt;T176)=(S176&gt;T176),1,0))</f>
        <v>1</v>
      </c>
      <c r="AV176" s="16">
        <f>IF(OR(L176=V176,U176=V176),"",IF((L176&gt;V176)=(U176&gt;V176),1,0))</f>
        <v>0</v>
      </c>
      <c r="AW176" s="16">
        <f>IF(AND(E176&gt;=J176,E176&lt;=K176),1,0)</f>
        <v>1</v>
      </c>
      <c r="AX176" s="16">
        <f>IF(AND(F176&gt;=N176,F176&lt;=O176),1,0)</f>
        <v>1</v>
      </c>
    </row>
    <row r="177" spans="1:50">
      <c r="A177" s="21">
        <f>Oranlar!A177</f>
        <v>46108</v>
      </c>
      <c r="B177" s="22" t="str">
        <f>Oranlar!C177&amp;" @ "&amp;Oranlar!D177</f>
        <v>MIA @ CLE</v>
      </c>
      <c r="C177" s="23">
        <f>Oranlar!F177</f>
        <v>149</v>
      </c>
      <c r="D177" s="23">
        <f>Oranlar!E177</f>
        <v>128</v>
      </c>
      <c r="E177" s="15">
        <f>C177-D177</f>
        <v>21</v>
      </c>
      <c r="F177" s="16">
        <f>C177+D177</f>
        <v>277</v>
      </c>
      <c r="G177" s="24">
        <v>0.626</v>
      </c>
      <c r="H177" s="10">
        <v>5.42</v>
      </c>
      <c r="I177" s="10">
        <v>6.7</v>
      </c>
      <c r="J177" s="10">
        <v>-12</v>
      </c>
      <c r="K177" s="10">
        <v>26</v>
      </c>
      <c r="L177" s="11">
        <v>237.79</v>
      </c>
      <c r="M177" s="11">
        <v>241</v>
      </c>
      <c r="N177" s="11">
        <v>213</v>
      </c>
      <c r="O177" s="11">
        <v>269</v>
      </c>
      <c r="P177" s="11">
        <v>122.36</v>
      </c>
      <c r="Q177" s="11">
        <v>118.52</v>
      </c>
      <c r="R177" s="25">
        <f>Oranlar!Y177</f>
        <v>0.6574752261956053</v>
      </c>
      <c r="S177" s="26">
        <f>-Oranlar!O177</f>
        <v>5.5</v>
      </c>
      <c r="T177" s="26">
        <f>-Oranlar!I177</f>
        <v>4.5</v>
      </c>
      <c r="U177" s="27">
        <f>Oranlar!V177</f>
        <v>240.5</v>
      </c>
      <c r="V177" s="27">
        <f>Oranlar!L177</f>
        <v>241.5</v>
      </c>
      <c r="W177" s="28">
        <f>(U177+S177)/2</f>
        <v>123.0</v>
      </c>
      <c r="X177" s="28">
        <f>(U177-S177)/2</f>
        <v>117.5</v>
      </c>
      <c r="Y177" s="16">
        <f>IF(G177=0.5,"",IF((G177&gt;0.5)=(E177&gt;0),1,0))</f>
        <v>1</v>
      </c>
      <c r="Z177" s="16">
        <f>IF(R177=0.5,"",IF((R177&gt;0.5)=(E177&gt;0),1,0))</f>
        <v>1</v>
      </c>
      <c r="AA177" s="29">
        <f>(G177-IF(E177&gt;0,1,0))^2</f>
        <v>0.139876</v>
      </c>
      <c r="AB177" s="29">
        <f>(R177-IF(E177&gt;0,1,0))^2</f>
        <v>0.11732322066975177</v>
      </c>
      <c r="AC177" s="28">
        <f>ABS(H177-E177)</f>
        <v>15.58</v>
      </c>
      <c r="AD177" s="28">
        <f>ABS(I177-E177)</f>
        <v>14.3</v>
      </c>
      <c r="AE177" s="28">
        <f>ABS(S177-E177)</f>
        <v>15.5</v>
      </c>
      <c r="AF177" s="28">
        <f>ABS(L177-F177)</f>
        <v>39.21000000000001</v>
      </c>
      <c r="AG177" s="28">
        <f>ABS(M177-F177)</f>
        <v>36.0</v>
      </c>
      <c r="AH177" s="28">
        <f>ABS(U177-F177)</f>
        <v>36.5</v>
      </c>
      <c r="AI177" s="28">
        <f>ABS(P177-C177)</f>
        <v>26.64</v>
      </c>
      <c r="AJ177" s="28">
        <f>ABS(W177-C177)</f>
        <v>26.0</v>
      </c>
      <c r="AK177" s="28">
        <f>ABS(Q177-D177)</f>
        <v>9.480000000000004</v>
      </c>
      <c r="AL177" s="28">
        <f>ABS(X177-D177)</f>
        <v>10.5</v>
      </c>
      <c r="AM177" s="17" t="str">
        <f>IF(H177&gt;S177,"Ev",IF(H177&lt;S177,"Dep",""))</f>
        <v>Dep</v>
      </c>
      <c r="AN177" s="17" t="str">
        <f>IF(AM177="","",IF(E177=S177,"Push",IF((E177&gt;S177)=(AM177="Ev"),"Kazandı","Kaybetti")))</f>
        <v>Kaybetti</v>
      </c>
      <c r="AO177" s="30">
        <f>IF(AM177="","",IF(AN177="Push",0,IF(AN177="Kazandı",IF(AM177="Ev",Oranlar!P177,Oranlar!Q177)-1,-1)))</f>
        <v>-1.0</v>
      </c>
      <c r="AP177" s="17" t="str">
        <f>IF(L177&gt;U177,"Üst",IF(L177&lt;U177,"Alt",""))</f>
        <v>Alt</v>
      </c>
      <c r="AQ177" s="17" t="str">
        <f>IF(AP177="","",IF(F177=U177,"Push",IF((F177&gt;U177)=(AP177="Üst"),"Kazandı","Kaybetti")))</f>
        <v>Kaybetti</v>
      </c>
      <c r="AR177" s="30">
        <f>IF(AP177="","",IF(AQ177="Push",0,IF(AQ177="Kazandı",IF(AP177="Üst",Oranlar!W177,Oranlar!X177)-1,-1)))</f>
        <v>-1.0</v>
      </c>
      <c r="AS177" s="17" t="str">
        <f>IF(G177*Oranlar!R177&gt;1,"Ev",IF((1-G177)*Oranlar!S177&gt;1,"Dep",""))</f>
        <v>Dep</v>
      </c>
      <c r="AT177" s="30">
        <f>IF(AS177="","",IF((AS177="Ev")=(E177&gt;0),IF(AS177="Ev",Oranlar!R177,Oranlar!S177)-1,-1))</f>
        <v>-1.0</v>
      </c>
      <c r="AU177" s="16">
        <f>IF(OR(H177=T177,S177=T177),"",IF((H177&gt;T177)=(S177&gt;T177),1,0))</f>
        <v>1</v>
      </c>
      <c r="AV177" s="16">
        <f>IF(OR(L177=V177,U177=V177),"",IF((L177&gt;V177)=(U177&gt;V177),1,0))</f>
        <v>1</v>
      </c>
      <c r="AW177" s="16">
        <f>IF(AND(E177&gt;=J177,E177&lt;=K177),1,0)</f>
        <v>1</v>
      </c>
      <c r="AX177" s="16">
        <f>IF(AND(F177&gt;=N177,F177&lt;=O177),1,0)</f>
        <v>0</v>
      </c>
    </row>
    <row r="178" spans="1:50">
      <c r="A178" s="21">
        <f>Oranlar!A178</f>
        <v>46108</v>
      </c>
      <c r="B178" s="22" t="str">
        <f>Oranlar!C178&amp;" @ "&amp;Oranlar!D178</f>
        <v>HOU @ MEM</v>
      </c>
      <c r="C178" s="23">
        <f>Oranlar!F178</f>
        <v>109</v>
      </c>
      <c r="D178" s="23">
        <f>Oranlar!E178</f>
        <v>119</v>
      </c>
      <c r="E178" s="15">
        <f>C178-D178</f>
        <v>-10</v>
      </c>
      <c r="F178" s="16">
        <f>C178+D178</f>
        <v>228</v>
      </c>
      <c r="G178" s="24">
        <v>0.353</v>
      </c>
      <c r="H178" s="10">
        <v>-1.78</v>
      </c>
      <c r="I178" s="10">
        <v>-6.4</v>
      </c>
      <c r="J178" s="10">
        <v>-25</v>
      </c>
      <c r="K178" s="10">
        <v>12</v>
      </c>
      <c r="L178" s="11">
        <v>232.17</v>
      </c>
      <c r="M178" s="11">
        <v>228.7</v>
      </c>
      <c r="N178" s="11">
        <v>201</v>
      </c>
      <c r="O178" s="11">
        <v>256</v>
      </c>
      <c r="P178" s="11">
        <v>112.61</v>
      </c>
      <c r="Q178" s="11">
        <v>118.45</v>
      </c>
      <c r="R178" s="25">
        <f>Oranlar!Y178</f>
        <v>0.1322834645669291</v>
      </c>
      <c r="S178" s="26">
        <f>-Oranlar!O178</f>
        <v>-13.5</v>
      </c>
      <c r="T178" s="26">
        <f>-Oranlar!I178</f>
        <v>-12.5</v>
      </c>
      <c r="U178" s="27">
        <f>Oranlar!V178</f>
        <v>227.5</v>
      </c>
      <c r="V178" s="27">
        <f>Oranlar!L178</f>
        <v>226.5</v>
      </c>
      <c r="W178" s="28">
        <f>(U178+S178)/2</f>
        <v>107.0</v>
      </c>
      <c r="X178" s="28">
        <f>(U178-S178)/2</f>
        <v>120.5</v>
      </c>
      <c r="Y178" s="16">
        <f>IF(G178=0.5,"",IF((G178&gt;0.5)=(E178&gt;0),1,0))</f>
        <v>1</v>
      </c>
      <c r="Z178" s="16">
        <f>IF(R178=0.5,"",IF((R178&gt;0.5)=(E178&gt;0),1,0))</f>
        <v>1</v>
      </c>
      <c r="AA178" s="29">
        <f>(G178-IF(E178&gt;0,1,0))^2</f>
        <v>0.12460899999999998</v>
      </c>
      <c r="AB178" s="29">
        <f>(R178-IF(E178&gt;0,1,0))^2</f>
        <v>0.017498914997829986</v>
      </c>
      <c r="AC178" s="28">
        <f>ABS(H178-E178)</f>
        <v>8.22</v>
      </c>
      <c r="AD178" s="28">
        <f>ABS(I178-E178)</f>
        <v>3.5999999999999996</v>
      </c>
      <c r="AE178" s="28">
        <f>ABS(S178-E178)</f>
        <v>3.5</v>
      </c>
      <c r="AF178" s="28">
        <f>ABS(L178-F178)</f>
        <v>4.1699999999999875</v>
      </c>
      <c r="AG178" s="28">
        <f>ABS(M178-F178)</f>
        <v>0.6999999999999886</v>
      </c>
      <c r="AH178" s="28">
        <f>ABS(U178-F178)</f>
        <v>0.5</v>
      </c>
      <c r="AI178" s="28">
        <f>ABS(P178-C178)</f>
        <v>3.6099999999999994</v>
      </c>
      <c r="AJ178" s="28">
        <f>ABS(W178-C178)</f>
        <v>2.0</v>
      </c>
      <c r="AK178" s="28">
        <f>ABS(Q178-D178)</f>
        <v>0.5499999999999972</v>
      </c>
      <c r="AL178" s="28">
        <f>ABS(X178-D178)</f>
        <v>1.5</v>
      </c>
      <c r="AM178" s="17" t="str">
        <f>IF(H178&gt;S178,"Ev",IF(H178&lt;S178,"Dep",""))</f>
        <v>Ev</v>
      </c>
      <c r="AN178" s="17" t="str">
        <f>IF(AM178="","",IF(E178=S178,"Push",IF((E178&gt;S178)=(AM178="Ev"),"Kazandı","Kaybetti")))</f>
        <v>Kazandı</v>
      </c>
      <c r="AO178" s="30">
        <f>IF(AM178="","",IF(AN178="Push",0,IF(AN178="Kazandı",IF(AM178="Ev",Oranlar!P178,Oranlar!Q178)-1,-1)))</f>
        <v>0.9803921568627452</v>
      </c>
      <c r="AP178" s="17" t="str">
        <f>IF(L178&gt;U178,"Üst",IF(L178&lt;U178,"Alt",""))</f>
        <v>Üst</v>
      </c>
      <c r="AQ178" s="17" t="str">
        <f>IF(AP178="","",IF(F178=U178,"Push",IF((F178&gt;U178)=(AP178="Üst"),"Kazandı","Kaybetti")))</f>
        <v>Kazandı</v>
      </c>
      <c r="AR178" s="30">
        <f>IF(AP178="","",IF(AQ178="Push",0,IF(AQ178="Kazandı",IF(AP178="Üst",Oranlar!W178,Oranlar!X178)-1,-1)))</f>
        <v>0.8695652173913042</v>
      </c>
      <c r="AS178" s="17" t="str">
        <f>IF(G178*Oranlar!R178&gt;1,"Ev",IF((1-G178)*Oranlar!S178&gt;1,"Dep",""))</f>
        <v>Ev</v>
      </c>
      <c r="AT178" s="30">
        <f>IF(AS178="","",IF((AS178="Ev")=(E178&gt;0),IF(AS178="Ev",Oranlar!R178,Oranlar!S178)-1,-1))</f>
        <v>-1.0</v>
      </c>
      <c r="AU178" s="16">
        <f>IF(OR(H178=T178,S178=T178),"",IF((H178&gt;T178)=(S178&gt;T178),1,0))</f>
        <v>0</v>
      </c>
      <c r="AV178" s="16">
        <f>IF(OR(L178=V178,U178=V178),"",IF((L178&gt;V178)=(U178&gt;V178),1,0))</f>
        <v>1</v>
      </c>
      <c r="AW178" s="16">
        <f>IF(AND(E178&gt;=J178,E178&lt;=K178),1,0)</f>
        <v>1</v>
      </c>
      <c r="AX178" s="16">
        <f>IF(AND(F178&gt;=N178,F178&lt;=O178),1,0)</f>
        <v>1</v>
      </c>
    </row>
    <row r="179" spans="1:50">
      <c r="A179" s="21">
        <f>Oranlar!A179</f>
        <v>46108</v>
      </c>
      <c r="B179" s="22" t="str">
        <f>Oranlar!C179&amp;" @ "&amp;Oranlar!D179</f>
        <v>CHI @ OKC</v>
      </c>
      <c r="C179" s="23">
        <f>Oranlar!F179</f>
        <v>131</v>
      </c>
      <c r="D179" s="23">
        <f>Oranlar!E179</f>
        <v>113</v>
      </c>
      <c r="E179" s="15">
        <f>C179-D179</f>
        <v>18</v>
      </c>
      <c r="F179" s="16">
        <f>C179+D179</f>
        <v>244</v>
      </c>
      <c r="G179" s="24">
        <v>0.8080000000000001</v>
      </c>
      <c r="H179" s="10">
        <v>19.05</v>
      </c>
      <c r="I179" s="10">
        <v>15.3</v>
      </c>
      <c r="J179" s="10">
        <v>-3</v>
      </c>
      <c r="K179" s="10">
        <v>34</v>
      </c>
      <c r="L179" s="11">
        <v>233.29</v>
      </c>
      <c r="M179" s="11">
        <v>237.1</v>
      </c>
      <c r="N179" s="11">
        <v>209</v>
      </c>
      <c r="O179" s="11">
        <v>265</v>
      </c>
      <c r="P179" s="11">
        <v>126.1</v>
      </c>
      <c r="Q179" s="11">
        <v>111.04</v>
      </c>
      <c r="R179" s="25">
        <f>Oranlar!Y179</f>
        <v>0.9197080291970803</v>
      </c>
      <c r="S179" s="26">
        <f>-Oranlar!O179</f>
        <v>18.5</v>
      </c>
      <c r="T179" s="26">
        <f>-Oranlar!I179</f>
        <v>19.5</v>
      </c>
      <c r="U179" s="27">
        <f>Oranlar!V179</f>
        <v>241.5</v>
      </c>
      <c r="V179" s="27">
        <f>Oranlar!L179</f>
        <v>236.5</v>
      </c>
      <c r="W179" s="28">
        <f>(U179+S179)/2</f>
        <v>130.0</v>
      </c>
      <c r="X179" s="28">
        <f>(U179-S179)/2</f>
        <v>111.5</v>
      </c>
      <c r="Y179" s="16">
        <f>IF(G179=0.5,"",IF((G179&gt;0.5)=(E179&gt;0),1,0))</f>
        <v>1</v>
      </c>
      <c r="Z179" s="16">
        <f>IF(R179=0.5,"",IF((R179&gt;0.5)=(E179&gt;0),1,0))</f>
        <v>1</v>
      </c>
      <c r="AA179" s="29">
        <f>(G179-IF(E179&gt;0,1,0))^2</f>
        <v>0.03686399999999998</v>
      </c>
      <c r="AB179" s="29">
        <f>(R179-IF(E179&gt;0,1,0))^2</f>
        <v>0.006446800575416913</v>
      </c>
      <c r="AC179" s="28">
        <f>ABS(H179-E179)</f>
        <v>1.0500000000000007</v>
      </c>
      <c r="AD179" s="28">
        <f>ABS(I179-E179)</f>
        <v>2.6999999999999993</v>
      </c>
      <c r="AE179" s="28">
        <f>ABS(S179-E179)</f>
        <v>0.5</v>
      </c>
      <c r="AF179" s="28">
        <f>ABS(L179-F179)</f>
        <v>10.710000000000008</v>
      </c>
      <c r="AG179" s="28">
        <f>ABS(M179-F179)</f>
        <v>6.900000000000006</v>
      </c>
      <c r="AH179" s="28">
        <f>ABS(U179-F179)</f>
        <v>2.5</v>
      </c>
      <c r="AI179" s="28">
        <f>ABS(P179-C179)</f>
        <v>4.900000000000006</v>
      </c>
      <c r="AJ179" s="28">
        <f>ABS(W179-C179)</f>
        <v>1.0</v>
      </c>
      <c r="AK179" s="28">
        <f>ABS(Q179-D179)</f>
        <v>1.9599999999999937</v>
      </c>
      <c r="AL179" s="28">
        <f>ABS(X179-D179)</f>
        <v>1.5</v>
      </c>
      <c r="AM179" s="17" t="str">
        <f>IF(H179&gt;S179,"Ev",IF(H179&lt;S179,"Dep",""))</f>
        <v>Ev</v>
      </c>
      <c r="AN179" s="17" t="str">
        <f>IF(AM179="","",IF(E179=S179,"Push",IF((E179&gt;S179)=(AM179="Ev"),"Kazandı","Kaybetti")))</f>
        <v>Kaybetti</v>
      </c>
      <c r="AO179" s="30">
        <f>IF(AM179="","",IF(AN179="Push",0,IF(AN179="Kazandı",IF(AM179="Ev",Oranlar!P179,Oranlar!Q179)-1,-1)))</f>
        <v>-1.0</v>
      </c>
      <c r="AP179" s="17" t="str">
        <f>IF(L179&gt;U179,"Üst",IF(L179&lt;U179,"Alt",""))</f>
        <v>Alt</v>
      </c>
      <c r="AQ179" s="17" t="str">
        <f>IF(AP179="","",IF(F179=U179,"Push",IF((F179&gt;U179)=(AP179="Üst"),"Kazandı","Kaybetti")))</f>
        <v>Kaybetti</v>
      </c>
      <c r="AR179" s="30">
        <f>IF(AP179="","",IF(AQ179="Push",0,IF(AQ179="Kazandı",IF(AP179="Üst",Oranlar!W179,Oranlar!X179)-1,-1)))</f>
        <v>-1.0</v>
      </c>
      <c r="AS179" s="17" t="str">
        <f>IF(G179*Oranlar!R179&gt;1,"Ev",IF((1-G179)*Oranlar!S179&gt;1,"Dep",""))</f>
        <v>Dep</v>
      </c>
      <c r="AT179" s="30">
        <f>IF(AS179="","",IF((AS179="Ev")=(E179&gt;0),IF(AS179="Ev",Oranlar!R179,Oranlar!S179)-1,-1))</f>
        <v>-1.0</v>
      </c>
      <c r="AU179" s="16">
        <f>IF(OR(H179=T179,S179=T179),"",IF((H179&gt;T179)=(S179&gt;T179),1,0))</f>
        <v>1</v>
      </c>
      <c r="AV179" s="16">
        <f>IF(OR(L179=V179,U179=V179),"",IF((L179&gt;V179)=(U179&gt;V179),1,0))</f>
        <v>0</v>
      </c>
      <c r="AW179" s="16">
        <f>IF(AND(E179&gt;=J179,E179&lt;=K179),1,0)</f>
        <v>1</v>
      </c>
      <c r="AX179" s="16">
        <f>IF(AND(F179&gt;=N179,F179&lt;=O179),1,0)</f>
        <v>1</v>
      </c>
    </row>
    <row r="180" spans="1:50">
      <c r="A180" s="21">
        <f>Oranlar!A180</f>
        <v>46108</v>
      </c>
      <c r="B180" s="22" t="str">
        <f>Oranlar!C180&amp;" @ "&amp;Oranlar!D180</f>
        <v>NOP @ TOR</v>
      </c>
      <c r="C180" s="23">
        <f>Oranlar!F180</f>
        <v>119</v>
      </c>
      <c r="D180" s="23">
        <f>Oranlar!E180</f>
        <v>106</v>
      </c>
      <c r="E180" s="15">
        <f>C180-D180</f>
        <v>13</v>
      </c>
      <c r="F180" s="16">
        <f>C180+D180</f>
        <v>225</v>
      </c>
      <c r="G180" s="24">
        <v>0.738</v>
      </c>
      <c r="H180" s="10">
        <v>13.18</v>
      </c>
      <c r="I180" s="10">
        <v>5.1</v>
      </c>
      <c r="J180" s="10">
        <v>-13</v>
      </c>
      <c r="K180" s="10">
        <v>24</v>
      </c>
      <c r="L180" s="11">
        <v>233.1</v>
      </c>
      <c r="M180" s="11">
        <v>234.4</v>
      </c>
      <c r="N180" s="11">
        <v>207</v>
      </c>
      <c r="O180" s="11">
        <v>262</v>
      </c>
      <c r="P180" s="11">
        <v>120.52</v>
      </c>
      <c r="Q180" s="11">
        <v>112.48</v>
      </c>
      <c r="R180" s="25">
        <f>Oranlar!Y180</f>
        <v>0.7335423197492164</v>
      </c>
      <c r="S180" s="26">
        <f>-Oranlar!O180</f>
        <v>8.5</v>
      </c>
      <c r="T180" s="26">
        <f>-Oranlar!I180</f>
        <v>7.5</v>
      </c>
      <c r="U180" s="27">
        <f>Oranlar!V180</f>
        <v>229.5</v>
      </c>
      <c r="V180" s="27">
        <f>Oranlar!L180</f>
        <v>228.5</v>
      </c>
      <c r="W180" s="28">
        <f>(U180+S180)/2</f>
        <v>119.0</v>
      </c>
      <c r="X180" s="28">
        <f>(U180-S180)/2</f>
        <v>110.5</v>
      </c>
      <c r="Y180" s="16">
        <f>IF(G180=0.5,"",IF((G180&gt;0.5)=(E180&gt;0),1,0))</f>
        <v>1</v>
      </c>
      <c r="Z180" s="16">
        <f>IF(R180=0.5,"",IF((R180&gt;0.5)=(E180&gt;0),1,0))</f>
        <v>1</v>
      </c>
      <c r="AA180" s="29">
        <f>(G180-IF(E180&gt;0,1,0))^2</f>
        <v>0.06864400000000001</v>
      </c>
      <c r="AB180" s="29">
        <f>(R180-IF(E180&gt;0,1,0))^2</f>
        <v>0.07099969536462886</v>
      </c>
      <c r="AC180" s="28">
        <f>ABS(H180-E180)</f>
        <v>0.17999999999999972</v>
      </c>
      <c r="AD180" s="28">
        <f>ABS(I180-E180)</f>
        <v>7.9</v>
      </c>
      <c r="AE180" s="28">
        <f>ABS(S180-E180)</f>
        <v>4.5</v>
      </c>
      <c r="AF180" s="28">
        <f>ABS(L180-F180)</f>
        <v>8.099999999999994</v>
      </c>
      <c r="AG180" s="28">
        <f>ABS(M180-F180)</f>
        <v>9.400000000000006</v>
      </c>
      <c r="AH180" s="28">
        <f>ABS(U180-F180)</f>
        <v>4.5</v>
      </c>
      <c r="AI180" s="28">
        <f>ABS(P180-C180)</f>
        <v>1.519999999999996</v>
      </c>
      <c r="AJ180" s="28">
        <f>ABS(W180-C180)</f>
        <v>0.0</v>
      </c>
      <c r="AK180" s="28">
        <f>ABS(Q180-D180)</f>
        <v>6.480000000000004</v>
      </c>
      <c r="AL180" s="28">
        <f>ABS(X180-D180)</f>
        <v>4.5</v>
      </c>
      <c r="AM180" s="17" t="str">
        <f>IF(H180&gt;S180,"Ev",IF(H180&lt;S180,"Dep",""))</f>
        <v>Ev</v>
      </c>
      <c r="AN180" s="17" t="str">
        <f>IF(AM180="","",IF(E180=S180,"Push",IF((E180&gt;S180)=(AM180="Ev"),"Kazandı","Kaybetti")))</f>
        <v>Kazandı</v>
      </c>
      <c r="AO180" s="30">
        <f>IF(AM180="","",IF(AN180="Push",0,IF(AN180="Kazandı",IF(AM180="Ev",Oranlar!P180,Oranlar!Q180)-1,-1)))</f>
        <v>0.9090909090909092</v>
      </c>
      <c r="AP180" s="17" t="str">
        <f>IF(L180&gt;U180,"Üst",IF(L180&lt;U180,"Alt",""))</f>
        <v>Üst</v>
      </c>
      <c r="AQ180" s="17" t="str">
        <f>IF(AP180="","",IF(F180=U180,"Push",IF((F180&gt;U180)=(AP180="Üst"),"Kazandı","Kaybetti")))</f>
        <v>Kaybetti</v>
      </c>
      <c r="AR180" s="30">
        <f>IF(AP180="","",IF(AQ180="Push",0,IF(AQ180="Kazandı",IF(AP180="Üst",Oranlar!W180,Oranlar!X180)-1,-1)))</f>
        <v>-1.0</v>
      </c>
      <c r="AS180" s="17">
        <f>IF(G180*Oranlar!R180&gt;1,"Ev",IF((1-G180)*Oranlar!S180&gt;1,"Dep",""))</f>
        <v/>
      </c>
      <c r="AT180" s="30">
        <f>IF(AS180="","",IF((AS180="Ev")=(E180&gt;0),IF(AS180="Ev",Oranlar!R180,Oranlar!S180)-1,-1))</f>
        <v/>
      </c>
      <c r="AU180" s="16">
        <f>IF(OR(H180=T180,S180=T180),"",IF((H180&gt;T180)=(S180&gt;T180),1,0))</f>
        <v>1</v>
      </c>
      <c r="AV180" s="16">
        <f>IF(OR(L180=V180,U180=V180),"",IF((L180&gt;V180)=(U180&gt;V180),1,0))</f>
        <v>1</v>
      </c>
      <c r="AW180" s="16">
        <f>IF(AND(E180&gt;=J180,E180&lt;=K180),1,0)</f>
        <v>1</v>
      </c>
      <c r="AX180" s="16">
        <f>IF(AND(F180&gt;=N180,F180&lt;=O180),1,0)</f>
        <v>1</v>
      </c>
    </row>
    <row r="181" spans="1:50">
      <c r="A181" s="21">
        <f>Oranlar!A181</f>
        <v>46108</v>
      </c>
      <c r="B181" s="22" t="str">
        <f>Oranlar!C181&amp;" @ "&amp;Oranlar!D181</f>
        <v>UTA @ DEN</v>
      </c>
      <c r="C181" s="23">
        <f>Oranlar!F181</f>
        <v>135</v>
      </c>
      <c r="D181" s="23">
        <f>Oranlar!E181</f>
        <v>129</v>
      </c>
      <c r="E181" s="15">
        <f>C181-D181</f>
        <v>6</v>
      </c>
      <c r="F181" s="16">
        <f>C181+D181</f>
        <v>264</v>
      </c>
      <c r="G181" s="24">
        <v>0.778</v>
      </c>
      <c r="H181" s="10">
        <v>7.58</v>
      </c>
      <c r="I181" s="10">
        <v>12</v>
      </c>
      <c r="J181" s="10">
        <v>-7</v>
      </c>
      <c r="K181" s="10">
        <v>31</v>
      </c>
      <c r="L181" s="11">
        <v>236.16</v>
      </c>
      <c r="M181" s="11">
        <v>236.6</v>
      </c>
      <c r="N181" s="11">
        <v>209</v>
      </c>
      <c r="O181" s="11">
        <v>264</v>
      </c>
      <c r="P181" s="11">
        <v>123.47</v>
      </c>
      <c r="Q181" s="11">
        <v>114.15</v>
      </c>
      <c r="R181" s="25">
        <f>Oranlar!Y181</f>
        <v>0.9197080291970803</v>
      </c>
      <c r="S181" s="26">
        <f>-Oranlar!O181</f>
        <v>19.5</v>
      </c>
      <c r="T181" s="26">
        <f>-Oranlar!I181</f>
        <v>18.5</v>
      </c>
      <c r="U181" s="27">
        <f>Oranlar!V181</f>
        <v>247.5</v>
      </c>
      <c r="V181" s="27">
        <f>Oranlar!L181</f>
        <v>248.5</v>
      </c>
      <c r="W181" s="28">
        <f>(U181+S181)/2</f>
        <v>133.5</v>
      </c>
      <c r="X181" s="28">
        <f>(U181-S181)/2</f>
        <v>114.0</v>
      </c>
      <c r="Y181" s="16">
        <f>IF(G181=0.5,"",IF((G181&gt;0.5)=(E181&gt;0),1,0))</f>
        <v>1</v>
      </c>
      <c r="Z181" s="16">
        <f>IF(R181=0.5,"",IF((R181&gt;0.5)=(E181&gt;0),1,0))</f>
        <v>1</v>
      </c>
      <c r="AA181" s="29">
        <f>(G181-IF(E181&gt;0,1,0))^2</f>
        <v>0.04928399999999999</v>
      </c>
      <c r="AB181" s="29">
        <f>(R181-IF(E181&gt;0,1,0))^2</f>
        <v>0.006446800575416913</v>
      </c>
      <c r="AC181" s="28">
        <f>ABS(H181-E181)</f>
        <v>1.58</v>
      </c>
      <c r="AD181" s="28">
        <f>ABS(I181-E181)</f>
        <v>6.0</v>
      </c>
      <c r="AE181" s="28">
        <f>ABS(S181-E181)</f>
        <v>13.5</v>
      </c>
      <c r="AF181" s="28">
        <f>ABS(L181-F181)</f>
        <v>27.840000000000003</v>
      </c>
      <c r="AG181" s="28">
        <f>ABS(M181-F181)</f>
        <v>27.400000000000006</v>
      </c>
      <c r="AH181" s="28">
        <f>ABS(U181-F181)</f>
        <v>16.5</v>
      </c>
      <c r="AI181" s="28">
        <f>ABS(P181-C181)</f>
        <v>11.530000000000001</v>
      </c>
      <c r="AJ181" s="28">
        <f>ABS(W181-C181)</f>
        <v>1.5</v>
      </c>
      <c r="AK181" s="28">
        <f>ABS(Q181-D181)</f>
        <v>14.849999999999994</v>
      </c>
      <c r="AL181" s="28">
        <f>ABS(X181-D181)</f>
        <v>15.0</v>
      </c>
      <c r="AM181" s="17" t="str">
        <f>IF(H181&gt;S181,"Ev",IF(H181&lt;S181,"Dep",""))</f>
        <v>Dep</v>
      </c>
      <c r="AN181" s="17" t="str">
        <f>IF(AM181="","",IF(E181=S181,"Push",IF((E181&gt;S181)=(AM181="Ev"),"Kazandı","Kaybetti")))</f>
        <v>Kazandı</v>
      </c>
      <c r="AO181" s="30">
        <f>IF(AM181="","",IF(AN181="Push",0,IF(AN181="Kazandı",IF(AM181="Ev",Oranlar!P181,Oranlar!Q181)-1,-1)))</f>
        <v>0.9523809523809523</v>
      </c>
      <c r="AP181" s="17" t="str">
        <f>IF(L181&gt;U181,"Üst",IF(L181&lt;U181,"Alt",""))</f>
        <v>Alt</v>
      </c>
      <c r="AQ181" s="17" t="str">
        <f>IF(AP181="","",IF(F181=U181,"Push",IF((F181&gt;U181)=(AP181="Üst"),"Kazandı","Kaybetti")))</f>
        <v>Kaybetti</v>
      </c>
      <c r="AR181" s="30">
        <f>IF(AP181="","",IF(AQ181="Push",0,IF(AQ181="Kazandı",IF(AP181="Üst",Oranlar!W181,Oranlar!X181)-1,-1)))</f>
        <v>-1.0</v>
      </c>
      <c r="AS181" s="17" t="str">
        <f>IF(G181*Oranlar!R181&gt;1,"Ev",IF((1-G181)*Oranlar!S181&gt;1,"Dep",""))</f>
        <v>Dep</v>
      </c>
      <c r="AT181" s="30">
        <f>IF(AS181="","",IF((AS181="Ev")=(E181&gt;0),IF(AS181="Ev",Oranlar!R181,Oranlar!S181)-1,-1))</f>
        <v>-1.0</v>
      </c>
      <c r="AU181" s="16">
        <f>IF(OR(H181=T181,S181=T181),"",IF((H181&gt;T181)=(S181&gt;T181),1,0))</f>
        <v>0</v>
      </c>
      <c r="AV181" s="16">
        <f>IF(OR(L181=V181,U181=V181),"",IF((L181&gt;V181)=(U181&gt;V181),1,0))</f>
        <v>1</v>
      </c>
      <c r="AW181" s="16">
        <f>IF(AND(E181&gt;=J181,E181&lt;=K181),1,0)</f>
        <v>1</v>
      </c>
      <c r="AX181" s="16">
        <f>IF(AND(F181&gt;=N181,F181&lt;=O181),1,0)</f>
        <v>1</v>
      </c>
    </row>
    <row r="182" spans="1:50">
      <c r="A182" s="21">
        <f>Oranlar!A182</f>
        <v>46108</v>
      </c>
      <c r="B182" s="22" t="str">
        <f>Oranlar!C182&amp;" @ "&amp;Oranlar!D182</f>
        <v>WAS @ GSW</v>
      </c>
      <c r="C182" s="23">
        <f>Oranlar!F182</f>
        <v>131</v>
      </c>
      <c r="D182" s="23">
        <f>Oranlar!E182</f>
        <v>126</v>
      </c>
      <c r="E182" s="15">
        <f>C182-D182</f>
        <v>5</v>
      </c>
      <c r="F182" s="16">
        <f>C182+D182</f>
        <v>257</v>
      </c>
      <c r="G182" s="24">
        <v>0.6830000000000001</v>
      </c>
      <c r="H182" s="10">
        <v>6.11</v>
      </c>
      <c r="I182" s="10">
        <v>-0.3</v>
      </c>
      <c r="J182" s="10">
        <v>-19</v>
      </c>
      <c r="K182" s="10">
        <v>18</v>
      </c>
      <c r="L182" s="11">
        <v>232.09</v>
      </c>
      <c r="M182" s="11">
        <v>230.2</v>
      </c>
      <c r="N182" s="11">
        <v>203</v>
      </c>
      <c r="O182" s="11">
        <v>257</v>
      </c>
      <c r="P182" s="11">
        <v>117.23</v>
      </c>
      <c r="Q182" s="11">
        <v>112.72</v>
      </c>
      <c r="R182" s="25">
        <f>Oranlar!Y182</f>
        <v>0.8465011286681716</v>
      </c>
      <c r="S182" s="26">
        <f>-Oranlar!O182</f>
        <v>12.5</v>
      </c>
      <c r="T182" s="26">
        <f>-Oranlar!I182</f>
        <v>13.5</v>
      </c>
      <c r="U182" s="27">
        <f>Oranlar!V182</f>
        <v>230.5</v>
      </c>
      <c r="V182" s="27">
        <f>Oranlar!L182</f>
        <v>234.5</v>
      </c>
      <c r="W182" s="28">
        <f>(U182+S182)/2</f>
        <v>121.5</v>
      </c>
      <c r="X182" s="28">
        <f>(U182-S182)/2</f>
        <v>109.0</v>
      </c>
      <c r="Y182" s="16">
        <f>IF(G182=0.5,"",IF((G182&gt;0.5)=(E182&gt;0),1,0))</f>
        <v>1</v>
      </c>
      <c r="Z182" s="16">
        <f>IF(R182=0.5,"",IF((R182&gt;0.5)=(E182&gt;0),1,0))</f>
        <v>1</v>
      </c>
      <c r="AA182" s="29">
        <f>(G182-IF(E182&gt;0,1,0))^2</f>
        <v>0.10048899999999997</v>
      </c>
      <c r="AB182" s="29">
        <f>(R182-IF(E182&gt;0,1,0))^2</f>
        <v>0.023561903500145205</v>
      </c>
      <c r="AC182" s="28">
        <f>ABS(H182-E182)</f>
        <v>1.1100000000000003</v>
      </c>
      <c r="AD182" s="28">
        <f>ABS(I182-E182)</f>
        <v>5.3</v>
      </c>
      <c r="AE182" s="28">
        <f>ABS(S182-E182)</f>
        <v>7.5</v>
      </c>
      <c r="AF182" s="28">
        <f>ABS(L182-F182)</f>
        <v>24.909999999999997</v>
      </c>
      <c r="AG182" s="28">
        <f>ABS(M182-F182)</f>
        <v>26.80000000000001</v>
      </c>
      <c r="AH182" s="28">
        <f>ABS(U182-F182)</f>
        <v>26.5</v>
      </c>
      <c r="AI182" s="28">
        <f>ABS(P182-C182)</f>
        <v>13.769999999999996</v>
      </c>
      <c r="AJ182" s="28">
        <f>ABS(W182-C182)</f>
        <v>9.5</v>
      </c>
      <c r="AK182" s="28">
        <f>ABS(Q182-D182)</f>
        <v>13.280000000000001</v>
      </c>
      <c r="AL182" s="28">
        <f>ABS(X182-D182)</f>
        <v>17.0</v>
      </c>
      <c r="AM182" s="17" t="str">
        <f>IF(H182&gt;S182,"Ev",IF(H182&lt;S182,"Dep",""))</f>
        <v>Dep</v>
      </c>
      <c r="AN182" s="17" t="str">
        <f>IF(AM182="","",IF(E182=S182,"Push",IF((E182&gt;S182)=(AM182="Ev"),"Kazandı","Kaybetti")))</f>
        <v>Kazandı</v>
      </c>
      <c r="AO182" s="30">
        <f>IF(AM182="","",IF(AN182="Push",0,IF(AN182="Kazandı",IF(AM182="Ev",Oranlar!P182,Oranlar!Q182)-1,-1)))</f>
        <v>0.8695652173913042</v>
      </c>
      <c r="AP182" s="17" t="str">
        <f>IF(L182&gt;U182,"Üst",IF(L182&lt;U182,"Alt",""))</f>
        <v>Üst</v>
      </c>
      <c r="AQ182" s="17" t="str">
        <f>IF(AP182="","",IF(F182=U182,"Push",IF((F182&gt;U182)=(AP182="Üst"),"Kazandı","Kaybetti")))</f>
        <v>Kazandı</v>
      </c>
      <c r="AR182" s="30">
        <f>IF(AP182="","",IF(AQ182="Push",0,IF(AQ182="Kazandı",IF(AP182="Üst",Oranlar!W182,Oranlar!X182)-1,-1)))</f>
        <v>0.9090909090909092</v>
      </c>
      <c r="AS182" s="17" t="str">
        <f>IF(G182*Oranlar!R182&gt;1,"Ev",IF((1-G182)*Oranlar!S182&gt;1,"Dep",""))</f>
        <v>Dep</v>
      </c>
      <c r="AT182" s="30">
        <f>IF(AS182="","",IF((AS182="Ev")=(E182&gt;0),IF(AS182="Ev",Oranlar!R182,Oranlar!S182)-1,-1))</f>
        <v>-1.0</v>
      </c>
      <c r="AU182" s="16">
        <f>IF(OR(H182=T182,S182=T182),"",IF((H182&gt;T182)=(S182&gt;T182),1,0))</f>
        <v>1</v>
      </c>
      <c r="AV182" s="16">
        <f>IF(OR(L182=V182,U182=V182),"",IF((L182&gt;V182)=(U182&gt;V182),1,0))</f>
        <v>1</v>
      </c>
      <c r="AW182" s="16">
        <f>IF(AND(E182&gt;=J182,E182&lt;=K182),1,0)</f>
        <v>1</v>
      </c>
      <c r="AX182" s="16">
        <f>IF(AND(F182&gt;=N182,F182&lt;=O182),1,0)</f>
        <v>1</v>
      </c>
    </row>
    <row r="183" spans="1:50">
      <c r="A183" s="21">
        <f>Oranlar!A183</f>
        <v>46108</v>
      </c>
      <c r="B183" s="22" t="str">
        <f>Oranlar!C183&amp;" @ "&amp;Oranlar!D183</f>
        <v>DAL @ POR</v>
      </c>
      <c r="C183" s="23">
        <f>Oranlar!F183</f>
        <v>93</v>
      </c>
      <c r="D183" s="23">
        <f>Oranlar!E183</f>
        <v>100</v>
      </c>
      <c r="E183" s="15">
        <f>C183-D183</f>
        <v>-7</v>
      </c>
      <c r="F183" s="16">
        <f>C183+D183</f>
        <v>193</v>
      </c>
      <c r="G183" s="24">
        <v>0.673</v>
      </c>
      <c r="H183" s="10">
        <v>6.01</v>
      </c>
      <c r="I183" s="10">
        <v>8.699999999999999</v>
      </c>
      <c r="J183" s="10">
        <v>-10</v>
      </c>
      <c r="K183" s="10">
        <v>28</v>
      </c>
      <c r="L183" s="11">
        <v>231.55</v>
      </c>
      <c r="M183" s="11">
        <v>235.9</v>
      </c>
      <c r="N183" s="11">
        <v>208</v>
      </c>
      <c r="O183" s="11">
        <v>264</v>
      </c>
      <c r="P183" s="11">
        <v>120.87</v>
      </c>
      <c r="Q183" s="11">
        <v>112.82</v>
      </c>
      <c r="R183" s="25">
        <f>Oranlar!Y183</f>
        <v>0.7999999999999999</v>
      </c>
      <c r="S183" s="26">
        <f>-Oranlar!O183</f>
        <v>10.5</v>
      </c>
      <c r="T183" s="26">
        <f>-Oranlar!I183</f>
        <v>9.5</v>
      </c>
      <c r="U183" s="27">
        <f>Oranlar!V183</f>
        <v>240.5</v>
      </c>
      <c r="V183" s="27">
        <f>Oranlar!L183</f>
        <v>235.5</v>
      </c>
      <c r="W183" s="28">
        <f>(U183+S183)/2</f>
        <v>125.5</v>
      </c>
      <c r="X183" s="28">
        <f>(U183-S183)/2</f>
        <v>115.0</v>
      </c>
      <c r="Y183" s="16">
        <f>IF(G183=0.5,"",IF((G183&gt;0.5)=(E183&gt;0),1,0))</f>
        <v>0</v>
      </c>
      <c r="Z183" s="16">
        <f>IF(R183=0.5,"",IF((R183&gt;0.5)=(E183&gt;0),1,0))</f>
        <v>0</v>
      </c>
      <c r="AA183" s="29">
        <f>(G183-IF(E183&gt;0,1,0))^2</f>
        <v>0.4529290000000001</v>
      </c>
      <c r="AB183" s="29">
        <f>(R183-IF(E183&gt;0,1,0))^2</f>
        <v>0.6399999999999999</v>
      </c>
      <c r="AC183" s="28">
        <f>ABS(H183-E183)</f>
        <v>13.01</v>
      </c>
      <c r="AD183" s="28">
        <f>ABS(I183-E183)</f>
        <v>15.7</v>
      </c>
      <c r="AE183" s="28">
        <f>ABS(S183-E183)</f>
        <v>17.5</v>
      </c>
      <c r="AF183" s="28">
        <f>ABS(L183-F183)</f>
        <v>38.55000000000001</v>
      </c>
      <c r="AG183" s="28">
        <f>ABS(M183-F183)</f>
        <v>42.900000000000006</v>
      </c>
      <c r="AH183" s="28">
        <f>ABS(U183-F183)</f>
        <v>47.5</v>
      </c>
      <c r="AI183" s="28">
        <f>ABS(P183-C183)</f>
        <v>27.870000000000005</v>
      </c>
      <c r="AJ183" s="28">
        <f>ABS(W183-C183)</f>
        <v>32.5</v>
      </c>
      <c r="AK183" s="28">
        <f>ABS(Q183-D183)</f>
        <v>12.819999999999993</v>
      </c>
      <c r="AL183" s="28">
        <f>ABS(X183-D183)</f>
        <v>15.0</v>
      </c>
      <c r="AM183" s="17" t="str">
        <f>IF(H183&gt;S183,"Ev",IF(H183&lt;S183,"Dep",""))</f>
        <v>Dep</v>
      </c>
      <c r="AN183" s="17" t="str">
        <f>IF(AM183="","",IF(E183=S183,"Push",IF((E183&gt;S183)=(AM183="Ev"),"Kazandı","Kaybetti")))</f>
        <v>Kazandı</v>
      </c>
      <c r="AO183" s="30">
        <f>IF(AM183="","",IF(AN183="Push",0,IF(AN183="Kazandı",IF(AM183="Ev",Oranlar!P183,Oranlar!Q183)-1,-1)))</f>
        <v>0.925925925925926</v>
      </c>
      <c r="AP183" s="17" t="str">
        <f>IF(L183&gt;U183,"Üst",IF(L183&lt;U183,"Alt",""))</f>
        <v>Alt</v>
      </c>
      <c r="AQ183" s="17" t="str">
        <f>IF(AP183="","",IF(F183=U183,"Push",IF((F183&gt;U183)=(AP183="Üst"),"Kazandı","Kaybetti")))</f>
        <v>Kazandı</v>
      </c>
      <c r="AR183" s="30">
        <f>IF(AP183="","",IF(AQ183="Push",0,IF(AQ183="Kazandı",IF(AP183="Üst",Oranlar!W183,Oranlar!X183)-1,-1)))</f>
        <v>0.925925925925926</v>
      </c>
      <c r="AS183" s="17" t="str">
        <f>IF(G183*Oranlar!R183&gt;1,"Ev",IF((1-G183)*Oranlar!S183&gt;1,"Dep",""))</f>
        <v>Dep</v>
      </c>
      <c r="AT183" s="30">
        <f>IF(AS183="","",IF((AS183="Ev")=(E183&gt;0),IF(AS183="Ev",Oranlar!R183,Oranlar!S183)-1,-1))</f>
        <v>3.8</v>
      </c>
      <c r="AU183" s="16">
        <f>IF(OR(H183=T183,S183=T183),"",IF((H183&gt;T183)=(S183&gt;T183),1,0))</f>
        <v>0</v>
      </c>
      <c r="AV183" s="16">
        <f>IF(OR(L183=V183,U183=V183),"",IF((L183&gt;V183)=(U183&gt;V183),1,0))</f>
        <v>0</v>
      </c>
      <c r="AW183" s="16">
        <f>IF(AND(E183&gt;=J183,E183&lt;=K183),1,0)</f>
        <v>1</v>
      </c>
      <c r="AX183" s="16">
        <f>IF(AND(F183&gt;=N183,F183&lt;=O183),1,0)</f>
        <v>0</v>
      </c>
    </row>
    <row r="184" spans="1:50">
      <c r="A184" s="21">
        <f>Oranlar!A184</f>
        <v>46108</v>
      </c>
      <c r="B184" s="22" t="str">
        <f>Oranlar!C184&amp;" @ "&amp;Oranlar!D184</f>
        <v>BKN @ LAL</v>
      </c>
      <c r="C184" s="23">
        <f>Oranlar!F184</f>
        <v>116</v>
      </c>
      <c r="D184" s="23">
        <f>Oranlar!E184</f>
        <v>99</v>
      </c>
      <c r="E184" s="15">
        <f>C184-D184</f>
        <v>17</v>
      </c>
      <c r="F184" s="16">
        <f>C184+D184</f>
        <v>215</v>
      </c>
      <c r="G184" s="24">
        <v>0.829</v>
      </c>
      <c r="H184" s="10">
        <v>11.06</v>
      </c>
      <c r="I184" s="10">
        <v>13.5</v>
      </c>
      <c r="J184" s="10">
        <v>-5</v>
      </c>
      <c r="K184" s="10">
        <v>32</v>
      </c>
      <c r="L184" s="11">
        <v>224.27</v>
      </c>
      <c r="M184" s="11">
        <v>227.9</v>
      </c>
      <c r="N184" s="11">
        <v>201</v>
      </c>
      <c r="O184" s="11">
        <v>255</v>
      </c>
      <c r="P184" s="11">
        <v>121.26</v>
      </c>
      <c r="Q184" s="11">
        <v>106.77</v>
      </c>
      <c r="R184" s="25">
        <f>Oranlar!Y184</f>
        <v>0.9197080291970803</v>
      </c>
      <c r="S184" s="26">
        <f>-Oranlar!O184</f>
        <v>18.5</v>
      </c>
      <c r="T184" s="26">
        <f>-Oranlar!I184</f>
        <v>17.5</v>
      </c>
      <c r="U184" s="27">
        <f>Oranlar!V184</f>
        <v>224.5</v>
      </c>
      <c r="V184" s="27">
        <f>Oranlar!L184</f>
        <v>220.5</v>
      </c>
      <c r="W184" s="28">
        <f>(U184+S184)/2</f>
        <v>121.5</v>
      </c>
      <c r="X184" s="28">
        <f>(U184-S184)/2</f>
        <v>103.0</v>
      </c>
      <c r="Y184" s="16">
        <f>IF(G184=0.5,"",IF((G184&gt;0.5)=(E184&gt;0),1,0))</f>
        <v>1</v>
      </c>
      <c r="Z184" s="16">
        <f>IF(R184=0.5,"",IF((R184&gt;0.5)=(E184&gt;0),1,0))</f>
        <v>1</v>
      </c>
      <c r="AA184" s="29">
        <f>(G184-IF(E184&gt;0,1,0))^2</f>
        <v>0.029241000000000014</v>
      </c>
      <c r="AB184" s="29">
        <f>(R184-IF(E184&gt;0,1,0))^2</f>
        <v>0.006446800575416913</v>
      </c>
      <c r="AC184" s="28">
        <f>ABS(H184-E184)</f>
        <v>5.9399999999999995</v>
      </c>
      <c r="AD184" s="28">
        <f>ABS(I184-E184)</f>
        <v>3.5</v>
      </c>
      <c r="AE184" s="28">
        <f>ABS(S184-E184)</f>
        <v>1.5</v>
      </c>
      <c r="AF184" s="28">
        <f>ABS(L184-F184)</f>
        <v>9.27000000000001</v>
      </c>
      <c r="AG184" s="28">
        <f>ABS(M184-F184)</f>
        <v>12.900000000000006</v>
      </c>
      <c r="AH184" s="28">
        <f>ABS(U184-F184)</f>
        <v>9.5</v>
      </c>
      <c r="AI184" s="28">
        <f>ABS(P184-C184)</f>
        <v>5.260000000000005</v>
      </c>
      <c r="AJ184" s="28">
        <f>ABS(W184-C184)</f>
        <v>5.5</v>
      </c>
      <c r="AK184" s="28">
        <f>ABS(Q184-D184)</f>
        <v>7.769999999999996</v>
      </c>
      <c r="AL184" s="28">
        <f>ABS(X184-D184)</f>
        <v>4.0</v>
      </c>
      <c r="AM184" s="17" t="str">
        <f>IF(H184&gt;S184,"Ev",IF(H184&lt;S184,"Dep",""))</f>
        <v>Dep</v>
      </c>
      <c r="AN184" s="17" t="str">
        <f>IF(AM184="","",IF(E184=S184,"Push",IF((E184&gt;S184)=(AM184="Ev"),"Kazandı","Kaybetti")))</f>
        <v>Kazandı</v>
      </c>
      <c r="AO184" s="30">
        <f>IF(AM184="","",IF(AN184="Push",0,IF(AN184="Kazandı",IF(AM184="Ev",Oranlar!P184,Oranlar!Q184)-1,-1)))</f>
        <v>0.8695652173913042</v>
      </c>
      <c r="AP184" s="17" t="str">
        <f>IF(L184&gt;U184,"Üst",IF(L184&lt;U184,"Alt",""))</f>
        <v>Alt</v>
      </c>
      <c r="AQ184" s="17" t="str">
        <f>IF(AP184="","",IF(F184=U184,"Push",IF((F184&gt;U184)=(AP184="Üst"),"Kazandı","Kaybetti")))</f>
        <v>Kazandı</v>
      </c>
      <c r="AR184" s="30">
        <f>IF(AP184="","",IF(AQ184="Push",0,IF(AQ184="Kazandı",IF(AP184="Üst",Oranlar!W184,Oranlar!X184)-1,-1)))</f>
        <v>0.9523809523809523</v>
      </c>
      <c r="AS184" s="17" t="str">
        <f>IF(G184*Oranlar!R184&gt;1,"Ev",IF((1-G184)*Oranlar!S184&gt;1,"Dep",""))</f>
        <v>Dep</v>
      </c>
      <c r="AT184" s="30">
        <f>IF(AS184="","",IF((AS184="Ev")=(E184&gt;0),IF(AS184="Ev",Oranlar!R184,Oranlar!S184)-1,-1))</f>
        <v>-1.0</v>
      </c>
      <c r="AU184" s="16">
        <f>IF(OR(H184=T184,S184=T184),"",IF((H184&gt;T184)=(S184&gt;T184),1,0))</f>
        <v>0</v>
      </c>
      <c r="AV184" s="16">
        <f>IF(OR(L184=V184,U184=V184),"",IF((L184&gt;V184)=(U184&gt;V184),1,0))</f>
        <v>1</v>
      </c>
      <c r="AW184" s="16">
        <f>IF(AND(E184&gt;=J184,E184&lt;=K184),1,0)</f>
        <v>1</v>
      </c>
      <c r="AX184" s="16">
        <f>IF(AND(F184&gt;=N184,F184&lt;=O184),1,0)</f>
        <v>1</v>
      </c>
    </row>
    <row r="185" spans="1:50">
      <c r="A185" s="21">
        <f>Oranlar!A185</f>
        <v>46109</v>
      </c>
      <c r="B185" s="22" t="str">
        <f>Oranlar!C185&amp;" @ "&amp;Oranlar!D185</f>
        <v>SAS @ MIL</v>
      </c>
      <c r="C185" s="23">
        <f>Oranlar!F185</f>
        <v>95</v>
      </c>
      <c r="D185" s="23">
        <f>Oranlar!E185</f>
        <v>127</v>
      </c>
      <c r="E185" s="15">
        <f>C185-D185</f>
        <v>-32</v>
      </c>
      <c r="F185" s="16">
        <f>C185+D185</f>
        <v>222</v>
      </c>
      <c r="G185" s="24">
        <v>0.193</v>
      </c>
      <c r="H185" s="10">
        <v>-11.94</v>
      </c>
      <c r="I185" s="10">
        <v>-13.1</v>
      </c>
      <c r="J185" s="10">
        <v>-31</v>
      </c>
      <c r="K185" s="10">
        <v>5</v>
      </c>
      <c r="L185" s="11">
        <v>228.4</v>
      </c>
      <c r="M185" s="11">
        <v>226.7</v>
      </c>
      <c r="N185" s="11">
        <v>199</v>
      </c>
      <c r="O185" s="11">
        <v>254</v>
      </c>
      <c r="P185" s="11">
        <v>106.72</v>
      </c>
      <c r="Q185" s="11">
        <v>120.89</v>
      </c>
      <c r="R185" s="25">
        <f>Oranlar!Y185</f>
        <v>0.08755760368663595</v>
      </c>
      <c r="S185" s="26">
        <f>-Oranlar!O185</f>
        <v>-17.5</v>
      </c>
      <c r="T185" s="26">
        <f>-Oranlar!I185</f>
        <v>-18.5</v>
      </c>
      <c r="U185" s="27">
        <f>Oranlar!V185</f>
        <v>227.5</v>
      </c>
      <c r="V185" s="27">
        <f>Oranlar!L185</f>
        <v>226.5</v>
      </c>
      <c r="W185" s="28">
        <f>(U185+S185)/2</f>
        <v>105.0</v>
      </c>
      <c r="X185" s="28">
        <f>(U185-S185)/2</f>
        <v>122.5</v>
      </c>
      <c r="Y185" s="16">
        <f>IF(G185=0.5,"",IF((G185&gt;0.5)=(E185&gt;0),1,0))</f>
        <v>1</v>
      </c>
      <c r="Z185" s="16">
        <f>IF(R185=0.5,"",IF((R185&gt;0.5)=(E185&gt;0),1,0))</f>
        <v>1</v>
      </c>
      <c r="AA185" s="29">
        <f>(G185-IF(E185&gt;0,1,0))^2</f>
        <v>0.037249000000000004</v>
      </c>
      <c r="AB185" s="29">
        <f>(R185-IF(E185&gt;0,1,0))^2</f>
        <v>0.007666333963346006</v>
      </c>
      <c r="AC185" s="28">
        <f>ABS(H185-E185)</f>
        <v>20.060000000000002</v>
      </c>
      <c r="AD185" s="28">
        <f>ABS(I185-E185)</f>
        <v>18.9</v>
      </c>
      <c r="AE185" s="28">
        <f>ABS(S185-E185)</f>
        <v>14.5</v>
      </c>
      <c r="AF185" s="28">
        <f>ABS(L185-F185)</f>
        <v>6.400000000000006</v>
      </c>
      <c r="AG185" s="28">
        <f>ABS(M185-F185)</f>
        <v>4.699999999999989</v>
      </c>
      <c r="AH185" s="28">
        <f>ABS(U185-F185)</f>
        <v>5.5</v>
      </c>
      <c r="AI185" s="28">
        <f>ABS(P185-C185)</f>
        <v>11.719999999999999</v>
      </c>
      <c r="AJ185" s="28">
        <f>ABS(W185-C185)</f>
        <v>10.0</v>
      </c>
      <c r="AK185" s="28">
        <f>ABS(Q185-D185)</f>
        <v>6.109999999999999</v>
      </c>
      <c r="AL185" s="28">
        <f>ABS(X185-D185)</f>
        <v>4.5</v>
      </c>
      <c r="AM185" s="17" t="str">
        <f>IF(H185&gt;S185,"Ev",IF(H185&lt;S185,"Dep",""))</f>
        <v>Ev</v>
      </c>
      <c r="AN185" s="17" t="str">
        <f>IF(AM185="","",IF(E185=S185,"Push",IF((E185&gt;S185)=(AM185="Ev"),"Kazandı","Kaybetti")))</f>
        <v>Kaybetti</v>
      </c>
      <c r="AO185" s="30">
        <f>IF(AM185="","",IF(AN185="Push",0,IF(AN185="Kazandı",IF(AM185="Ev",Oranlar!P185,Oranlar!Q185)-1,-1)))</f>
        <v>-1.0</v>
      </c>
      <c r="AP185" s="17" t="str">
        <f>IF(L185&gt;U185,"Üst",IF(L185&lt;U185,"Alt",""))</f>
        <v>Üst</v>
      </c>
      <c r="AQ185" s="17" t="str">
        <f>IF(AP185="","",IF(F185=U185,"Push",IF((F185&gt;U185)=(AP185="Üst"),"Kazandı","Kaybetti")))</f>
        <v>Kaybetti</v>
      </c>
      <c r="AR185" s="30">
        <f>IF(AP185="","",IF(AQ185="Push",0,IF(AQ185="Kazandı",IF(AP185="Üst",Oranlar!W185,Oranlar!X185)-1,-1)))</f>
        <v>-1.0</v>
      </c>
      <c r="AS185" s="17" t="str">
        <f>IF(G185*Oranlar!R185&gt;1,"Ev",IF((1-G185)*Oranlar!S185&gt;1,"Dep",""))</f>
        <v>Ev</v>
      </c>
      <c r="AT185" s="30">
        <f>IF(AS185="","",IF((AS185="Ev")=(E185&gt;0),IF(AS185="Ev",Oranlar!R185,Oranlar!S185)-1,-1))</f>
        <v>-1.0</v>
      </c>
      <c r="AU185" s="16">
        <f>IF(OR(H185=T185,S185=T185),"",IF((H185&gt;T185)=(S185&gt;T185),1,0))</f>
        <v>1</v>
      </c>
      <c r="AV185" s="16">
        <f>IF(OR(L185=V185,U185=V185),"",IF((L185&gt;V185)=(U185&gt;V185),1,0))</f>
        <v>1</v>
      </c>
      <c r="AW185" s="16">
        <f>IF(AND(E185&gt;=J185,E185&lt;=K185),1,0)</f>
        <v>0</v>
      </c>
      <c r="AX185" s="16">
        <f>IF(AND(F185&gt;=N185,F185&lt;=O185),1,0)</f>
        <v>1</v>
      </c>
    </row>
    <row r="186" spans="1:50">
      <c r="A186" s="21">
        <f>Oranlar!A186</f>
        <v>46109</v>
      </c>
      <c r="B186" s="22" t="str">
        <f>Oranlar!C186&amp;" @ "&amp;Oranlar!D186</f>
        <v>PHI @ CHA</v>
      </c>
      <c r="C186" s="23">
        <f>Oranlar!F186</f>
        <v>114</v>
      </c>
      <c r="D186" s="23">
        <f>Oranlar!E186</f>
        <v>118</v>
      </c>
      <c r="E186" s="15">
        <f>C186-D186</f>
        <v>-4</v>
      </c>
      <c r="F186" s="16">
        <f>C186+D186</f>
        <v>232</v>
      </c>
      <c r="G186" s="24">
        <v>0.634</v>
      </c>
      <c r="H186" s="10">
        <v>5.22</v>
      </c>
      <c r="I186" s="10">
        <v>7.1</v>
      </c>
      <c r="J186" s="10">
        <v>-11</v>
      </c>
      <c r="K186" s="10">
        <v>26</v>
      </c>
      <c r="L186" s="11">
        <v>229.91</v>
      </c>
      <c r="M186" s="11">
        <v>232.7</v>
      </c>
      <c r="N186" s="11">
        <v>205</v>
      </c>
      <c r="O186" s="11">
        <v>260</v>
      </c>
      <c r="P186" s="11">
        <v>119.58</v>
      </c>
      <c r="Q186" s="11">
        <v>111.53</v>
      </c>
      <c r="R186" s="25">
        <f>Oranlar!Y186</f>
        <v>0.6853932584269663</v>
      </c>
      <c r="S186" s="26">
        <f>-Oranlar!O186</f>
        <v>6.5</v>
      </c>
      <c r="T186" s="26">
        <f>-Oranlar!I186</f>
        <v>5.5</v>
      </c>
      <c r="U186" s="27">
        <f>Oranlar!V186</f>
        <v>231.5</v>
      </c>
      <c r="V186" s="27">
        <f>Oranlar!L186</f>
        <v>229.5</v>
      </c>
      <c r="W186" s="28">
        <f>(U186+S186)/2</f>
        <v>119.0</v>
      </c>
      <c r="X186" s="28">
        <f>(U186-S186)/2</f>
        <v>112.5</v>
      </c>
      <c r="Y186" s="16">
        <f>IF(G186=0.5,"",IF((G186&gt;0.5)=(E186&gt;0),1,0))</f>
        <v>0</v>
      </c>
      <c r="Z186" s="16">
        <f>IF(R186=0.5,"",IF((R186&gt;0.5)=(E186&gt;0),1,0))</f>
        <v>0</v>
      </c>
      <c r="AA186" s="29">
        <f>(G186-IF(E186&gt;0,1,0))^2</f>
        <v>0.40195600000000004</v>
      </c>
      <c r="AB186" s="29">
        <f>(R186-IF(E186&gt;0,1,0))^2</f>
        <v>0.4697639186971342</v>
      </c>
      <c r="AC186" s="28">
        <f>ABS(H186-E186)</f>
        <v>9.219999999999999</v>
      </c>
      <c r="AD186" s="28">
        <f>ABS(I186-E186)</f>
        <v>11.1</v>
      </c>
      <c r="AE186" s="28">
        <f>ABS(S186-E186)</f>
        <v>10.5</v>
      </c>
      <c r="AF186" s="28">
        <f>ABS(L186-F186)</f>
        <v>2.0900000000000034</v>
      </c>
      <c r="AG186" s="28">
        <f>ABS(M186-F186)</f>
        <v>0.6999999999999886</v>
      </c>
      <c r="AH186" s="28">
        <f>ABS(U186-F186)</f>
        <v>0.5</v>
      </c>
      <c r="AI186" s="28">
        <f>ABS(P186-C186)</f>
        <v>5.579999999999998</v>
      </c>
      <c r="AJ186" s="28">
        <f>ABS(W186-C186)</f>
        <v>5.0</v>
      </c>
      <c r="AK186" s="28">
        <f>ABS(Q186-D186)</f>
        <v>6.469999999999999</v>
      </c>
      <c r="AL186" s="28">
        <f>ABS(X186-D186)</f>
        <v>5.5</v>
      </c>
      <c r="AM186" s="17" t="str">
        <f>IF(H186&gt;S186,"Ev",IF(H186&lt;S186,"Dep",""))</f>
        <v>Dep</v>
      </c>
      <c r="AN186" s="17" t="str">
        <f>IF(AM186="","",IF(E186=S186,"Push",IF((E186&gt;S186)=(AM186="Ev"),"Kazandı","Kaybetti")))</f>
        <v>Kazandı</v>
      </c>
      <c r="AO186" s="30">
        <f>IF(AM186="","",IF(AN186="Push",0,IF(AN186="Kazandı",IF(AM186="Ev",Oranlar!P186,Oranlar!Q186)-1,-1)))</f>
        <v>0.9090909090909092</v>
      </c>
      <c r="AP186" s="17" t="str">
        <f>IF(L186&gt;U186,"Üst",IF(L186&lt;U186,"Alt",""))</f>
        <v>Alt</v>
      </c>
      <c r="AQ186" s="17" t="str">
        <f>IF(AP186="","",IF(F186=U186,"Push",IF((F186&gt;U186)=(AP186="Üst"),"Kazandı","Kaybetti")))</f>
        <v>Kaybetti</v>
      </c>
      <c r="AR186" s="30">
        <f>IF(AP186="","",IF(AQ186="Push",0,IF(AQ186="Kazandı",IF(AP186="Üst",Oranlar!W186,Oranlar!X186)-1,-1)))</f>
        <v>-1.0</v>
      </c>
      <c r="AS186" s="17" t="str">
        <f>IF(G186*Oranlar!R186&gt;1,"Ev",IF((1-G186)*Oranlar!S186&gt;1,"Dep",""))</f>
        <v>Dep</v>
      </c>
      <c r="AT186" s="30">
        <f>IF(AS186="","",IF((AS186="Ev")=(E186&gt;0),IF(AS186="Ev",Oranlar!R186,Oranlar!S186)-1,-1))</f>
        <v>2.05</v>
      </c>
      <c r="AU186" s="16">
        <f>IF(OR(H186=T186,S186=T186),"",IF((H186&gt;T186)=(S186&gt;T186),1,0))</f>
        <v>0</v>
      </c>
      <c r="AV186" s="16">
        <f>IF(OR(L186=V186,U186=V186),"",IF((L186&gt;V186)=(U186&gt;V186),1,0))</f>
        <v>1</v>
      </c>
      <c r="AW186" s="16">
        <f>IF(AND(E186&gt;=J186,E186&lt;=K186),1,0)</f>
        <v>1</v>
      </c>
      <c r="AX186" s="16">
        <f>IF(AND(F186&gt;=N186,F186&lt;=O186),1,0)</f>
        <v>1</v>
      </c>
    </row>
    <row r="187" spans="1:50">
      <c r="A187" s="21">
        <f>Oranlar!A187</f>
        <v>46109</v>
      </c>
      <c r="B187" s="22" t="str">
        <f>Oranlar!C187&amp;" @ "&amp;Oranlar!D187</f>
        <v>SAC @ ATL</v>
      </c>
      <c r="C187" s="23">
        <f>Oranlar!F187</f>
        <v>123</v>
      </c>
      <c r="D187" s="23">
        <f>Oranlar!E187</f>
        <v>113</v>
      </c>
      <c r="E187" s="15">
        <f>C187-D187</f>
        <v>10</v>
      </c>
      <c r="F187" s="16">
        <f>C187+D187</f>
        <v>236</v>
      </c>
      <c r="G187" s="24">
        <v>0.705</v>
      </c>
      <c r="H187" s="10">
        <v>8.56</v>
      </c>
      <c r="I187" s="10">
        <v>8.199999999999999</v>
      </c>
      <c r="J187" s="10">
        <v>-10</v>
      </c>
      <c r="K187" s="10">
        <v>27</v>
      </c>
      <c r="L187" s="11">
        <v>234.61</v>
      </c>
      <c r="M187" s="11">
        <v>236.4</v>
      </c>
      <c r="N187" s="11">
        <v>209</v>
      </c>
      <c r="O187" s="11">
        <v>264</v>
      </c>
      <c r="P187" s="11">
        <v>120.81</v>
      </c>
      <c r="Q187" s="11">
        <v>115.38</v>
      </c>
      <c r="R187" s="25">
        <f>Oranlar!Y187</f>
        <v>0.8524590163934427</v>
      </c>
      <c r="S187" s="26">
        <f>-Oranlar!O187</f>
        <v>13.5</v>
      </c>
      <c r="T187" s="26">
        <f>-Oranlar!I187</f>
        <v>15.5</v>
      </c>
      <c r="U187" s="27">
        <f>Oranlar!V187</f>
        <v>234.5</v>
      </c>
      <c r="V187" s="27">
        <f>Oranlar!L187</f>
        <v>237.5</v>
      </c>
      <c r="W187" s="28">
        <f>(U187+S187)/2</f>
        <v>124.0</v>
      </c>
      <c r="X187" s="28">
        <f>(U187-S187)/2</f>
        <v>110.5</v>
      </c>
      <c r="Y187" s="16">
        <f>IF(G187=0.5,"",IF((G187&gt;0.5)=(E187&gt;0),1,0))</f>
        <v>1</v>
      </c>
      <c r="Z187" s="16">
        <f>IF(R187=0.5,"",IF((R187&gt;0.5)=(E187&gt;0),1,0))</f>
        <v>1</v>
      </c>
      <c r="AA187" s="29">
        <f>(G187-IF(E187&gt;0,1,0))^2</f>
        <v>0.08702500000000002</v>
      </c>
      <c r="AB187" s="29">
        <f>(R187-IF(E187&gt;0,1,0))^2</f>
        <v>0.021768341843590416</v>
      </c>
      <c r="AC187" s="28">
        <f>ABS(H187-E187)</f>
        <v>1.4399999999999995</v>
      </c>
      <c r="AD187" s="28">
        <f>ABS(I187-E187)</f>
        <v>1.8000000000000007</v>
      </c>
      <c r="AE187" s="28">
        <f>ABS(S187-E187)</f>
        <v>3.5</v>
      </c>
      <c r="AF187" s="28">
        <f>ABS(L187-F187)</f>
        <v>1.3899999999999864</v>
      </c>
      <c r="AG187" s="28">
        <f>ABS(M187-F187)</f>
        <v>0.4000000000000057</v>
      </c>
      <c r="AH187" s="28">
        <f>ABS(U187-F187)</f>
        <v>1.5</v>
      </c>
      <c r="AI187" s="28">
        <f>ABS(P187-C187)</f>
        <v>2.1899999999999977</v>
      </c>
      <c r="AJ187" s="28">
        <f>ABS(W187-C187)</f>
        <v>1.0</v>
      </c>
      <c r="AK187" s="28">
        <f>ABS(Q187-D187)</f>
        <v>2.3799999999999955</v>
      </c>
      <c r="AL187" s="28">
        <f>ABS(X187-D187)</f>
        <v>2.5</v>
      </c>
      <c r="AM187" s="17" t="str">
        <f>IF(H187&gt;S187,"Ev",IF(H187&lt;S187,"Dep",""))</f>
        <v>Dep</v>
      </c>
      <c r="AN187" s="17" t="str">
        <f>IF(AM187="","",IF(E187=S187,"Push",IF((E187&gt;S187)=(AM187="Ev"),"Kazandı","Kaybetti")))</f>
        <v>Kazandı</v>
      </c>
      <c r="AO187" s="30">
        <f>IF(AM187="","",IF(AN187="Push",0,IF(AN187="Kazandı",IF(AM187="Ev",Oranlar!P187,Oranlar!Q187)-1,-1)))</f>
        <v>0.8928571428571428</v>
      </c>
      <c r="AP187" s="17" t="str">
        <f>IF(L187&gt;U187,"Üst",IF(L187&lt;U187,"Alt",""))</f>
        <v>Üst</v>
      </c>
      <c r="AQ187" s="17" t="str">
        <f>IF(AP187="","",IF(F187=U187,"Push",IF((F187&gt;U187)=(AP187="Üst"),"Kazandı","Kaybetti")))</f>
        <v>Kazandı</v>
      </c>
      <c r="AR187" s="30">
        <f>IF(AP187="","",IF(AQ187="Push",0,IF(AQ187="Kazandı",IF(AP187="Üst",Oranlar!W187,Oranlar!X187)-1,-1)))</f>
        <v>0.9090909090909092</v>
      </c>
      <c r="AS187" s="17" t="str">
        <f>IF(G187*Oranlar!R187&gt;1,"Ev",IF((1-G187)*Oranlar!S187&gt;1,"Dep",""))</f>
        <v>Dep</v>
      </c>
      <c r="AT187" s="30">
        <f>IF(AS187="","",IF((AS187="Ev")=(E187&gt;0),IF(AS187="Ev",Oranlar!R187,Oranlar!S187)-1,-1))</f>
        <v>-1.0</v>
      </c>
      <c r="AU187" s="16">
        <f>IF(OR(H187=T187,S187=T187),"",IF((H187&gt;T187)=(S187&gt;T187),1,0))</f>
        <v>1</v>
      </c>
      <c r="AV187" s="16">
        <f>IF(OR(L187=V187,U187=V187),"",IF((L187&gt;V187)=(U187&gt;V187),1,0))</f>
        <v>1</v>
      </c>
      <c r="AW187" s="16">
        <f>IF(AND(E187&gt;=J187,E187&lt;=K187),1,0)</f>
        <v>1</v>
      </c>
      <c r="AX187" s="16">
        <f>IF(AND(F187&gt;=N187,F187&lt;=O187),1,0)</f>
        <v>1</v>
      </c>
    </row>
    <row r="188" spans="1:50">
      <c r="A188" s="21">
        <f>Oranlar!A188</f>
        <v>46109</v>
      </c>
      <c r="B188" s="22" t="str">
        <f>Oranlar!C188&amp;" @ "&amp;Oranlar!D188</f>
        <v>CHI @ MEM</v>
      </c>
      <c r="C188" s="23">
        <f>Oranlar!F188</f>
        <v>125</v>
      </c>
      <c r="D188" s="23">
        <f>Oranlar!E188</f>
        <v>124</v>
      </c>
      <c r="E188" s="15">
        <f>C188-D188</f>
        <v>1</v>
      </c>
      <c r="F188" s="16">
        <f>C188+D188</f>
        <v>249</v>
      </c>
      <c r="G188" s="24">
        <v>0.444</v>
      </c>
      <c r="H188" s="10">
        <v>1.32</v>
      </c>
      <c r="I188" s="10">
        <v>-4.8</v>
      </c>
      <c r="J188" s="10">
        <v>-24</v>
      </c>
      <c r="K188" s="10">
        <v>14</v>
      </c>
      <c r="L188" s="11">
        <v>236.64</v>
      </c>
      <c r="M188" s="11">
        <v>240.7</v>
      </c>
      <c r="N188" s="11">
        <v>212</v>
      </c>
      <c r="O188" s="11">
        <v>269</v>
      </c>
      <c r="P188" s="11">
        <v>116.5</v>
      </c>
      <c r="Q188" s="11">
        <v>122.11</v>
      </c>
      <c r="R188" s="25">
        <f>Oranlar!Y188</f>
        <v>0.35527082119976705</v>
      </c>
      <c r="S188" s="26">
        <f>-Oranlar!O188</f>
        <v>-5.5</v>
      </c>
      <c r="T188" s="26">
        <f>-Oranlar!I188</f>
        <v>-3.5</v>
      </c>
      <c r="U188" s="27">
        <f>Oranlar!V188</f>
        <v>247.5</v>
      </c>
      <c r="V188" s="27">
        <f>Oranlar!L188</f>
        <v>243.5</v>
      </c>
      <c r="W188" s="28">
        <f>(U188+S188)/2</f>
        <v>121.0</v>
      </c>
      <c r="X188" s="28">
        <f>(U188-S188)/2</f>
        <v>126.5</v>
      </c>
      <c r="Y188" s="16">
        <f>IF(G188=0.5,"",IF((G188&gt;0.5)=(E188&gt;0),1,0))</f>
        <v>0</v>
      </c>
      <c r="Z188" s="16">
        <f>IF(R188=0.5,"",IF((R188&gt;0.5)=(E188&gt;0),1,0))</f>
        <v>0</v>
      </c>
      <c r="AA188" s="29">
        <f>(G188-IF(E188&gt;0,1,0))^2</f>
        <v>0.3091360000000001</v>
      </c>
      <c r="AB188" s="29">
        <f>(R188-IF(E188&gt;0,1,0))^2</f>
        <v>0.4156757139964227</v>
      </c>
      <c r="AC188" s="28">
        <f>ABS(H188-E188)</f>
        <v>0.32000000000000006</v>
      </c>
      <c r="AD188" s="28">
        <f>ABS(I188-E188)</f>
        <v>5.8</v>
      </c>
      <c r="AE188" s="28">
        <f>ABS(S188-E188)</f>
        <v>6.5</v>
      </c>
      <c r="AF188" s="28">
        <f>ABS(L188-F188)</f>
        <v>12.360000000000014</v>
      </c>
      <c r="AG188" s="28">
        <f>ABS(M188-F188)</f>
        <v>8.300000000000011</v>
      </c>
      <c r="AH188" s="28">
        <f>ABS(U188-F188)</f>
        <v>1.5</v>
      </c>
      <c r="AI188" s="28">
        <f>ABS(P188-C188)</f>
        <v>8.5</v>
      </c>
      <c r="AJ188" s="28">
        <f>ABS(W188-C188)</f>
        <v>4.0</v>
      </c>
      <c r="AK188" s="28">
        <f>ABS(Q188-D188)</f>
        <v>1.8900000000000006</v>
      </c>
      <c r="AL188" s="28">
        <f>ABS(X188-D188)</f>
        <v>2.5</v>
      </c>
      <c r="AM188" s="17" t="str">
        <f>IF(H188&gt;S188,"Ev",IF(H188&lt;S188,"Dep",""))</f>
        <v>Ev</v>
      </c>
      <c r="AN188" s="17" t="str">
        <f>IF(AM188="","",IF(E188=S188,"Push",IF((E188&gt;S188)=(AM188="Ev"),"Kazandı","Kaybetti")))</f>
        <v>Kazandı</v>
      </c>
      <c r="AO188" s="30">
        <f>IF(AM188="","",IF(AN188="Push",0,IF(AN188="Kazandı",IF(AM188="Ev",Oranlar!P188,Oranlar!Q188)-1,-1)))</f>
        <v>0.8695652173913042</v>
      </c>
      <c r="AP188" s="17" t="str">
        <f>IF(L188&gt;U188,"Üst",IF(L188&lt;U188,"Alt",""))</f>
        <v>Alt</v>
      </c>
      <c r="AQ188" s="17" t="str">
        <f>IF(AP188="","",IF(F188=U188,"Push",IF((F188&gt;U188)=(AP188="Üst"),"Kazandı","Kaybetti")))</f>
        <v>Kaybetti</v>
      </c>
      <c r="AR188" s="30">
        <f>IF(AP188="","",IF(AQ188="Push",0,IF(AQ188="Kazandı",IF(AP188="Üst",Oranlar!W188,Oranlar!X188)-1,-1)))</f>
        <v>-1.0</v>
      </c>
      <c r="AS188" s="17" t="str">
        <f>IF(G188*Oranlar!R188&gt;1,"Ev",IF((1-G188)*Oranlar!S188&gt;1,"Dep",""))</f>
        <v>Ev</v>
      </c>
      <c r="AT188" s="30">
        <f>IF(AS188="","",IF((AS188="Ev")=(E188&gt;0),IF(AS188="Ev",Oranlar!R188,Oranlar!S188)-1,-1))</f>
        <v>1.7000000000000002</v>
      </c>
      <c r="AU188" s="16">
        <f>IF(OR(H188=T188,S188=T188),"",IF((H188&gt;T188)=(S188&gt;T188),1,0))</f>
        <v>0</v>
      </c>
      <c r="AV188" s="16">
        <f>IF(OR(L188=V188,U188=V188),"",IF((L188&gt;V188)=(U188&gt;V188),1,0))</f>
        <v>0</v>
      </c>
      <c r="AW188" s="16">
        <f>IF(AND(E188&gt;=J188,E188&lt;=K188),1,0)</f>
        <v>1</v>
      </c>
      <c r="AX188" s="16">
        <f>IF(AND(F188&gt;=N188,F188&lt;=O188),1,0)</f>
        <v>1</v>
      </c>
    </row>
    <row r="189" spans="1:50">
      <c r="A189" s="21">
        <f>Oranlar!A189</f>
        <v>46109</v>
      </c>
      <c r="B189" s="22" t="str">
        <f>Oranlar!C189&amp;" @ "&amp;Oranlar!D189</f>
        <v>DET @ MIN</v>
      </c>
      <c r="C189" s="23">
        <f>Oranlar!F189</f>
        <v>87</v>
      </c>
      <c r="D189" s="23">
        <f>Oranlar!E189</f>
        <v>109</v>
      </c>
      <c r="E189" s="15">
        <f>C189-D189</f>
        <v>-22</v>
      </c>
      <c r="F189" s="16">
        <f>C189+D189</f>
        <v>196</v>
      </c>
      <c r="G189" s="24">
        <v>0.387</v>
      </c>
      <c r="H189" s="10">
        <v>-4.86</v>
      </c>
      <c r="I189" s="10">
        <v>-0.5</v>
      </c>
      <c r="J189" s="10">
        <v>-19</v>
      </c>
      <c r="K189" s="10">
        <v>18</v>
      </c>
      <c r="L189" s="11">
        <v>228.73</v>
      </c>
      <c r="M189" s="11">
        <v>226.2</v>
      </c>
      <c r="N189" s="11">
        <v>199</v>
      </c>
      <c r="O189" s="11">
        <v>253</v>
      </c>
      <c r="P189" s="11">
        <v>112.3</v>
      </c>
      <c r="Q189" s="11">
        <v>116.49</v>
      </c>
      <c r="R189" s="25">
        <f>Oranlar!Y189</f>
        <v>0.4572564612326044</v>
      </c>
      <c r="S189" s="26">
        <f>-Oranlar!O189</f>
        <v>-2.5</v>
      </c>
      <c r="T189" s="26">
        <f>-Oranlar!I189</f>
        <v>2.5</v>
      </c>
      <c r="U189" s="27">
        <f>Oranlar!V189</f>
        <v>221.5</v>
      </c>
      <c r="V189" s="27">
        <f>Oranlar!L189</f>
        <v>224.5</v>
      </c>
      <c r="W189" s="28">
        <f>(U189+S189)/2</f>
        <v>109.5</v>
      </c>
      <c r="X189" s="28">
        <f>(U189-S189)/2</f>
        <v>112.0</v>
      </c>
      <c r="Y189" s="16">
        <f>IF(G189=0.5,"",IF((G189&gt;0.5)=(E189&gt;0),1,0))</f>
        <v>1</v>
      </c>
      <c r="Z189" s="16">
        <f>IF(R189=0.5,"",IF((R189&gt;0.5)=(E189&gt;0),1,0))</f>
        <v>1</v>
      </c>
      <c r="AA189" s="29">
        <f>(G189-IF(E189&gt;0,1,0))^2</f>
        <v>0.149769</v>
      </c>
      <c r="AB189" s="29">
        <f>(R189-IF(E189&gt;0,1,0))^2</f>
        <v>0.20908347133896424</v>
      </c>
      <c r="AC189" s="28">
        <f>ABS(H189-E189)</f>
        <v>17.14</v>
      </c>
      <c r="AD189" s="28">
        <f>ABS(I189-E189)</f>
        <v>21.5</v>
      </c>
      <c r="AE189" s="28">
        <f>ABS(S189-E189)</f>
        <v>19.5</v>
      </c>
      <c r="AF189" s="28">
        <f>ABS(L189-F189)</f>
        <v>32.72999999999999</v>
      </c>
      <c r="AG189" s="28">
        <f>ABS(M189-F189)</f>
        <v>30.19999999999999</v>
      </c>
      <c r="AH189" s="28">
        <f>ABS(U189-F189)</f>
        <v>25.5</v>
      </c>
      <c r="AI189" s="28">
        <f>ABS(P189-C189)</f>
        <v>25.299999999999997</v>
      </c>
      <c r="AJ189" s="28">
        <f>ABS(W189-C189)</f>
        <v>22.5</v>
      </c>
      <c r="AK189" s="28">
        <f>ABS(Q189-D189)</f>
        <v>7.489999999999995</v>
      </c>
      <c r="AL189" s="28">
        <f>ABS(X189-D189)</f>
        <v>3.0</v>
      </c>
      <c r="AM189" s="17" t="str">
        <f>IF(H189&gt;S189,"Ev",IF(H189&lt;S189,"Dep",""))</f>
        <v>Dep</v>
      </c>
      <c r="AN189" s="17" t="str">
        <f>IF(AM189="","",IF(E189=S189,"Push",IF((E189&gt;S189)=(AM189="Ev"),"Kazandı","Kaybetti")))</f>
        <v>Kazandı</v>
      </c>
      <c r="AO189" s="30">
        <f>IF(AM189="","",IF(AN189="Push",0,IF(AN189="Kazandı",IF(AM189="Ev",Oranlar!P189,Oranlar!Q189)-1,-1)))</f>
        <v>0.9803921568627452</v>
      </c>
      <c r="AP189" s="17" t="str">
        <f>IF(L189&gt;U189,"Üst",IF(L189&lt;U189,"Alt",""))</f>
        <v>Üst</v>
      </c>
      <c r="AQ189" s="17" t="str">
        <f>IF(AP189="","",IF(F189=U189,"Push",IF((F189&gt;U189)=(AP189="Üst"),"Kazandı","Kaybetti")))</f>
        <v>Kaybetti</v>
      </c>
      <c r="AR189" s="30">
        <f>IF(AP189="","",IF(AQ189="Push",0,IF(AQ189="Kazandı",IF(AP189="Üst",Oranlar!W189,Oranlar!X189)-1,-1)))</f>
        <v>-1.0</v>
      </c>
      <c r="AS189" s="17" t="str">
        <f>IF(G189*Oranlar!R189&gt;1,"Ev",IF((1-G189)*Oranlar!S189&gt;1,"Dep",""))</f>
        <v>Dep</v>
      </c>
      <c r="AT189" s="30">
        <f>IF(AS189="","",IF((AS189="Ev")=(E189&gt;0),IF(AS189="Ev",Oranlar!R189,Oranlar!S189)-1,-1))</f>
        <v>0.7692307692307692</v>
      </c>
      <c r="AU189" s="16">
        <f>IF(OR(H189=T189,S189=T189),"",IF((H189&gt;T189)=(S189&gt;T189),1,0))</f>
        <v>1</v>
      </c>
      <c r="AV189" s="16">
        <f>IF(OR(L189=V189,U189=V189),"",IF((L189&gt;V189)=(U189&gt;V189),1,0))</f>
        <v>0</v>
      </c>
      <c r="AW189" s="16">
        <f>IF(AND(E189&gt;=J189,E189&lt;=K189),1,0)</f>
        <v>0</v>
      </c>
      <c r="AX189" s="16">
        <f>IF(AND(F189&gt;=N189,F189&lt;=O189),1,0)</f>
        <v>0</v>
      </c>
    </row>
    <row r="190" spans="1:50">
      <c r="A190" s="21">
        <f>Oranlar!A190</f>
        <v>46109</v>
      </c>
      <c r="B190" s="22" t="str">
        <f>Oranlar!C190&amp;" @ "&amp;Oranlar!D190</f>
        <v>UTA @ PHX</v>
      </c>
      <c r="C190" s="23">
        <f>Oranlar!F190</f>
        <v>134</v>
      </c>
      <c r="D190" s="23">
        <f>Oranlar!E190</f>
        <v>109</v>
      </c>
      <c r="E190" s="15">
        <f>C190-D190</f>
        <v>25</v>
      </c>
      <c r="F190" s="16">
        <f>C190+D190</f>
        <v>243</v>
      </c>
      <c r="G190" s="24">
        <v>0.782</v>
      </c>
      <c r="H190" s="10">
        <v>13.12</v>
      </c>
      <c r="I190" s="10">
        <v>12.1</v>
      </c>
      <c r="J190" s="10">
        <v>-6</v>
      </c>
      <c r="K190" s="10">
        <v>31</v>
      </c>
      <c r="L190" s="11">
        <v>231.54</v>
      </c>
      <c r="M190" s="11">
        <v>232.6</v>
      </c>
      <c r="N190" s="11">
        <v>205</v>
      </c>
      <c r="O190" s="11">
        <v>260</v>
      </c>
      <c r="P190" s="11">
        <v>122.98</v>
      </c>
      <c r="Q190" s="11">
        <v>111.95</v>
      </c>
      <c r="R190" s="25">
        <f>Oranlar!Y190</f>
        <v>0.908256880733945</v>
      </c>
      <c r="S190" s="26">
        <f>-Oranlar!O190</f>
        <v>17.5</v>
      </c>
      <c r="T190" s="26">
        <f>-Oranlar!I190</f>
        <v>16.5</v>
      </c>
      <c r="U190" s="27">
        <f>Oranlar!V190</f>
        <v>232.5</v>
      </c>
      <c r="V190" s="27">
        <f>Oranlar!L190</f>
        <v>230.5</v>
      </c>
      <c r="W190" s="28">
        <f>(U190+S190)/2</f>
        <v>125.0</v>
      </c>
      <c r="X190" s="28">
        <f>(U190-S190)/2</f>
        <v>107.5</v>
      </c>
      <c r="Y190" s="16">
        <f>IF(G190=0.5,"",IF((G190&gt;0.5)=(E190&gt;0),1,0))</f>
        <v>1</v>
      </c>
      <c r="Z190" s="16">
        <f>IF(R190=0.5,"",IF((R190&gt;0.5)=(E190&gt;0),1,0))</f>
        <v>1</v>
      </c>
      <c r="AA190" s="29">
        <f>(G190-IF(E190&gt;0,1,0))^2</f>
        <v>0.04752399999999999</v>
      </c>
      <c r="AB190" s="29">
        <f>(R190-IF(E190&gt;0,1,0))^2</f>
        <v>0.008416799932665602</v>
      </c>
      <c r="AC190" s="28">
        <f>ABS(H190-E190)</f>
        <v>11.88</v>
      </c>
      <c r="AD190" s="28">
        <f>ABS(I190-E190)</f>
        <v>12.9</v>
      </c>
      <c r="AE190" s="28">
        <f>ABS(S190-E190)</f>
        <v>7.5</v>
      </c>
      <c r="AF190" s="28">
        <f>ABS(L190-F190)</f>
        <v>11.460000000000008</v>
      </c>
      <c r="AG190" s="28">
        <f>ABS(M190-F190)</f>
        <v>10.400000000000006</v>
      </c>
      <c r="AH190" s="28">
        <f>ABS(U190-F190)</f>
        <v>10.5</v>
      </c>
      <c r="AI190" s="28">
        <f>ABS(P190-C190)</f>
        <v>11.019999999999996</v>
      </c>
      <c r="AJ190" s="28">
        <f>ABS(W190-C190)</f>
        <v>9.0</v>
      </c>
      <c r="AK190" s="28">
        <f>ABS(Q190-D190)</f>
        <v>2.950000000000003</v>
      </c>
      <c r="AL190" s="28">
        <f>ABS(X190-D190)</f>
        <v>1.5</v>
      </c>
      <c r="AM190" s="17" t="str">
        <f>IF(H190&gt;S190,"Ev",IF(H190&lt;S190,"Dep",""))</f>
        <v>Dep</v>
      </c>
      <c r="AN190" s="17" t="str">
        <f>IF(AM190="","",IF(E190=S190,"Push",IF((E190&gt;S190)=(AM190="Ev"),"Kazandı","Kaybetti")))</f>
        <v>Kaybetti</v>
      </c>
      <c r="AO190" s="30">
        <f>IF(AM190="","",IF(AN190="Push",0,IF(AN190="Kazandı",IF(AM190="Ev",Oranlar!P190,Oranlar!Q190)-1,-1)))</f>
        <v>-1.0</v>
      </c>
      <c r="AP190" s="17" t="str">
        <f>IF(L190&gt;U190,"Üst",IF(L190&lt;U190,"Alt",""))</f>
        <v>Alt</v>
      </c>
      <c r="AQ190" s="17" t="str">
        <f>IF(AP190="","",IF(F190=U190,"Push",IF((F190&gt;U190)=(AP190="Üst"),"Kazandı","Kaybetti")))</f>
        <v>Kaybetti</v>
      </c>
      <c r="AR190" s="30">
        <f>IF(AP190="","",IF(AQ190="Push",0,IF(AQ190="Kazandı",IF(AP190="Üst",Oranlar!W190,Oranlar!X190)-1,-1)))</f>
        <v>-1.0</v>
      </c>
      <c r="AS190" s="17" t="str">
        <f>IF(G190*Oranlar!R190&gt;1,"Ev",IF((1-G190)*Oranlar!S190&gt;1,"Dep",""))</f>
        <v>Dep</v>
      </c>
      <c r="AT190" s="30">
        <f>IF(AS190="","",IF((AS190="Ev")=(E190&gt;0),IF(AS190="Ev",Oranlar!R190,Oranlar!S190)-1,-1))</f>
        <v>-1.0</v>
      </c>
      <c r="AU190" s="16">
        <f>IF(OR(H190=T190,S190=T190),"",IF((H190&gt;T190)=(S190&gt;T190),1,0))</f>
        <v>0</v>
      </c>
      <c r="AV190" s="16">
        <f>IF(OR(L190=V190,U190=V190),"",IF((L190&gt;V190)=(U190&gt;V190),1,0))</f>
        <v>1</v>
      </c>
      <c r="AW190" s="16">
        <f>IF(AND(E190&gt;=J190,E190&lt;=K190),1,0)</f>
        <v>1</v>
      </c>
      <c r="AX190" s="16">
        <f>IF(AND(F190&gt;=N190,F190&lt;=O190),1,0)</f>
        <v>1</v>
      </c>
    </row>
    <row r="191" spans="1:50">
      <c r="A191" s="21">
        <f>Oranlar!A191</f>
        <v>46110</v>
      </c>
      <c r="B191" s="22" t="str">
        <f>Oranlar!C191&amp;" @ "&amp;Oranlar!D191</f>
        <v>LAC @ MIL</v>
      </c>
      <c r="C191" s="23">
        <f>Oranlar!F191</f>
        <v>113</v>
      </c>
      <c r="D191" s="23">
        <f>Oranlar!E191</f>
        <v>127</v>
      </c>
      <c r="E191" s="15">
        <f>C191-D191</f>
        <v>-14</v>
      </c>
      <c r="F191" s="16">
        <f>C191+D191</f>
        <v>240</v>
      </c>
      <c r="G191" s="24">
        <v>0.207</v>
      </c>
      <c r="H191" s="10">
        <v>-9.1</v>
      </c>
      <c r="I191" s="10">
        <v>-16.4</v>
      </c>
      <c r="J191" s="10">
        <v>-34</v>
      </c>
      <c r="K191" s="10">
        <v>2</v>
      </c>
      <c r="L191" s="11">
        <v>224.84</v>
      </c>
      <c r="M191" s="11">
        <v>223.6</v>
      </c>
      <c r="N191" s="11">
        <v>197</v>
      </c>
      <c r="O191" s="11">
        <v>250</v>
      </c>
      <c r="P191" s="11">
        <v>106.62</v>
      </c>
      <c r="Q191" s="11">
        <v>117.25</v>
      </c>
      <c r="R191" s="25">
        <f>Oranlar!Y191</f>
        <v>0.10661764705882351</v>
      </c>
      <c r="S191" s="26">
        <f>-Oranlar!O191</f>
        <v>-17.5</v>
      </c>
      <c r="T191" s="26">
        <f>-Oranlar!I191</f>
        <v>-13.5</v>
      </c>
      <c r="U191" s="27">
        <f>Oranlar!V191</f>
        <v>219.5</v>
      </c>
      <c r="V191" s="27">
        <f>Oranlar!L191</f>
        <v>222.5</v>
      </c>
      <c r="W191" s="28">
        <f>(U191+S191)/2</f>
        <v>101.0</v>
      </c>
      <c r="X191" s="28">
        <f>(U191-S191)/2</f>
        <v>118.5</v>
      </c>
      <c r="Y191" s="16">
        <f>IF(G191=0.5,"",IF((G191&gt;0.5)=(E191&gt;0),1,0))</f>
        <v>1</v>
      </c>
      <c r="Z191" s="16">
        <f>IF(R191=0.5,"",IF((R191&gt;0.5)=(E191&gt;0),1,0))</f>
        <v>1</v>
      </c>
      <c r="AA191" s="29">
        <f>(G191-IF(E191&gt;0,1,0))^2</f>
        <v>0.042849</v>
      </c>
      <c r="AB191" s="29">
        <f>(R191-IF(E191&gt;0,1,0))^2</f>
        <v>0.011367322664359858</v>
      </c>
      <c r="AC191" s="28">
        <f>ABS(H191-E191)</f>
        <v>4.9</v>
      </c>
      <c r="AD191" s="28">
        <f>ABS(I191-E191)</f>
        <v>2.3999999999999986</v>
      </c>
      <c r="AE191" s="28">
        <f>ABS(S191-E191)</f>
        <v>3.5</v>
      </c>
      <c r="AF191" s="28">
        <f>ABS(L191-F191)</f>
        <v>15.159999999999997</v>
      </c>
      <c r="AG191" s="28">
        <f>ABS(M191-F191)</f>
        <v>16.400000000000006</v>
      </c>
      <c r="AH191" s="28">
        <f>ABS(U191-F191)</f>
        <v>20.5</v>
      </c>
      <c r="AI191" s="28">
        <f>ABS(P191-C191)</f>
        <v>6.3799999999999955</v>
      </c>
      <c r="AJ191" s="28">
        <f>ABS(W191-C191)</f>
        <v>12.0</v>
      </c>
      <c r="AK191" s="28">
        <f>ABS(Q191-D191)</f>
        <v>9.75</v>
      </c>
      <c r="AL191" s="28">
        <f>ABS(X191-D191)</f>
        <v>8.5</v>
      </c>
      <c r="AM191" s="17" t="str">
        <f>IF(H191&gt;S191,"Ev",IF(H191&lt;S191,"Dep",""))</f>
        <v>Ev</v>
      </c>
      <c r="AN191" s="17" t="str">
        <f>IF(AM191="","",IF(E191=S191,"Push",IF((E191&gt;S191)=(AM191="Ev"),"Kazandı","Kaybetti")))</f>
        <v>Kazandı</v>
      </c>
      <c r="AO191" s="30">
        <f>IF(AM191="","",IF(AN191="Push",0,IF(AN191="Kazandı",IF(AM191="Ev",Oranlar!P191,Oranlar!Q191)-1,-1)))</f>
        <v>0.8928571428571428</v>
      </c>
      <c r="AP191" s="17" t="str">
        <f>IF(L191&gt;U191,"Üst",IF(L191&lt;U191,"Alt",""))</f>
        <v>Üst</v>
      </c>
      <c r="AQ191" s="17" t="str">
        <f>IF(AP191="","",IF(F191=U191,"Push",IF((F191&gt;U191)=(AP191="Üst"),"Kazandı","Kaybetti")))</f>
        <v>Kazandı</v>
      </c>
      <c r="AR191" s="30">
        <f>IF(AP191="","",IF(AQ191="Push",0,IF(AQ191="Kazandı",IF(AP191="Üst",Oranlar!W191,Oranlar!X191)-1,-1)))</f>
        <v>0.8695652173913042</v>
      </c>
      <c r="AS191" s="17" t="str">
        <f>IF(G191*Oranlar!R191&gt;1,"Ev",IF((1-G191)*Oranlar!S191&gt;1,"Dep",""))</f>
        <v>Ev</v>
      </c>
      <c r="AT191" s="30">
        <f>IF(AS191="","",IF((AS191="Ev")=(E191&gt;0),IF(AS191="Ev",Oranlar!R191,Oranlar!S191)-1,-1))</f>
        <v>-1.0</v>
      </c>
      <c r="AU191" s="16">
        <f>IF(OR(H191=T191,S191=T191),"",IF((H191&gt;T191)=(S191&gt;T191),1,0))</f>
        <v>0</v>
      </c>
      <c r="AV191" s="16">
        <f>IF(OR(L191=V191,U191=V191),"",IF((L191&gt;V191)=(U191&gt;V191),1,0))</f>
        <v>0</v>
      </c>
      <c r="AW191" s="16">
        <f>IF(AND(E191&gt;=J191,E191&lt;=K191),1,0)</f>
        <v>1</v>
      </c>
      <c r="AX191" s="16">
        <f>IF(AND(F191&gt;=N191,F191&lt;=O191),1,0)</f>
        <v>1</v>
      </c>
    </row>
    <row r="192" spans="1:50">
      <c r="A192" s="21">
        <f>Oranlar!A192</f>
        <v>46110</v>
      </c>
      <c r="B192" s="22" t="str">
        <f>Oranlar!C192&amp;" @ "&amp;Oranlar!D192</f>
        <v>MIA @ IND</v>
      </c>
      <c r="C192" s="23">
        <f>Oranlar!F192</f>
        <v>135</v>
      </c>
      <c r="D192" s="23">
        <f>Oranlar!E192</f>
        <v>118</v>
      </c>
      <c r="E192" s="15">
        <f>C192-D192</f>
        <v>17</v>
      </c>
      <c r="F192" s="16">
        <f>C192+D192</f>
        <v>253</v>
      </c>
      <c r="G192" s="24">
        <v>0.276</v>
      </c>
      <c r="H192" s="10">
        <v>-9.1</v>
      </c>
      <c r="I192" s="10">
        <v>-9</v>
      </c>
      <c r="J192" s="10">
        <v>-28</v>
      </c>
      <c r="K192" s="10">
        <v>10</v>
      </c>
      <c r="L192" s="11">
        <v>236.34</v>
      </c>
      <c r="M192" s="11">
        <v>237.7</v>
      </c>
      <c r="N192" s="11">
        <v>209</v>
      </c>
      <c r="O192" s="11">
        <v>266</v>
      </c>
      <c r="P192" s="11">
        <v>116.68</v>
      </c>
      <c r="Q192" s="11">
        <v>123.01</v>
      </c>
      <c r="R192" s="25">
        <f>Oranlar!Y192</f>
        <v>0.2522172949002217</v>
      </c>
      <c r="S192" s="26">
        <f>-Oranlar!O192</f>
        <v>-8.5</v>
      </c>
      <c r="T192" s="26">
        <f>-Oranlar!I192</f>
        <v>-9.5</v>
      </c>
      <c r="U192" s="27">
        <f>Oranlar!V192</f>
        <v>245.5</v>
      </c>
      <c r="V192" s="27">
        <f>Oranlar!L192</f>
        <v>242.5</v>
      </c>
      <c r="W192" s="28">
        <f>(U192+S192)/2</f>
        <v>118.5</v>
      </c>
      <c r="X192" s="28">
        <f>(U192-S192)/2</f>
        <v>127.0</v>
      </c>
      <c r="Y192" s="16">
        <f>IF(G192=0.5,"",IF((G192&gt;0.5)=(E192&gt;0),1,0))</f>
        <v>0</v>
      </c>
      <c r="Z192" s="16">
        <f>IF(R192=0.5,"",IF((R192&gt;0.5)=(E192&gt;0),1,0))</f>
        <v>0</v>
      </c>
      <c r="AA192" s="29">
        <f>(G192-IF(E192&gt;0,1,0))^2</f>
        <v>0.524176</v>
      </c>
      <c r="AB192" s="29">
        <f>(R192-IF(E192&gt;0,1,0))^2</f>
        <v>0.559178974046342</v>
      </c>
      <c r="AC192" s="28">
        <f>ABS(H192-E192)</f>
        <v>26.1</v>
      </c>
      <c r="AD192" s="28">
        <f>ABS(I192-E192)</f>
        <v>26.0</v>
      </c>
      <c r="AE192" s="28">
        <f>ABS(S192-E192)</f>
        <v>25.5</v>
      </c>
      <c r="AF192" s="28">
        <f>ABS(L192-F192)</f>
        <v>16.659999999999997</v>
      </c>
      <c r="AG192" s="28">
        <f>ABS(M192-F192)</f>
        <v>15.300000000000011</v>
      </c>
      <c r="AH192" s="28">
        <f>ABS(U192-F192)</f>
        <v>7.5</v>
      </c>
      <c r="AI192" s="28">
        <f>ABS(P192-C192)</f>
        <v>18.319999999999993</v>
      </c>
      <c r="AJ192" s="28">
        <f>ABS(W192-C192)</f>
        <v>16.5</v>
      </c>
      <c r="AK192" s="28">
        <f>ABS(Q192-D192)</f>
        <v>5.010000000000005</v>
      </c>
      <c r="AL192" s="28">
        <f>ABS(X192-D192)</f>
        <v>9.0</v>
      </c>
      <c r="AM192" s="17" t="str">
        <f>IF(H192&gt;S192,"Ev",IF(H192&lt;S192,"Dep",""))</f>
        <v>Dep</v>
      </c>
      <c r="AN192" s="17" t="str">
        <f>IF(AM192="","",IF(E192=S192,"Push",IF((E192&gt;S192)=(AM192="Ev"),"Kazandı","Kaybetti")))</f>
        <v>Kaybetti</v>
      </c>
      <c r="AO192" s="30">
        <f>IF(AM192="","",IF(AN192="Push",0,IF(AN192="Kazandı",IF(AM192="Ev",Oranlar!P192,Oranlar!Q192)-1,-1)))</f>
        <v>-1.0</v>
      </c>
      <c r="AP192" s="17" t="str">
        <f>IF(L192&gt;U192,"Üst",IF(L192&lt;U192,"Alt",""))</f>
        <v>Alt</v>
      </c>
      <c r="AQ192" s="17" t="str">
        <f>IF(AP192="","",IF(F192=U192,"Push",IF((F192&gt;U192)=(AP192="Üst"),"Kazandı","Kaybetti")))</f>
        <v>Kaybetti</v>
      </c>
      <c r="AR192" s="30">
        <f>IF(AP192="","",IF(AQ192="Push",0,IF(AQ192="Kazandı",IF(AP192="Üst",Oranlar!W192,Oranlar!X192)-1,-1)))</f>
        <v>-1.0</v>
      </c>
      <c r="AS192" s="17" t="str">
        <f>IF(G192*Oranlar!R192&gt;1,"Ev",IF((1-G192)*Oranlar!S192&gt;1,"Dep",""))</f>
        <v>Ev</v>
      </c>
      <c r="AT192" s="30">
        <f>IF(AS192="","",IF((AS192="Ev")=(E192&gt;0),IF(AS192="Ev",Oranlar!R192,Oranlar!S192)-1,-1))</f>
        <v>2.8</v>
      </c>
      <c r="AU192" s="16">
        <f>IF(OR(H192=T192,S192=T192),"",IF((H192&gt;T192)=(S192&gt;T192),1,0))</f>
        <v>1</v>
      </c>
      <c r="AV192" s="16">
        <f>IF(OR(L192=V192,U192=V192),"",IF((L192&gt;V192)=(U192&gt;V192),1,0))</f>
        <v>0</v>
      </c>
      <c r="AW192" s="16">
        <f>IF(AND(E192&gt;=J192,E192&lt;=K192),1,0)</f>
        <v>0</v>
      </c>
      <c r="AX192" s="16">
        <f>IF(AND(F192&gt;=N192,F192&lt;=O192),1,0)</f>
        <v>1</v>
      </c>
    </row>
    <row r="193" spans="1:50">
      <c r="A193" s="21">
        <f>Oranlar!A193</f>
        <v>46110</v>
      </c>
      <c r="B193" s="22" t="str">
        <f>Oranlar!C193&amp;" @ "&amp;Oranlar!D193</f>
        <v>SAC @ BKN</v>
      </c>
      <c r="C193" s="23">
        <f>Oranlar!F193</f>
        <v>116</v>
      </c>
      <c r="D193" s="23">
        <f>Oranlar!E193</f>
        <v>99</v>
      </c>
      <c r="E193" s="15">
        <f>C193-D193</f>
        <v>17</v>
      </c>
      <c r="F193" s="16">
        <f>C193+D193</f>
        <v>215</v>
      </c>
      <c r="G193" s="24">
        <v>0.377</v>
      </c>
      <c r="H193" s="10">
        <v>-2.25</v>
      </c>
      <c r="I193" s="10">
        <v>-5.3</v>
      </c>
      <c r="J193" s="10">
        <v>-23</v>
      </c>
      <c r="K193" s="10">
        <v>13</v>
      </c>
      <c r="L193" s="11">
        <v>223.95</v>
      </c>
      <c r="M193" s="11">
        <v>220.4</v>
      </c>
      <c r="N193" s="11">
        <v>194</v>
      </c>
      <c r="O193" s="11">
        <v>247</v>
      </c>
      <c r="P193" s="11">
        <v>110.2</v>
      </c>
      <c r="Q193" s="11">
        <v>112.69</v>
      </c>
      <c r="R193" s="25">
        <f>Oranlar!Y193</f>
        <v>0.5217391304347826</v>
      </c>
      <c r="S193" s="26">
        <f>-Oranlar!O193</f>
        <v>1.5</v>
      </c>
      <c r="T193" s="26">
        <f>-Oranlar!I193</f>
        <v>1.5</v>
      </c>
      <c r="U193" s="27">
        <f>Oranlar!V193</f>
        <v>216.5</v>
      </c>
      <c r="V193" s="27">
        <f>Oranlar!L193</f>
        <v>221.5</v>
      </c>
      <c r="W193" s="28">
        <f>(U193+S193)/2</f>
        <v>109.0</v>
      </c>
      <c r="X193" s="28">
        <f>(U193-S193)/2</f>
        <v>107.5</v>
      </c>
      <c r="Y193" s="16">
        <f>IF(G193=0.5,"",IF((G193&gt;0.5)=(E193&gt;0),1,0))</f>
        <v>0</v>
      </c>
      <c r="Z193" s="16">
        <f>IF(R193=0.5,"",IF((R193&gt;0.5)=(E193&gt;0),1,0))</f>
        <v>1</v>
      </c>
      <c r="AA193" s="29">
        <f>(G193-IF(E193&gt;0,1,0))^2</f>
        <v>0.388129</v>
      </c>
      <c r="AB193" s="29">
        <f>(R193-IF(E193&gt;0,1,0))^2</f>
        <v>0.2287334593572779</v>
      </c>
      <c r="AC193" s="28">
        <f>ABS(H193-E193)</f>
        <v>19.25</v>
      </c>
      <c r="AD193" s="28">
        <f>ABS(I193-E193)</f>
        <v>22.3</v>
      </c>
      <c r="AE193" s="28">
        <f>ABS(S193-E193)</f>
        <v>15.5</v>
      </c>
      <c r="AF193" s="28">
        <f>ABS(L193-F193)</f>
        <v>8.949999999999989</v>
      </c>
      <c r="AG193" s="28">
        <f>ABS(M193-F193)</f>
        <v>5.400000000000006</v>
      </c>
      <c r="AH193" s="28">
        <f>ABS(U193-F193)</f>
        <v>1.5</v>
      </c>
      <c r="AI193" s="28">
        <f>ABS(P193-C193)</f>
        <v>5.799999999999997</v>
      </c>
      <c r="AJ193" s="28">
        <f>ABS(W193-C193)</f>
        <v>7.0</v>
      </c>
      <c r="AK193" s="28">
        <f>ABS(Q193-D193)</f>
        <v>13.689999999999998</v>
      </c>
      <c r="AL193" s="28">
        <f>ABS(X193-D193)</f>
        <v>8.5</v>
      </c>
      <c r="AM193" s="17" t="str">
        <f>IF(H193&gt;S193,"Ev",IF(H193&lt;S193,"Dep",""))</f>
        <v>Dep</v>
      </c>
      <c r="AN193" s="17" t="str">
        <f>IF(AM193="","",IF(E193=S193,"Push",IF((E193&gt;S193)=(AM193="Ev"),"Kazandı","Kaybetti")))</f>
        <v>Kaybetti</v>
      </c>
      <c r="AO193" s="30">
        <f>IF(AM193="","",IF(AN193="Push",0,IF(AN193="Kazandı",IF(AM193="Ev",Oranlar!P193,Oranlar!Q193)-1,-1)))</f>
        <v>-1.0</v>
      </c>
      <c r="AP193" s="17" t="str">
        <f>IF(L193&gt;U193,"Üst",IF(L193&lt;U193,"Alt",""))</f>
        <v>Üst</v>
      </c>
      <c r="AQ193" s="17" t="str">
        <f>IF(AP193="","",IF(F193=U193,"Push",IF((F193&gt;U193)=(AP193="Üst"),"Kazandı","Kaybetti")))</f>
        <v>Kaybetti</v>
      </c>
      <c r="AR193" s="30">
        <f>IF(AP193="","",IF(AQ193="Push",0,IF(AQ193="Kazandı",IF(AP193="Üst",Oranlar!W193,Oranlar!X193)-1,-1)))</f>
        <v>-1.0</v>
      </c>
      <c r="AS193" s="17" t="str">
        <f>IF(G193*Oranlar!R193&gt;1,"Ev",IF((1-G193)*Oranlar!S193&gt;1,"Dep",""))</f>
        <v>Dep</v>
      </c>
      <c r="AT193" s="30">
        <f>IF(AS193="","",IF((AS193="Ev")=(E193&gt;0),IF(AS193="Ev",Oranlar!R193,Oranlar!S193)-1,-1))</f>
        <v>-1.0</v>
      </c>
      <c r="AU193" s="16">
        <f>IF(OR(H193=T193,S193=T193),"",IF((H193&gt;T193)=(S193&gt;T193),1,0))</f>
        <v/>
      </c>
      <c r="AV193" s="16">
        <f>IF(OR(L193=V193,U193=V193),"",IF((L193&gt;V193)=(U193&gt;V193),1,0))</f>
        <v>0</v>
      </c>
      <c r="AW193" s="16">
        <f>IF(AND(E193&gt;=J193,E193&lt;=K193),1,0)</f>
        <v>0</v>
      </c>
      <c r="AX193" s="16">
        <f>IF(AND(F193&gt;=N193,F193&lt;=O193),1,0)</f>
        <v>1</v>
      </c>
    </row>
    <row r="194" spans="1:50">
      <c r="A194" s="21">
        <f>Oranlar!A194</f>
        <v>46110</v>
      </c>
      <c r="B194" s="22" t="str">
        <f>Oranlar!C194&amp;" @ "&amp;Oranlar!D194</f>
        <v>BOS @ CHA</v>
      </c>
      <c r="C194" s="23">
        <f>Oranlar!F194</f>
        <v>99</v>
      </c>
      <c r="D194" s="23">
        <f>Oranlar!E194</f>
        <v>114</v>
      </c>
      <c r="E194" s="15">
        <f>C194-D194</f>
        <v>-15</v>
      </c>
      <c r="F194" s="16">
        <f>C194+D194</f>
        <v>213</v>
      </c>
      <c r="G194" s="24">
        <v>0.599</v>
      </c>
      <c r="H194" s="10">
        <v>6.3</v>
      </c>
      <c r="I194" s="10">
        <v>6.6</v>
      </c>
      <c r="J194" s="10">
        <v>-12</v>
      </c>
      <c r="K194" s="10">
        <v>25</v>
      </c>
      <c r="L194" s="11">
        <v>223.01</v>
      </c>
      <c r="M194" s="11">
        <v>227</v>
      </c>
      <c r="N194" s="11">
        <v>200</v>
      </c>
      <c r="O194" s="11">
        <v>254</v>
      </c>
      <c r="P194" s="11">
        <v>114.8</v>
      </c>
      <c r="Q194" s="11">
        <v>109.24</v>
      </c>
      <c r="R194" s="25">
        <f>Oranlar!Y194</f>
        <v>0.551441114716549</v>
      </c>
      <c r="S194" s="26">
        <f>-Oranlar!O194</f>
        <v>2.5</v>
      </c>
      <c r="T194" s="26">
        <f>-Oranlar!I194</f>
        <v>2.5</v>
      </c>
      <c r="U194" s="27">
        <f>Oranlar!V194</f>
        <v>216.5</v>
      </c>
      <c r="V194" s="27">
        <f>Oranlar!L194</f>
        <v>215.5</v>
      </c>
      <c r="W194" s="28">
        <f>(U194+S194)/2</f>
        <v>109.5</v>
      </c>
      <c r="X194" s="28">
        <f>(U194-S194)/2</f>
        <v>107.0</v>
      </c>
      <c r="Y194" s="16">
        <f>IF(G194=0.5,"",IF((G194&gt;0.5)=(E194&gt;0),1,0))</f>
        <v>0</v>
      </c>
      <c r="Z194" s="16">
        <f>IF(R194=0.5,"",IF((R194&gt;0.5)=(E194&gt;0),1,0))</f>
        <v>0</v>
      </c>
      <c r="AA194" s="29">
        <f>(G194-IF(E194&gt;0,1,0))^2</f>
        <v>0.358801</v>
      </c>
      <c r="AB194" s="29">
        <f>(R194-IF(E194&gt;0,1,0))^2</f>
        <v>0.30408730299983017</v>
      </c>
      <c r="AC194" s="28">
        <f>ABS(H194-E194)</f>
        <v>21.3</v>
      </c>
      <c r="AD194" s="28">
        <f>ABS(I194-E194)</f>
        <v>21.6</v>
      </c>
      <c r="AE194" s="28">
        <f>ABS(S194-E194)</f>
        <v>17.5</v>
      </c>
      <c r="AF194" s="28">
        <f>ABS(L194-F194)</f>
        <v>10.009999999999991</v>
      </c>
      <c r="AG194" s="28">
        <f>ABS(M194-F194)</f>
        <v>14.0</v>
      </c>
      <c r="AH194" s="28">
        <f>ABS(U194-F194)</f>
        <v>3.5</v>
      </c>
      <c r="AI194" s="28">
        <f>ABS(P194-C194)</f>
        <v>15.799999999999997</v>
      </c>
      <c r="AJ194" s="28">
        <f>ABS(W194-C194)</f>
        <v>10.5</v>
      </c>
      <c r="AK194" s="28">
        <f>ABS(Q194-D194)</f>
        <v>4.760000000000005</v>
      </c>
      <c r="AL194" s="28">
        <f>ABS(X194-D194)</f>
        <v>7.0</v>
      </c>
      <c r="AM194" s="17" t="str">
        <f>IF(H194&gt;S194,"Ev",IF(H194&lt;S194,"Dep",""))</f>
        <v>Ev</v>
      </c>
      <c r="AN194" s="17" t="str">
        <f>IF(AM194="","",IF(E194=S194,"Push",IF((E194&gt;S194)=(AM194="Ev"),"Kazandı","Kaybetti")))</f>
        <v>Kaybetti</v>
      </c>
      <c r="AO194" s="30">
        <f>IF(AM194="","",IF(AN194="Push",0,IF(AN194="Kazandı",IF(AM194="Ev",Oranlar!P194,Oranlar!Q194)-1,-1)))</f>
        <v>-1.0</v>
      </c>
      <c r="AP194" s="17" t="str">
        <f>IF(L194&gt;U194,"Üst",IF(L194&lt;U194,"Alt",""))</f>
        <v>Üst</v>
      </c>
      <c r="AQ194" s="17" t="str">
        <f>IF(AP194="","",IF(F194=U194,"Push",IF((F194&gt;U194)=(AP194="Üst"),"Kazandı","Kaybetti")))</f>
        <v>Kaybetti</v>
      </c>
      <c r="AR194" s="30">
        <f>IF(AP194="","",IF(AQ194="Push",0,IF(AQ194="Kazandı",IF(AP194="Üst",Oranlar!W194,Oranlar!X194)-1,-1)))</f>
        <v>-1.0</v>
      </c>
      <c r="AS194" s="17" t="str">
        <f>IF(G194*Oranlar!R194&gt;1,"Ev",IF((1-G194)*Oranlar!S194&gt;1,"Dep",""))</f>
        <v>Ev</v>
      </c>
      <c r="AT194" s="30">
        <f>IF(AS194="","",IF((AS194="Ev")=(E194&gt;0),IF(AS194="Ev",Oranlar!R194,Oranlar!S194)-1,-1))</f>
        <v>-1.0</v>
      </c>
      <c r="AU194" s="16">
        <f>IF(OR(H194=T194,S194=T194),"",IF((H194&gt;T194)=(S194&gt;T194),1,0))</f>
        <v/>
      </c>
      <c r="AV194" s="16">
        <f>IF(OR(L194=V194,U194=V194),"",IF((L194&gt;V194)=(U194&gt;V194),1,0))</f>
        <v>1</v>
      </c>
      <c r="AW194" s="16">
        <f>IF(AND(E194&gt;=J194,E194&lt;=K194),1,0)</f>
        <v>0</v>
      </c>
      <c r="AX194" s="16">
        <f>IF(AND(F194&gt;=N194,F194&lt;=O194),1,0)</f>
        <v>1</v>
      </c>
    </row>
    <row r="195" spans="1:50">
      <c r="A195" s="21">
        <f>Oranlar!A195</f>
        <v>46110</v>
      </c>
      <c r="B195" s="22" t="str">
        <f>Oranlar!C195&amp;" @ "&amp;Oranlar!D195</f>
        <v>ORL @ TOR</v>
      </c>
      <c r="C195" s="23">
        <f>Oranlar!F195</f>
        <v>139</v>
      </c>
      <c r="D195" s="23">
        <f>Oranlar!E195</f>
        <v>87</v>
      </c>
      <c r="E195" s="15">
        <f>C195-D195</f>
        <v>52</v>
      </c>
      <c r="F195" s="16">
        <f>C195+D195</f>
        <v>226</v>
      </c>
      <c r="G195" s="24">
        <v>0.537</v>
      </c>
      <c r="H195" s="10">
        <v>0.22</v>
      </c>
      <c r="I195" s="10">
        <v>-0.9</v>
      </c>
      <c r="J195" s="10">
        <v>-19</v>
      </c>
      <c r="K195" s="10">
        <v>18</v>
      </c>
      <c r="L195" s="11">
        <v>230.56</v>
      </c>
      <c r="M195" s="11">
        <v>229.4</v>
      </c>
      <c r="N195" s="11">
        <v>202</v>
      </c>
      <c r="O195" s="11">
        <v>257</v>
      </c>
      <c r="P195" s="11">
        <v>114.98</v>
      </c>
      <c r="Q195" s="11">
        <v>115.1</v>
      </c>
      <c r="R195" s="25">
        <f>Oranlar!Y195</f>
        <v>0.5260865852617197</v>
      </c>
      <c r="S195" s="26">
        <f>-Oranlar!O195</f>
        <v>1.5</v>
      </c>
      <c r="T195" s="26">
        <f>-Oranlar!I195</f>
        <v>2.5</v>
      </c>
      <c r="U195" s="27">
        <f>Oranlar!V195</f>
        <v>226.5</v>
      </c>
      <c r="V195" s="27">
        <f>Oranlar!L195</f>
        <v>225.5</v>
      </c>
      <c r="W195" s="28">
        <f>(U195+S195)/2</f>
        <v>114.0</v>
      </c>
      <c r="X195" s="28">
        <f>(U195-S195)/2</f>
        <v>112.5</v>
      </c>
      <c r="Y195" s="16">
        <f>IF(G195=0.5,"",IF((G195&gt;0.5)=(E195&gt;0),1,0))</f>
        <v>1</v>
      </c>
      <c r="Z195" s="16">
        <f>IF(R195=0.5,"",IF((R195&gt;0.5)=(E195&gt;0),1,0))</f>
        <v>1</v>
      </c>
      <c r="AA195" s="29">
        <f>(G195-IF(E195&gt;0,1,0))^2</f>
        <v>0.21436899999999998</v>
      </c>
      <c r="AB195" s="29">
        <f>(R195-IF(E195&gt;0,1,0))^2</f>
        <v>0.22459392466889727</v>
      </c>
      <c r="AC195" s="28">
        <f>ABS(H195-E195)</f>
        <v>51.78</v>
      </c>
      <c r="AD195" s="28">
        <f>ABS(I195-E195)</f>
        <v>52.9</v>
      </c>
      <c r="AE195" s="28">
        <f>ABS(S195-E195)</f>
        <v>50.5</v>
      </c>
      <c r="AF195" s="28">
        <f>ABS(L195-F195)</f>
        <v>4.560000000000002</v>
      </c>
      <c r="AG195" s="28">
        <f>ABS(M195-F195)</f>
        <v>3.4000000000000057</v>
      </c>
      <c r="AH195" s="28">
        <f>ABS(U195-F195)</f>
        <v>0.5</v>
      </c>
      <c r="AI195" s="28">
        <f>ABS(P195-C195)</f>
        <v>24.019999999999996</v>
      </c>
      <c r="AJ195" s="28">
        <f>ABS(W195-C195)</f>
        <v>25.0</v>
      </c>
      <c r="AK195" s="28">
        <f>ABS(Q195-D195)</f>
        <v>28.099999999999994</v>
      </c>
      <c r="AL195" s="28">
        <f>ABS(X195-D195)</f>
        <v>25.5</v>
      </c>
      <c r="AM195" s="17" t="str">
        <f>IF(H195&gt;S195,"Ev",IF(H195&lt;S195,"Dep",""))</f>
        <v>Dep</v>
      </c>
      <c r="AN195" s="17" t="str">
        <f>IF(AM195="","",IF(E195=S195,"Push",IF((E195&gt;S195)=(AM195="Ev"),"Kazandı","Kaybetti")))</f>
        <v>Kaybetti</v>
      </c>
      <c r="AO195" s="30">
        <f>IF(AM195="","",IF(AN195="Push",0,IF(AN195="Kazandı",IF(AM195="Ev",Oranlar!P195,Oranlar!Q195)-1,-1)))</f>
        <v>-1.0</v>
      </c>
      <c r="AP195" s="17" t="str">
        <f>IF(L195&gt;U195,"Üst",IF(L195&lt;U195,"Alt",""))</f>
        <v>Üst</v>
      </c>
      <c r="AQ195" s="17" t="str">
        <f>IF(AP195="","",IF(F195=U195,"Push",IF((F195&gt;U195)=(AP195="Üst"),"Kazandı","Kaybetti")))</f>
        <v>Kaybetti</v>
      </c>
      <c r="AR195" s="30">
        <f>IF(AP195="","",IF(AQ195="Push",0,IF(AQ195="Kazandı",IF(AP195="Üst",Oranlar!W195,Oranlar!X195)-1,-1)))</f>
        <v>-1.0</v>
      </c>
      <c r="AS195" s="17">
        <f>IF(G195*Oranlar!R195&gt;1,"Ev",IF((1-G195)*Oranlar!S195&gt;1,"Dep",""))</f>
        <v/>
      </c>
      <c r="AT195" s="30">
        <f>IF(AS195="","",IF((AS195="Ev")=(E195&gt;0),IF(AS195="Ev",Oranlar!R195,Oranlar!S195)-1,-1))</f>
        <v/>
      </c>
      <c r="AU195" s="16">
        <f>IF(OR(H195=T195,S195=T195),"",IF((H195&gt;T195)=(S195&gt;T195),1,0))</f>
        <v>1</v>
      </c>
      <c r="AV195" s="16">
        <f>IF(OR(L195=V195,U195=V195),"",IF((L195&gt;V195)=(U195&gt;V195),1,0))</f>
        <v>1</v>
      </c>
      <c r="AW195" s="16">
        <f>IF(AND(E195&gt;=J195,E195&lt;=K195),1,0)</f>
        <v>0</v>
      </c>
      <c r="AX195" s="16">
        <f>IF(AND(F195&gt;=N195,F195&lt;=O195),1,0)</f>
        <v>1</v>
      </c>
    </row>
    <row r="196" spans="1:50">
      <c r="A196" s="21">
        <f>Oranlar!A196</f>
        <v>46110</v>
      </c>
      <c r="B196" s="22" t="str">
        <f>Oranlar!C196&amp;" @ "&amp;Oranlar!D196</f>
        <v>WAS @ POR</v>
      </c>
      <c r="C196" s="23">
        <f>Oranlar!F196</f>
        <v>123</v>
      </c>
      <c r="D196" s="23">
        <f>Oranlar!E196</f>
        <v>88</v>
      </c>
      <c r="E196" s="15">
        <f>C196-D196</f>
        <v>35</v>
      </c>
      <c r="F196" s="16">
        <f>C196+D196</f>
        <v>211</v>
      </c>
      <c r="G196" s="24">
        <v>0.768</v>
      </c>
      <c r="H196" s="10">
        <v>12.95</v>
      </c>
      <c r="I196" s="10">
        <v>10.3</v>
      </c>
      <c r="J196" s="10">
        <v>-8</v>
      </c>
      <c r="K196" s="10">
        <v>29</v>
      </c>
      <c r="L196" s="11">
        <v>229.48</v>
      </c>
      <c r="M196" s="11">
        <v>228.2</v>
      </c>
      <c r="N196" s="11">
        <v>201</v>
      </c>
      <c r="O196" s="11">
        <v>255</v>
      </c>
      <c r="P196" s="11">
        <v>120.64</v>
      </c>
      <c r="Q196" s="11">
        <v>110.32</v>
      </c>
      <c r="R196" s="25">
        <f>Oranlar!Y196</f>
        <v>0.908256880733945</v>
      </c>
      <c r="S196" s="26">
        <f>-Oranlar!O196</f>
        <v>16.5</v>
      </c>
      <c r="T196" s="26">
        <f>-Oranlar!I196</f>
        <v>15.5</v>
      </c>
      <c r="U196" s="27">
        <f>Oranlar!V196</f>
        <v>235.5</v>
      </c>
      <c r="V196" s="27">
        <f>Oranlar!L196</f>
        <v>235.5</v>
      </c>
      <c r="W196" s="28">
        <f>(U196+S196)/2</f>
        <v>126.0</v>
      </c>
      <c r="X196" s="28">
        <f>(U196-S196)/2</f>
        <v>109.5</v>
      </c>
      <c r="Y196" s="16">
        <f>IF(G196=0.5,"",IF((G196&gt;0.5)=(E196&gt;0),1,0))</f>
        <v>1</v>
      </c>
      <c r="Z196" s="16">
        <f>IF(R196=0.5,"",IF((R196&gt;0.5)=(E196&gt;0),1,0))</f>
        <v>1</v>
      </c>
      <c r="AA196" s="29">
        <f>(G196-IF(E196&gt;0,1,0))^2</f>
        <v>0.05382399999999999</v>
      </c>
      <c r="AB196" s="29">
        <f>(R196-IF(E196&gt;0,1,0))^2</f>
        <v>0.008416799932665602</v>
      </c>
      <c r="AC196" s="28">
        <f>ABS(H196-E196)</f>
        <v>22.05</v>
      </c>
      <c r="AD196" s="28">
        <f>ABS(I196-E196)</f>
        <v>24.7</v>
      </c>
      <c r="AE196" s="28">
        <f>ABS(S196-E196)</f>
        <v>18.5</v>
      </c>
      <c r="AF196" s="28">
        <f>ABS(L196-F196)</f>
        <v>18.47999999999999</v>
      </c>
      <c r="AG196" s="28">
        <f>ABS(M196-F196)</f>
        <v>17.19999999999999</v>
      </c>
      <c r="AH196" s="28">
        <f>ABS(U196-F196)</f>
        <v>24.5</v>
      </c>
      <c r="AI196" s="28">
        <f>ABS(P196-C196)</f>
        <v>2.3599999999999994</v>
      </c>
      <c r="AJ196" s="28">
        <f>ABS(W196-C196)</f>
        <v>3.0</v>
      </c>
      <c r="AK196" s="28">
        <f>ABS(Q196-D196)</f>
        <v>22.319999999999993</v>
      </c>
      <c r="AL196" s="28">
        <f>ABS(X196-D196)</f>
        <v>21.5</v>
      </c>
      <c r="AM196" s="17" t="str">
        <f>IF(H196&gt;S196,"Ev",IF(H196&lt;S196,"Dep",""))</f>
        <v>Dep</v>
      </c>
      <c r="AN196" s="17" t="str">
        <f>IF(AM196="","",IF(E196=S196,"Push",IF((E196&gt;S196)=(AM196="Ev"),"Kazandı","Kaybetti")))</f>
        <v>Kaybetti</v>
      </c>
      <c r="AO196" s="30">
        <f>IF(AM196="","",IF(AN196="Push",0,IF(AN196="Kazandı",IF(AM196="Ev",Oranlar!P196,Oranlar!Q196)-1,-1)))</f>
        <v>-1.0</v>
      </c>
      <c r="AP196" s="17" t="str">
        <f>IF(L196&gt;U196,"Üst",IF(L196&lt;U196,"Alt",""))</f>
        <v>Alt</v>
      </c>
      <c r="AQ196" s="17" t="str">
        <f>IF(AP196="","",IF(F196=U196,"Push",IF((F196&gt;U196)=(AP196="Üst"),"Kazandı","Kaybetti")))</f>
        <v>Kazandı</v>
      </c>
      <c r="AR196" s="30">
        <f>IF(AP196="","",IF(AQ196="Push",0,IF(AQ196="Kazandı",IF(AP196="Üst",Oranlar!W196,Oranlar!X196)-1,-1)))</f>
        <v>0.925925925925926</v>
      </c>
      <c r="AS196" s="17" t="str">
        <f>IF(G196*Oranlar!R196&gt;1,"Ev",IF((1-G196)*Oranlar!S196&gt;1,"Dep",""))</f>
        <v>Dep</v>
      </c>
      <c r="AT196" s="30">
        <f>IF(AS196="","",IF((AS196="Ev")=(E196&gt;0),IF(AS196="Ev",Oranlar!R196,Oranlar!S196)-1,-1))</f>
        <v>-1.0</v>
      </c>
      <c r="AU196" s="16">
        <f>IF(OR(H196=T196,S196=T196),"",IF((H196&gt;T196)=(S196&gt;T196),1,0))</f>
        <v>0</v>
      </c>
      <c r="AV196" s="16">
        <f>IF(OR(L196=V196,U196=V196),"",IF((L196&gt;V196)=(U196&gt;V196),1,0))</f>
        <v/>
      </c>
      <c r="AW196" s="16">
        <f>IF(AND(E196&gt;=J196,E196&lt;=K196),1,0)</f>
        <v>0</v>
      </c>
      <c r="AX196" s="16">
        <f>IF(AND(F196&gt;=N196,F196&lt;=O196),1,0)</f>
        <v>1</v>
      </c>
    </row>
    <row r="197" spans="1:50">
      <c r="A197" s="21">
        <f>Oranlar!A197</f>
        <v>46110</v>
      </c>
      <c r="B197" s="22" t="str">
        <f>Oranlar!C197&amp;" @ "&amp;Oranlar!D197</f>
        <v>HOU @ NOP</v>
      </c>
      <c r="C197" s="23">
        <f>Oranlar!F197</f>
        <v>102</v>
      </c>
      <c r="D197" s="23">
        <f>Oranlar!E197</f>
        <v>134</v>
      </c>
      <c r="E197" s="15">
        <f>C197-D197</f>
        <v>-32</v>
      </c>
      <c r="F197" s="16">
        <f>C197+D197</f>
        <v>236</v>
      </c>
      <c r="G197" s="24">
        <v>0.43</v>
      </c>
      <c r="H197" s="10">
        <v>-2.03</v>
      </c>
      <c r="I197" s="10">
        <v>-3</v>
      </c>
      <c r="J197" s="10">
        <v>-21</v>
      </c>
      <c r="K197" s="10">
        <v>16</v>
      </c>
      <c r="L197" s="11">
        <v>228.86</v>
      </c>
      <c r="M197" s="11">
        <v>229.2</v>
      </c>
      <c r="N197" s="11">
        <v>202</v>
      </c>
      <c r="O197" s="11">
        <v>256</v>
      </c>
      <c r="P197" s="11">
        <v>113.24</v>
      </c>
      <c r="Q197" s="11">
        <v>117.06</v>
      </c>
      <c r="R197" s="25">
        <f>Oranlar!Y197</f>
        <v>0.3146067415730337</v>
      </c>
      <c r="S197" s="26">
        <f>-Oranlar!O197</f>
        <v>-5.5</v>
      </c>
      <c r="T197" s="26">
        <f>-Oranlar!I197</f>
        <v>-6.5</v>
      </c>
      <c r="U197" s="27">
        <f>Oranlar!V197</f>
        <v>226.5</v>
      </c>
      <c r="V197" s="27">
        <f>Oranlar!L197</f>
        <v>224.5</v>
      </c>
      <c r="W197" s="28">
        <f>(U197+S197)/2</f>
        <v>110.5</v>
      </c>
      <c r="X197" s="28">
        <f>(U197-S197)/2</f>
        <v>116.0</v>
      </c>
      <c r="Y197" s="16">
        <f>IF(G197=0.5,"",IF((G197&gt;0.5)=(E197&gt;0),1,0))</f>
        <v>1</v>
      </c>
      <c r="Z197" s="16">
        <f>IF(R197=0.5,"",IF((R197&gt;0.5)=(E197&gt;0),1,0))</f>
        <v>1</v>
      </c>
      <c r="AA197" s="29">
        <f>(G197-IF(E197&gt;0,1,0))^2</f>
        <v>0.18489999999999998</v>
      </c>
      <c r="AB197" s="29">
        <f>(R197-IF(E197&gt;0,1,0))^2</f>
        <v>0.09897740184320161</v>
      </c>
      <c r="AC197" s="28">
        <f>ABS(H197-E197)</f>
        <v>29.97</v>
      </c>
      <c r="AD197" s="28">
        <f>ABS(I197-E197)</f>
        <v>29.0</v>
      </c>
      <c r="AE197" s="28">
        <f>ABS(S197-E197)</f>
        <v>26.5</v>
      </c>
      <c r="AF197" s="28">
        <f>ABS(L197-F197)</f>
        <v>7.139999999999986</v>
      </c>
      <c r="AG197" s="28">
        <f>ABS(M197-F197)</f>
        <v>6.800000000000011</v>
      </c>
      <c r="AH197" s="28">
        <f>ABS(U197-F197)</f>
        <v>9.5</v>
      </c>
      <c r="AI197" s="28">
        <f>ABS(P197-C197)</f>
        <v>11.239999999999995</v>
      </c>
      <c r="AJ197" s="28">
        <f>ABS(W197-C197)</f>
        <v>8.5</v>
      </c>
      <c r="AK197" s="28">
        <f>ABS(Q197-D197)</f>
        <v>16.939999999999998</v>
      </c>
      <c r="AL197" s="28">
        <f>ABS(X197-D197)</f>
        <v>18.0</v>
      </c>
      <c r="AM197" s="17" t="str">
        <f>IF(H197&gt;S197,"Ev",IF(H197&lt;S197,"Dep",""))</f>
        <v>Ev</v>
      </c>
      <c r="AN197" s="17" t="str">
        <f>IF(AM197="","",IF(E197=S197,"Push",IF((E197&gt;S197)=(AM197="Ev"),"Kazandı","Kaybetti")))</f>
        <v>Kaybetti</v>
      </c>
      <c r="AO197" s="30">
        <f>IF(AM197="","",IF(AN197="Push",0,IF(AN197="Kazandı",IF(AM197="Ev",Oranlar!P197,Oranlar!Q197)-1,-1)))</f>
        <v>-1.0</v>
      </c>
      <c r="AP197" s="17" t="str">
        <f>IF(L197&gt;U197,"Üst",IF(L197&lt;U197,"Alt",""))</f>
        <v>Üst</v>
      </c>
      <c r="AQ197" s="17" t="str">
        <f>IF(AP197="","",IF(F197=U197,"Push",IF((F197&gt;U197)=(AP197="Üst"),"Kazandı","Kaybetti")))</f>
        <v>Kazandı</v>
      </c>
      <c r="AR197" s="30">
        <f>IF(AP197="","",IF(AQ197="Push",0,IF(AQ197="Kazandı",IF(AP197="Üst",Oranlar!W197,Oranlar!X197)-1,-1)))</f>
        <v>0.925925925925926</v>
      </c>
      <c r="AS197" s="17" t="str">
        <f>IF(G197*Oranlar!R197&gt;1,"Ev",IF((1-G197)*Oranlar!S197&gt;1,"Dep",""))</f>
        <v>Ev</v>
      </c>
      <c r="AT197" s="30">
        <f>IF(AS197="","",IF((AS197="Ev")=(E197&gt;0),IF(AS197="Ev",Oranlar!R197,Oranlar!S197)-1,-1))</f>
        <v>-1.0</v>
      </c>
      <c r="AU197" s="16">
        <f>IF(OR(H197=T197,S197=T197),"",IF((H197&gt;T197)=(S197&gt;T197),1,0))</f>
        <v>1</v>
      </c>
      <c r="AV197" s="16">
        <f>IF(OR(L197=V197,U197=V197),"",IF((L197&gt;V197)=(U197&gt;V197),1,0))</f>
        <v>1</v>
      </c>
      <c r="AW197" s="16">
        <f>IF(AND(E197&gt;=J197,E197&lt;=K197),1,0)</f>
        <v>0</v>
      </c>
      <c r="AX197" s="16">
        <f>IF(AND(F197&gt;=N197,F197&lt;=O197),1,0)</f>
        <v>1</v>
      </c>
    </row>
    <row r="198" spans="1:50">
      <c r="A198" s="21">
        <f>Oranlar!A198</f>
        <v>46110</v>
      </c>
      <c r="B198" s="22" t="str">
        <f>Oranlar!C198&amp;" @ "&amp;Oranlar!D198</f>
        <v>NYK @ OKC</v>
      </c>
      <c r="C198" s="23">
        <f>Oranlar!F198</f>
        <v>111</v>
      </c>
      <c r="D198" s="23">
        <f>Oranlar!E198</f>
        <v>100</v>
      </c>
      <c r="E198" s="15">
        <f>C198-D198</f>
        <v>11</v>
      </c>
      <c r="F198" s="16">
        <f>C198+D198</f>
        <v>211</v>
      </c>
      <c r="G198" s="24">
        <v>0.641</v>
      </c>
      <c r="H198" s="10">
        <v>5.37</v>
      </c>
      <c r="I198" s="10">
        <v>5.4</v>
      </c>
      <c r="J198" s="10">
        <v>-13</v>
      </c>
      <c r="K198" s="10">
        <v>24</v>
      </c>
      <c r="L198" s="11">
        <v>225.77</v>
      </c>
      <c r="M198" s="11">
        <v>225</v>
      </c>
      <c r="N198" s="11">
        <v>198</v>
      </c>
      <c r="O198" s="11">
        <v>252</v>
      </c>
      <c r="P198" s="11">
        <v>115.26</v>
      </c>
      <c r="Q198" s="11">
        <v>111.26</v>
      </c>
      <c r="R198" s="25">
        <f>Oranlar!Y198</f>
        <v>0.7508125677139762</v>
      </c>
      <c r="S198" s="26">
        <f>-Oranlar!O198</f>
        <v>7.5</v>
      </c>
      <c r="T198" s="26">
        <f>-Oranlar!I198</f>
        <v>9.5</v>
      </c>
      <c r="U198" s="27">
        <f>Oranlar!V198</f>
        <v>223.5</v>
      </c>
      <c r="V198" s="27">
        <f>Oranlar!L198</f>
        <v>224.5</v>
      </c>
      <c r="W198" s="28">
        <f>(U198+S198)/2</f>
        <v>115.5</v>
      </c>
      <c r="X198" s="28">
        <f>(U198-S198)/2</f>
        <v>108.0</v>
      </c>
      <c r="Y198" s="16">
        <f>IF(G198=0.5,"",IF((G198&gt;0.5)=(E198&gt;0),1,0))</f>
        <v>1</v>
      </c>
      <c r="Z198" s="16">
        <f>IF(R198=0.5,"",IF((R198&gt;0.5)=(E198&gt;0),1,0))</f>
        <v>1</v>
      </c>
      <c r="AA198" s="29">
        <f>(G198-IF(E198&gt;0,1,0))^2</f>
        <v>0.128881</v>
      </c>
      <c r="AB198" s="29">
        <f>(R198-IF(E198&gt;0,1,0))^2</f>
        <v>0.062094376409301696</v>
      </c>
      <c r="AC198" s="28">
        <f>ABS(H198-E198)</f>
        <v>5.63</v>
      </c>
      <c r="AD198" s="28">
        <f>ABS(I198-E198)</f>
        <v>5.6</v>
      </c>
      <c r="AE198" s="28">
        <f>ABS(S198-E198)</f>
        <v>3.5</v>
      </c>
      <c r="AF198" s="28">
        <f>ABS(L198-F198)</f>
        <v>14.77000000000001</v>
      </c>
      <c r="AG198" s="28">
        <f>ABS(M198-F198)</f>
        <v>14.0</v>
      </c>
      <c r="AH198" s="28">
        <f>ABS(U198-F198)</f>
        <v>12.5</v>
      </c>
      <c r="AI198" s="28">
        <f>ABS(P198-C198)</f>
        <v>4.260000000000005</v>
      </c>
      <c r="AJ198" s="28">
        <f>ABS(W198-C198)</f>
        <v>4.5</v>
      </c>
      <c r="AK198" s="28">
        <f>ABS(Q198-D198)</f>
        <v>11.260000000000005</v>
      </c>
      <c r="AL198" s="28">
        <f>ABS(X198-D198)</f>
        <v>8.0</v>
      </c>
      <c r="AM198" s="17" t="str">
        <f>IF(H198&gt;S198,"Ev",IF(H198&lt;S198,"Dep",""))</f>
        <v>Dep</v>
      </c>
      <c r="AN198" s="17" t="str">
        <f>IF(AM198="","",IF(E198=S198,"Push",IF((E198&gt;S198)=(AM198="Ev"),"Kazandı","Kaybetti")))</f>
        <v>Kaybetti</v>
      </c>
      <c r="AO198" s="30">
        <f>IF(AM198="","",IF(AN198="Push",0,IF(AN198="Kazandı",IF(AM198="Ev",Oranlar!P198,Oranlar!Q198)-1,-1)))</f>
        <v>-1.0</v>
      </c>
      <c r="AP198" s="17" t="str">
        <f>IF(L198&gt;U198,"Üst",IF(L198&lt;U198,"Alt",""))</f>
        <v>Üst</v>
      </c>
      <c r="AQ198" s="17" t="str">
        <f>IF(AP198="","",IF(F198=U198,"Push",IF((F198&gt;U198)=(AP198="Üst"),"Kazandı","Kaybetti")))</f>
        <v>Kaybetti</v>
      </c>
      <c r="AR198" s="30">
        <f>IF(AP198="","",IF(AQ198="Push",0,IF(AQ198="Kazandı",IF(AP198="Üst",Oranlar!W198,Oranlar!X198)-1,-1)))</f>
        <v>-1.0</v>
      </c>
      <c r="AS198" s="17" t="str">
        <f>IF(G198*Oranlar!R198&gt;1,"Ev",IF((1-G198)*Oranlar!S198&gt;1,"Dep",""))</f>
        <v>Dep</v>
      </c>
      <c r="AT198" s="30">
        <f>IF(AS198="","",IF((AS198="Ev")=(E198&gt;0),IF(AS198="Ev",Oranlar!R198,Oranlar!S198)-1,-1))</f>
        <v>-1.0</v>
      </c>
      <c r="AU198" s="16">
        <f>IF(OR(H198=T198,S198=T198),"",IF((H198&gt;T198)=(S198&gt;T198),1,0))</f>
        <v>1</v>
      </c>
      <c r="AV198" s="16">
        <f>IF(OR(L198=V198,U198=V198),"",IF((L198&gt;V198)=(U198&gt;V198),1,0))</f>
        <v>0</v>
      </c>
      <c r="AW198" s="16">
        <f>IF(AND(E198&gt;=J198,E198&lt;=K198),1,0)</f>
        <v>1</v>
      </c>
      <c r="AX198" s="16">
        <f>IF(AND(F198&gt;=N198,F198&lt;=O198),1,0)</f>
        <v>1</v>
      </c>
    </row>
    <row r="199" spans="1:50">
      <c r="A199" s="21">
        <f>Oranlar!A199</f>
        <v>46110</v>
      </c>
      <c r="B199" s="22" t="str">
        <f>Oranlar!C199&amp;" @ "&amp;Oranlar!D199</f>
        <v>GSW @ DEN</v>
      </c>
      <c r="C199" s="23">
        <f>Oranlar!F199</f>
        <v>116</v>
      </c>
      <c r="D199" s="23">
        <f>Oranlar!E199</f>
        <v>93</v>
      </c>
      <c r="E199" s="15">
        <f>C199-D199</f>
        <v>23</v>
      </c>
      <c r="F199" s="16">
        <f>C199+D199</f>
        <v>209</v>
      </c>
      <c r="G199" s="24">
        <v>0.8110000000000001</v>
      </c>
      <c r="H199" s="10">
        <v>18.9</v>
      </c>
      <c r="I199" s="10">
        <v>15.4</v>
      </c>
      <c r="J199" s="10">
        <v>-3</v>
      </c>
      <c r="K199" s="10">
        <v>34</v>
      </c>
      <c r="L199" s="11">
        <v>232.6</v>
      </c>
      <c r="M199" s="11">
        <v>237.1</v>
      </c>
      <c r="N199" s="11">
        <v>209</v>
      </c>
      <c r="O199" s="11">
        <v>265</v>
      </c>
      <c r="P199" s="11">
        <v>124.72</v>
      </c>
      <c r="Q199" s="11">
        <v>111.48</v>
      </c>
      <c r="R199" s="25">
        <f>Oranlar!Y199</f>
        <v>0.827123695976155</v>
      </c>
      <c r="S199" s="26">
        <f>-Oranlar!O199</f>
        <v>11.5</v>
      </c>
      <c r="T199" s="26">
        <f>-Oranlar!I199</f>
        <v>11.5</v>
      </c>
      <c r="U199" s="27">
        <f>Oranlar!V199</f>
        <v>238.5</v>
      </c>
      <c r="V199" s="27">
        <f>Oranlar!L199</f>
        <v>237.5</v>
      </c>
      <c r="W199" s="28">
        <f>(U199+S199)/2</f>
        <v>125.0</v>
      </c>
      <c r="X199" s="28">
        <f>(U199-S199)/2</f>
        <v>113.5</v>
      </c>
      <c r="Y199" s="16">
        <f>IF(G199=0.5,"",IF((G199&gt;0.5)=(E199&gt;0),1,0))</f>
        <v>1</v>
      </c>
      <c r="Z199" s="16">
        <f>IF(R199=0.5,"",IF((R199&gt;0.5)=(E199&gt;0),1,0))</f>
        <v>1</v>
      </c>
      <c r="AA199" s="29">
        <f>(G199-IF(E199&gt;0,1,0))^2</f>
        <v>0.03572099999999998</v>
      </c>
      <c r="AB199" s="29">
        <f>(R199-IF(E199&gt;0,1,0))^2</f>
        <v>0.029886216492944893</v>
      </c>
      <c r="AC199" s="28">
        <f>ABS(H199-E199)</f>
        <v>4.100000000000001</v>
      </c>
      <c r="AD199" s="28">
        <f>ABS(I199-E199)</f>
        <v>7.6</v>
      </c>
      <c r="AE199" s="28">
        <f>ABS(S199-E199)</f>
        <v>11.5</v>
      </c>
      <c r="AF199" s="28">
        <f>ABS(L199-F199)</f>
        <v>23.599999999999994</v>
      </c>
      <c r="AG199" s="28">
        <f>ABS(M199-F199)</f>
        <v>28.099999999999994</v>
      </c>
      <c r="AH199" s="28">
        <f>ABS(U199-F199)</f>
        <v>29.5</v>
      </c>
      <c r="AI199" s="28">
        <f>ABS(P199-C199)</f>
        <v>8.719999999999999</v>
      </c>
      <c r="AJ199" s="28">
        <f>ABS(W199-C199)</f>
        <v>9.0</v>
      </c>
      <c r="AK199" s="28">
        <f>ABS(Q199-D199)</f>
        <v>18.480000000000004</v>
      </c>
      <c r="AL199" s="28">
        <f>ABS(X199-D199)</f>
        <v>20.5</v>
      </c>
      <c r="AM199" s="17" t="str">
        <f>IF(H199&gt;S199,"Ev",IF(H199&lt;S199,"Dep",""))</f>
        <v>Ev</v>
      </c>
      <c r="AN199" s="17" t="str">
        <f>IF(AM199="","",IF(E199=S199,"Push",IF((E199&gt;S199)=(AM199="Ev"),"Kazandı","Kaybetti")))</f>
        <v>Kazandı</v>
      </c>
      <c r="AO199" s="30">
        <f>IF(AM199="","",IF(AN199="Push",0,IF(AN199="Kazandı",IF(AM199="Ev",Oranlar!P199,Oranlar!Q199)-1,-1)))</f>
        <v>0.8695652173913042</v>
      </c>
      <c r="AP199" s="17" t="str">
        <f>IF(L199&gt;U199,"Üst",IF(L199&lt;U199,"Alt",""))</f>
        <v>Alt</v>
      </c>
      <c r="AQ199" s="17" t="str">
        <f>IF(AP199="","",IF(F199=U199,"Push",IF((F199&gt;U199)=(AP199="Üst"),"Kazandı","Kaybetti")))</f>
        <v>Kazandı</v>
      </c>
      <c r="AR199" s="30">
        <f>IF(AP199="","",IF(AQ199="Push",0,IF(AQ199="Kazandı",IF(AP199="Üst",Oranlar!W199,Oranlar!X199)-1,-1)))</f>
        <v>0.8928571428571428</v>
      </c>
      <c r="AS199" s="17" t="str">
        <f>IF(G199*Oranlar!R199&gt;1,"Ev",IF((1-G199)*Oranlar!S199&gt;1,"Dep",""))</f>
        <v>Dep</v>
      </c>
      <c r="AT199" s="30">
        <f>IF(AS199="","",IF((AS199="Ev")=(E199&gt;0),IF(AS199="Ev",Oranlar!R199,Oranlar!S199)-1,-1))</f>
        <v>-1.0</v>
      </c>
      <c r="AU199" s="16">
        <f>IF(OR(H199=T199,S199=T199),"",IF((H199&gt;T199)=(S199&gt;T199),1,0))</f>
        <v/>
      </c>
      <c r="AV199" s="16">
        <f>IF(OR(L199=V199,U199=V199),"",IF((L199&gt;V199)=(U199&gt;V199),1,0))</f>
        <v>0</v>
      </c>
      <c r="AW199" s="16">
        <f>IF(AND(E199&gt;=J199,E199&lt;=K199),1,0)</f>
        <v>1</v>
      </c>
      <c r="AX199" s="16">
        <f>IF(AND(F199&gt;=N199,F199&lt;=O199),1,0)</f>
        <v>1</v>
      </c>
    </row>
    <row r="200" spans="1:50">
      <c r="A200" s="21">
        <f>Oranlar!A200</f>
        <v>46111</v>
      </c>
      <c r="B200" s="22" t="str">
        <f>Oranlar!C200&amp;" @ "&amp;Oranlar!D200</f>
        <v>PHI @ MIA</v>
      </c>
      <c r="C200" s="23">
        <f>Oranlar!F200</f>
        <v>119</v>
      </c>
      <c r="D200" s="23">
        <f>Oranlar!E200</f>
        <v>109</v>
      </c>
      <c r="E200" s="15">
        <f>C200-D200</f>
        <v>10</v>
      </c>
      <c r="F200" s="16">
        <f>C200+D200</f>
        <v>228</v>
      </c>
      <c r="G200" s="24">
        <v>0.463</v>
      </c>
      <c r="H200" s="10">
        <v>0.49</v>
      </c>
      <c r="I200" s="10">
        <v>-4.4</v>
      </c>
      <c r="J200" s="10">
        <v>-24</v>
      </c>
      <c r="K200" s="10">
        <v>15</v>
      </c>
      <c r="L200" s="11">
        <v>243.61</v>
      </c>
      <c r="M200" s="11">
        <v>246.9</v>
      </c>
      <c r="N200" s="11">
        <v>218</v>
      </c>
      <c r="O200" s="11">
        <v>275</v>
      </c>
      <c r="P200" s="11">
        <v>120.87</v>
      </c>
      <c r="Q200" s="11">
        <v>125.89</v>
      </c>
      <c r="R200" s="25">
        <f>Oranlar!Y200</f>
        <v>0.43650793650793646</v>
      </c>
      <c r="S200" s="26">
        <f>-Oranlar!O200</f>
        <v>-2.5</v>
      </c>
      <c r="T200" s="26">
        <f>-Oranlar!I200</f>
        <v>-1.5</v>
      </c>
      <c r="U200" s="27">
        <f>Oranlar!V200</f>
        <v>242.5</v>
      </c>
      <c r="V200" s="27">
        <f>Oranlar!L200</f>
        <v>245.5</v>
      </c>
      <c r="W200" s="28">
        <f>(U200+S200)/2</f>
        <v>120.0</v>
      </c>
      <c r="X200" s="28">
        <f>(U200-S200)/2</f>
        <v>122.5</v>
      </c>
      <c r="Y200" s="16">
        <f>IF(G200=0.5,"",IF((G200&gt;0.5)=(E200&gt;0),1,0))</f>
        <v>0</v>
      </c>
      <c r="Z200" s="16">
        <f>IF(R200=0.5,"",IF((R200&gt;0.5)=(E200&gt;0),1,0))</f>
        <v>0</v>
      </c>
      <c r="AA200" s="29">
        <f>(G200-IF(E200&gt;0,1,0))^2</f>
        <v>0.28836899999999993</v>
      </c>
      <c r="AB200" s="29">
        <f>(R200-IF(E200&gt;0,1,0))^2</f>
        <v>0.3175233056185437</v>
      </c>
      <c r="AC200" s="28">
        <f>ABS(H200-E200)</f>
        <v>9.51</v>
      </c>
      <c r="AD200" s="28">
        <f>ABS(I200-E200)</f>
        <v>14.4</v>
      </c>
      <c r="AE200" s="28">
        <f>ABS(S200-E200)</f>
        <v>12.5</v>
      </c>
      <c r="AF200" s="28">
        <f>ABS(L200-F200)</f>
        <v>15.610000000000014</v>
      </c>
      <c r="AG200" s="28">
        <f>ABS(M200-F200)</f>
        <v>18.900000000000006</v>
      </c>
      <c r="AH200" s="28">
        <f>ABS(U200-F200)</f>
        <v>14.5</v>
      </c>
      <c r="AI200" s="28">
        <f>ABS(P200-C200)</f>
        <v>1.8700000000000045</v>
      </c>
      <c r="AJ200" s="28">
        <f>ABS(W200-C200)</f>
        <v>1.0</v>
      </c>
      <c r="AK200" s="28">
        <f>ABS(Q200-D200)</f>
        <v>16.89</v>
      </c>
      <c r="AL200" s="28">
        <f>ABS(X200-D200)</f>
        <v>13.5</v>
      </c>
      <c r="AM200" s="17" t="str">
        <f>IF(H200&gt;S200,"Ev",IF(H200&lt;S200,"Dep",""))</f>
        <v>Ev</v>
      </c>
      <c r="AN200" s="17" t="str">
        <f>IF(AM200="","",IF(E200=S200,"Push",IF((E200&gt;S200)=(AM200="Ev"),"Kazandı","Kaybetti")))</f>
        <v>Kazandı</v>
      </c>
      <c r="AO200" s="30">
        <f>IF(AM200="","",IF(AN200="Push",0,IF(AN200="Kazandı",IF(AM200="Ev",Oranlar!P200,Oranlar!Q200)-1,-1)))</f>
        <v>0.9090909090909092</v>
      </c>
      <c r="AP200" s="17" t="str">
        <f>IF(L200&gt;U200,"Üst",IF(L200&lt;U200,"Alt",""))</f>
        <v>Üst</v>
      </c>
      <c r="AQ200" s="17" t="str">
        <f>IF(AP200="","",IF(F200=U200,"Push",IF((F200&gt;U200)=(AP200="Üst"),"Kazandı","Kaybetti")))</f>
        <v>Kaybetti</v>
      </c>
      <c r="AR200" s="30">
        <f>IF(AP200="","",IF(AQ200="Push",0,IF(AQ200="Kazandı",IF(AP200="Üst",Oranlar!W200,Oranlar!X200)-1,-1)))</f>
        <v>-1.0</v>
      </c>
      <c r="AS200" s="17" t="str">
        <f>IF(G200*Oranlar!R200&gt;1,"Ev",IF((1-G200)*Oranlar!S200&gt;1,"Dep",""))</f>
        <v>Ev</v>
      </c>
      <c r="AT200" s="30">
        <f>IF(AS200="","",IF((AS200="Ev")=(E200&gt;0),IF(AS200="Ev",Oranlar!R200,Oranlar!S200)-1,-1))</f>
        <v>1.2000000000000002</v>
      </c>
      <c r="AU200" s="16">
        <f>IF(OR(H200=T200,S200=T200),"",IF((H200&gt;T200)=(S200&gt;T200),1,0))</f>
        <v>0</v>
      </c>
      <c r="AV200" s="16">
        <f>IF(OR(L200=V200,U200=V200),"",IF((L200&gt;V200)=(U200&gt;V200),1,0))</f>
        <v>1</v>
      </c>
      <c r="AW200" s="16">
        <f>IF(AND(E200&gt;=J200,E200&lt;=K200),1,0)</f>
        <v>1</v>
      </c>
      <c r="AX200" s="16">
        <f>IF(AND(F200&gt;=N200,F200&lt;=O200),1,0)</f>
        <v>1</v>
      </c>
    </row>
    <row r="201" spans="1:50">
      <c r="A201" s="21">
        <f>Oranlar!A201</f>
        <v>46111</v>
      </c>
      <c r="B201" s="22" t="str">
        <f>Oranlar!C201&amp;" @ "&amp;Oranlar!D201</f>
        <v>BOS @ ATL</v>
      </c>
      <c r="C201" s="23">
        <f>Oranlar!F201</f>
        <v>112</v>
      </c>
      <c r="D201" s="23">
        <f>Oranlar!E201</f>
        <v>102</v>
      </c>
      <c r="E201" s="15">
        <f>C201-D201</f>
        <v>10</v>
      </c>
      <c r="F201" s="16">
        <f>C201+D201</f>
        <v>214</v>
      </c>
      <c r="G201" s="24">
        <v>0.617</v>
      </c>
      <c r="H201" s="10">
        <v>2.8</v>
      </c>
      <c r="I201" s="10">
        <v>1.8</v>
      </c>
      <c r="J201" s="10">
        <v>-16</v>
      </c>
      <c r="K201" s="10">
        <v>20</v>
      </c>
      <c r="L201" s="11">
        <v>226.61</v>
      </c>
      <c r="M201" s="11">
        <v>229.3</v>
      </c>
      <c r="N201" s="11">
        <v>202</v>
      </c>
      <c r="O201" s="11">
        <v>257</v>
      </c>
      <c r="P201" s="11">
        <v>115.38</v>
      </c>
      <c r="Q201" s="11">
        <v>112.7</v>
      </c>
      <c r="R201" s="25">
        <f>Oranlar!Y201</f>
        <v>0.5634920634920635</v>
      </c>
      <c r="S201" s="26">
        <f>-Oranlar!O201</f>
        <v>2.5</v>
      </c>
      <c r="T201" s="26">
        <f>-Oranlar!I201</f>
        <v>1.5</v>
      </c>
      <c r="U201" s="27">
        <f>Oranlar!V201</f>
        <v>225.5</v>
      </c>
      <c r="V201" s="27">
        <f>Oranlar!L201</f>
        <v>222.5</v>
      </c>
      <c r="W201" s="28">
        <f>(U201+S201)/2</f>
        <v>114.0</v>
      </c>
      <c r="X201" s="28">
        <f>(U201-S201)/2</f>
        <v>111.5</v>
      </c>
      <c r="Y201" s="16">
        <f>IF(G201=0.5,"",IF((G201&gt;0.5)=(E201&gt;0),1,0))</f>
        <v>1</v>
      </c>
      <c r="Z201" s="16">
        <f>IF(R201=0.5,"",IF((R201&gt;0.5)=(E201&gt;0),1,0))</f>
        <v>1</v>
      </c>
      <c r="AA201" s="29">
        <f>(G201-IF(E201&gt;0,1,0))^2</f>
        <v>0.146689</v>
      </c>
      <c r="AB201" s="29">
        <f>(R201-IF(E201&gt;0,1,0))^2</f>
        <v>0.19053917863441674</v>
      </c>
      <c r="AC201" s="28">
        <f>ABS(H201-E201)</f>
        <v>7.2</v>
      </c>
      <c r="AD201" s="28">
        <f>ABS(I201-E201)</f>
        <v>8.2</v>
      </c>
      <c r="AE201" s="28">
        <f>ABS(S201-E201)</f>
        <v>7.5</v>
      </c>
      <c r="AF201" s="28">
        <f>ABS(L201-F201)</f>
        <v>12.610000000000014</v>
      </c>
      <c r="AG201" s="28">
        <f>ABS(M201-F201)</f>
        <v>15.300000000000011</v>
      </c>
      <c r="AH201" s="28">
        <f>ABS(U201-F201)</f>
        <v>11.5</v>
      </c>
      <c r="AI201" s="28">
        <f>ABS(P201-C201)</f>
        <v>3.3799999999999955</v>
      </c>
      <c r="AJ201" s="28">
        <f>ABS(W201-C201)</f>
        <v>2.0</v>
      </c>
      <c r="AK201" s="28">
        <f>ABS(Q201-D201)</f>
        <v>10.700000000000003</v>
      </c>
      <c r="AL201" s="28">
        <f>ABS(X201-D201)</f>
        <v>9.5</v>
      </c>
      <c r="AM201" s="17" t="str">
        <f>IF(H201&gt;S201,"Ev",IF(H201&lt;S201,"Dep",""))</f>
        <v>Ev</v>
      </c>
      <c r="AN201" s="17" t="str">
        <f>IF(AM201="","",IF(E201=S201,"Push",IF((E201&gt;S201)=(AM201="Ev"),"Kazandı","Kaybetti")))</f>
        <v>Kazandı</v>
      </c>
      <c r="AO201" s="30">
        <f>IF(AM201="","",IF(AN201="Push",0,IF(AN201="Kazandı",IF(AM201="Ev",Oranlar!P201,Oranlar!Q201)-1,-1)))</f>
        <v>0.9090909090909092</v>
      </c>
      <c r="AP201" s="17" t="str">
        <f>IF(L201&gt;U201,"Üst",IF(L201&lt;U201,"Alt",""))</f>
        <v>Üst</v>
      </c>
      <c r="AQ201" s="17" t="str">
        <f>IF(AP201="","",IF(F201=U201,"Push",IF((F201&gt;U201)=(AP201="Üst"),"Kazandı","Kaybetti")))</f>
        <v>Kaybetti</v>
      </c>
      <c r="AR201" s="30">
        <f>IF(AP201="","",IF(AQ201="Push",0,IF(AQ201="Kazandı",IF(AP201="Üst",Oranlar!W201,Oranlar!X201)-1,-1)))</f>
        <v>-1.0</v>
      </c>
      <c r="AS201" s="17" t="str">
        <f>IF(G201*Oranlar!R201&gt;1,"Ev",IF((1-G201)*Oranlar!S201&gt;1,"Dep",""))</f>
        <v>Ev</v>
      </c>
      <c r="AT201" s="30">
        <f>IF(AS201="","",IF((AS201="Ev")=(E201&gt;0),IF(AS201="Ev",Oranlar!R201,Oranlar!S201)-1,-1))</f>
        <v>0.704225352112676</v>
      </c>
      <c r="AU201" s="16">
        <f>IF(OR(H201=T201,S201=T201),"",IF((H201&gt;T201)=(S201&gt;T201),1,0))</f>
        <v>1</v>
      </c>
      <c r="AV201" s="16">
        <f>IF(OR(L201=V201,U201=V201),"",IF((L201&gt;V201)=(U201&gt;V201),1,0))</f>
        <v>1</v>
      </c>
      <c r="AW201" s="16">
        <f>IF(AND(E201&gt;=J201,E201&lt;=K201),1,0)</f>
        <v>1</v>
      </c>
      <c r="AX201" s="16">
        <f>IF(AND(F201&gt;=N201,F201&lt;=O201),1,0)</f>
        <v>1</v>
      </c>
    </row>
    <row r="202" spans="1:50">
      <c r="A202" s="21">
        <f>Oranlar!A202</f>
        <v>46111</v>
      </c>
      <c r="B202" s="22" t="str">
        <f>Oranlar!C202&amp;" @ "&amp;Oranlar!D202</f>
        <v>PHX @ MEM</v>
      </c>
      <c r="C202" s="23">
        <f>Oranlar!F202</f>
        <v>105</v>
      </c>
      <c r="D202" s="23">
        <f>Oranlar!E202</f>
        <v>131</v>
      </c>
      <c r="E202" s="15">
        <f>C202-D202</f>
        <v>-26</v>
      </c>
      <c r="F202" s="16">
        <f>C202+D202</f>
        <v>236</v>
      </c>
      <c r="G202" s="24">
        <v>0.351</v>
      </c>
      <c r="H202" s="10">
        <v>-3.35</v>
      </c>
      <c r="I202" s="10">
        <v>-9.199999999999999</v>
      </c>
      <c r="J202" s="10">
        <v>-28</v>
      </c>
      <c r="K202" s="10">
        <v>10</v>
      </c>
      <c r="L202" s="11">
        <v>230.39</v>
      </c>
      <c r="M202" s="11">
        <v>233.3</v>
      </c>
      <c r="N202" s="11">
        <v>206</v>
      </c>
      <c r="O202" s="11">
        <v>261</v>
      </c>
      <c r="P202" s="11">
        <v>112.09</v>
      </c>
      <c r="Q202" s="11">
        <v>122.66</v>
      </c>
      <c r="R202" s="25">
        <f>Oranlar!Y202</f>
        <v>0.15999999999999998</v>
      </c>
      <c r="S202" s="26">
        <f>-Oranlar!O202</f>
        <v>-12.5</v>
      </c>
      <c r="T202" s="26">
        <f>-Oranlar!I202</f>
        <v>-12.5</v>
      </c>
      <c r="U202" s="27">
        <f>Oranlar!V202</f>
        <v>228.5</v>
      </c>
      <c r="V202" s="27">
        <f>Oranlar!L202</f>
        <v>230.5</v>
      </c>
      <c r="W202" s="28">
        <f>(U202+S202)/2</f>
        <v>108.0</v>
      </c>
      <c r="X202" s="28">
        <f>(U202-S202)/2</f>
        <v>120.5</v>
      </c>
      <c r="Y202" s="16">
        <f>IF(G202=0.5,"",IF((G202&gt;0.5)=(E202&gt;0),1,0))</f>
        <v>1</v>
      </c>
      <c r="Z202" s="16">
        <f>IF(R202=0.5,"",IF((R202&gt;0.5)=(E202&gt;0),1,0))</f>
        <v>1</v>
      </c>
      <c r="AA202" s="29">
        <f>(G202-IF(E202&gt;0,1,0))^2</f>
        <v>0.12320099999999999</v>
      </c>
      <c r="AB202" s="29">
        <f>(R202-IF(E202&gt;0,1,0))^2</f>
        <v>0.02559999999999999</v>
      </c>
      <c r="AC202" s="28">
        <f>ABS(H202-E202)</f>
        <v>22.65</v>
      </c>
      <c r="AD202" s="28">
        <f>ABS(I202-E202)</f>
        <v>16.8</v>
      </c>
      <c r="AE202" s="28">
        <f>ABS(S202-E202)</f>
        <v>13.5</v>
      </c>
      <c r="AF202" s="28">
        <f>ABS(L202-F202)</f>
        <v>5.610000000000014</v>
      </c>
      <c r="AG202" s="28">
        <f>ABS(M202-F202)</f>
        <v>2.6999999999999886</v>
      </c>
      <c r="AH202" s="28">
        <f>ABS(U202-F202)</f>
        <v>7.5</v>
      </c>
      <c r="AI202" s="28">
        <f>ABS(P202-C202)</f>
        <v>7.090000000000003</v>
      </c>
      <c r="AJ202" s="28">
        <f>ABS(W202-C202)</f>
        <v>3.0</v>
      </c>
      <c r="AK202" s="28">
        <f>ABS(Q202-D202)</f>
        <v>8.340000000000003</v>
      </c>
      <c r="AL202" s="28">
        <f>ABS(X202-D202)</f>
        <v>10.5</v>
      </c>
      <c r="AM202" s="17" t="str">
        <f>IF(H202&gt;S202,"Ev",IF(H202&lt;S202,"Dep",""))</f>
        <v>Ev</v>
      </c>
      <c r="AN202" s="17" t="str">
        <f>IF(AM202="","",IF(E202=S202,"Push",IF((E202&gt;S202)=(AM202="Ev"),"Kazandı","Kaybetti")))</f>
        <v>Kaybetti</v>
      </c>
      <c r="AO202" s="30">
        <f>IF(AM202="","",IF(AN202="Push",0,IF(AN202="Kazandı",IF(AM202="Ev",Oranlar!P202,Oranlar!Q202)-1,-1)))</f>
        <v>-1.0</v>
      </c>
      <c r="AP202" s="17" t="str">
        <f>IF(L202&gt;U202,"Üst",IF(L202&lt;U202,"Alt",""))</f>
        <v>Üst</v>
      </c>
      <c r="AQ202" s="17" t="str">
        <f>IF(AP202="","",IF(F202=U202,"Push",IF((F202&gt;U202)=(AP202="Üst"),"Kazandı","Kaybetti")))</f>
        <v>Kazandı</v>
      </c>
      <c r="AR202" s="30">
        <f>IF(AP202="","",IF(AQ202="Push",0,IF(AQ202="Kazandı",IF(AP202="Üst",Oranlar!W202,Oranlar!X202)-1,-1)))</f>
        <v>0.925925925925926</v>
      </c>
      <c r="AS202" s="17" t="str">
        <f>IF(G202*Oranlar!R202&gt;1,"Ev",IF((1-G202)*Oranlar!S202&gt;1,"Dep",""))</f>
        <v>Ev</v>
      </c>
      <c r="AT202" s="30">
        <f>IF(AS202="","",IF((AS202="Ev")=(E202&gt;0),IF(AS202="Ev",Oranlar!R202,Oranlar!S202)-1,-1))</f>
        <v>-1.0</v>
      </c>
      <c r="AU202" s="16">
        <f>IF(OR(H202=T202,S202=T202),"",IF((H202&gt;T202)=(S202&gt;T202),1,0))</f>
        <v/>
      </c>
      <c r="AV202" s="16">
        <f>IF(OR(L202=V202,U202=V202),"",IF((L202&gt;V202)=(U202&gt;V202),1,0))</f>
        <v>1</v>
      </c>
      <c r="AW202" s="16">
        <f>IF(AND(E202&gt;=J202,E202&lt;=K202),1,0)</f>
        <v>1</v>
      </c>
      <c r="AX202" s="16">
        <f>IF(AND(F202&gt;=N202,F202&lt;=O202),1,0)</f>
        <v>1</v>
      </c>
    </row>
    <row r="203" spans="1:50">
      <c r="A203" s="21">
        <f>Oranlar!A203</f>
        <v>46111</v>
      </c>
      <c r="B203" s="22" t="str">
        <f>Oranlar!C203&amp;" @ "&amp;Oranlar!D203</f>
        <v>CHI @ SAS</v>
      </c>
      <c r="C203" s="23">
        <f>Oranlar!F203</f>
        <v>129</v>
      </c>
      <c r="D203" s="23">
        <f>Oranlar!E203</f>
        <v>114</v>
      </c>
      <c r="E203" s="15">
        <f>C203-D203</f>
        <v>15</v>
      </c>
      <c r="F203" s="16">
        <f>C203+D203</f>
        <v>243</v>
      </c>
      <c r="G203" s="24">
        <v>0.712</v>
      </c>
      <c r="H203" s="10">
        <v>5.44</v>
      </c>
      <c r="I203" s="10">
        <v>10.6</v>
      </c>
      <c r="J203" s="10">
        <v>-8</v>
      </c>
      <c r="K203" s="10">
        <v>30</v>
      </c>
      <c r="L203" s="11">
        <v>238.63</v>
      </c>
      <c r="M203" s="11">
        <v>239.7</v>
      </c>
      <c r="N203" s="11">
        <v>211</v>
      </c>
      <c r="O203" s="11">
        <v>268</v>
      </c>
      <c r="P203" s="11">
        <v>123.5</v>
      </c>
      <c r="Q203" s="11">
        <v>114.5</v>
      </c>
      <c r="R203" s="25">
        <f>Oranlar!Y203</f>
        <v>0.9197080291970803</v>
      </c>
      <c r="S203" s="26">
        <f>-Oranlar!O203</f>
        <v>17.5</v>
      </c>
      <c r="T203" s="26">
        <f>-Oranlar!I203</f>
        <v>17.5</v>
      </c>
      <c r="U203" s="27">
        <f>Oranlar!V203</f>
        <v>246.5</v>
      </c>
      <c r="V203" s="27">
        <f>Oranlar!L203</f>
        <v>243.5</v>
      </c>
      <c r="W203" s="28">
        <f>(U203+S203)/2</f>
        <v>132.0</v>
      </c>
      <c r="X203" s="28">
        <f>(U203-S203)/2</f>
        <v>114.5</v>
      </c>
      <c r="Y203" s="16">
        <f>IF(G203=0.5,"",IF((G203&gt;0.5)=(E203&gt;0),1,0))</f>
        <v>1</v>
      </c>
      <c r="Z203" s="16">
        <f>IF(R203=0.5,"",IF((R203&gt;0.5)=(E203&gt;0),1,0))</f>
        <v>1</v>
      </c>
      <c r="AA203" s="29">
        <f>(G203-IF(E203&gt;0,1,0))^2</f>
        <v>0.08294400000000002</v>
      </c>
      <c r="AB203" s="29">
        <f>(R203-IF(E203&gt;0,1,0))^2</f>
        <v>0.006446800575416913</v>
      </c>
      <c r="AC203" s="28">
        <f>ABS(H203-E203)</f>
        <v>9.559999999999999</v>
      </c>
      <c r="AD203" s="28">
        <f>ABS(I203-E203)</f>
        <v>4.4</v>
      </c>
      <c r="AE203" s="28">
        <f>ABS(S203-E203)</f>
        <v>2.5</v>
      </c>
      <c r="AF203" s="28">
        <f>ABS(L203-F203)</f>
        <v>4.3700000000000045</v>
      </c>
      <c r="AG203" s="28">
        <f>ABS(M203-F203)</f>
        <v>3.3000000000000114</v>
      </c>
      <c r="AH203" s="28">
        <f>ABS(U203-F203)</f>
        <v>3.5</v>
      </c>
      <c r="AI203" s="28">
        <f>ABS(P203-C203)</f>
        <v>5.5</v>
      </c>
      <c r="AJ203" s="28">
        <f>ABS(W203-C203)</f>
        <v>3.0</v>
      </c>
      <c r="AK203" s="28">
        <f>ABS(Q203-D203)</f>
        <v>0.5</v>
      </c>
      <c r="AL203" s="28">
        <f>ABS(X203-D203)</f>
        <v>0.5</v>
      </c>
      <c r="AM203" s="17" t="str">
        <f>IF(H203&gt;S203,"Ev",IF(H203&lt;S203,"Dep",""))</f>
        <v>Dep</v>
      </c>
      <c r="AN203" s="17" t="str">
        <f>IF(AM203="","",IF(E203=S203,"Push",IF((E203&gt;S203)=(AM203="Ev"),"Kazandı","Kaybetti")))</f>
        <v>Kazandı</v>
      </c>
      <c r="AO203" s="30">
        <f>IF(AM203="","",IF(AN203="Push",0,IF(AN203="Kazandı",IF(AM203="Ev",Oranlar!P203,Oranlar!Q203)-1,-1)))</f>
        <v>0.9523809523809523</v>
      </c>
      <c r="AP203" s="17" t="str">
        <f>IF(L203&gt;U203,"Üst",IF(L203&lt;U203,"Alt",""))</f>
        <v>Alt</v>
      </c>
      <c r="AQ203" s="17" t="str">
        <f>IF(AP203="","",IF(F203=U203,"Push",IF((F203&gt;U203)=(AP203="Üst"),"Kazandı","Kaybetti")))</f>
        <v>Kazandı</v>
      </c>
      <c r="AR203" s="30">
        <f>IF(AP203="","",IF(AQ203="Push",0,IF(AQ203="Kazandı",IF(AP203="Üst",Oranlar!W203,Oranlar!X203)-1,-1)))</f>
        <v>0.9523809523809523</v>
      </c>
      <c r="AS203" s="17" t="str">
        <f>IF(G203*Oranlar!R203&gt;1,"Ev",IF((1-G203)*Oranlar!S203&gt;1,"Dep",""))</f>
        <v>Dep</v>
      </c>
      <c r="AT203" s="30">
        <f>IF(AS203="","",IF((AS203="Ev")=(E203&gt;0),IF(AS203="Ev",Oranlar!R203,Oranlar!S203)-1,-1))</f>
        <v>-1.0</v>
      </c>
      <c r="AU203" s="16">
        <f>IF(OR(H203=T203,S203=T203),"",IF((H203&gt;T203)=(S203&gt;T203),1,0))</f>
        <v/>
      </c>
      <c r="AV203" s="16">
        <f>IF(OR(L203=V203,U203=V203),"",IF((L203&gt;V203)=(U203&gt;V203),1,0))</f>
        <v>0</v>
      </c>
      <c r="AW203" s="16">
        <f>IF(AND(E203&gt;=J203,E203&lt;=K203),1,0)</f>
        <v>1</v>
      </c>
      <c r="AX203" s="16">
        <f>IF(AND(F203&gt;=N203,F203&lt;=O203),1,0)</f>
        <v>1</v>
      </c>
    </row>
    <row r="204" spans="1:50">
      <c r="A204" s="21">
        <f>Oranlar!A204</f>
        <v>46111</v>
      </c>
      <c r="B204" s="22" t="str">
        <f>Oranlar!C204&amp;" @ "&amp;Oranlar!D204</f>
        <v>MIN @ DAL</v>
      </c>
      <c r="C204" s="23">
        <f>Oranlar!F204</f>
        <v>94</v>
      </c>
      <c r="D204" s="23">
        <f>Oranlar!E204</f>
        <v>124</v>
      </c>
      <c r="E204" s="15">
        <f>C204-D204</f>
        <v>-30</v>
      </c>
      <c r="F204" s="16">
        <f>C204+D204</f>
        <v>218</v>
      </c>
      <c r="G204" s="24">
        <v>0.272</v>
      </c>
      <c r="H204" s="10">
        <v>-10.33</v>
      </c>
      <c r="I204" s="10">
        <v>-5.3</v>
      </c>
      <c r="J204" s="10">
        <v>-24</v>
      </c>
      <c r="K204" s="10">
        <v>14</v>
      </c>
      <c r="L204" s="11">
        <v>239.02</v>
      </c>
      <c r="M204" s="11">
        <v>235.5</v>
      </c>
      <c r="N204" s="11">
        <v>208</v>
      </c>
      <c r="O204" s="11">
        <v>263</v>
      </c>
      <c r="P204" s="11">
        <v>116.18</v>
      </c>
      <c r="Q204" s="11">
        <v>122.84</v>
      </c>
      <c r="R204" s="25">
        <f>Oranlar!Y204</f>
        <v>0.2522172949002217</v>
      </c>
      <c r="S204" s="26">
        <f>-Oranlar!O204</f>
        <v>-8.5</v>
      </c>
      <c r="T204" s="26">
        <f>-Oranlar!I204</f>
        <v>-6.5</v>
      </c>
      <c r="U204" s="27">
        <f>Oranlar!V204</f>
        <v>236.5</v>
      </c>
      <c r="V204" s="27">
        <f>Oranlar!L204</f>
        <v>235.5</v>
      </c>
      <c r="W204" s="28">
        <f>(U204+S204)/2</f>
        <v>114.0</v>
      </c>
      <c r="X204" s="28">
        <f>(U204-S204)/2</f>
        <v>122.5</v>
      </c>
      <c r="Y204" s="16">
        <f>IF(G204=0.5,"",IF((G204&gt;0.5)=(E204&gt;0),1,0))</f>
        <v>1</v>
      </c>
      <c r="Z204" s="16">
        <f>IF(R204=0.5,"",IF((R204&gt;0.5)=(E204&gt;0),1,0))</f>
        <v>1</v>
      </c>
      <c r="AA204" s="29">
        <f>(G204-IF(E204&gt;0,1,0))^2</f>
        <v>0.07398400000000001</v>
      </c>
      <c r="AB204" s="29">
        <f>(R204-IF(E204&gt;0,1,0))^2</f>
        <v>0.0636135638467854</v>
      </c>
      <c r="AC204" s="28">
        <f>ABS(H204-E204)</f>
        <v>19.67</v>
      </c>
      <c r="AD204" s="28">
        <f>ABS(I204-E204)</f>
        <v>24.7</v>
      </c>
      <c r="AE204" s="28">
        <f>ABS(S204-E204)</f>
        <v>21.5</v>
      </c>
      <c r="AF204" s="28">
        <f>ABS(L204-F204)</f>
        <v>21.02000000000001</v>
      </c>
      <c r="AG204" s="28">
        <f>ABS(M204-F204)</f>
        <v>17.5</v>
      </c>
      <c r="AH204" s="28">
        <f>ABS(U204-F204)</f>
        <v>18.5</v>
      </c>
      <c r="AI204" s="28">
        <f>ABS(P204-C204)</f>
        <v>22.180000000000007</v>
      </c>
      <c r="AJ204" s="28">
        <f>ABS(W204-C204)</f>
        <v>20.0</v>
      </c>
      <c r="AK204" s="28">
        <f>ABS(Q204-D204)</f>
        <v>1.1599999999999966</v>
      </c>
      <c r="AL204" s="28">
        <f>ABS(X204-D204)</f>
        <v>1.5</v>
      </c>
      <c r="AM204" s="17" t="str">
        <f>IF(H204&gt;S204,"Ev",IF(H204&lt;S204,"Dep",""))</f>
        <v>Dep</v>
      </c>
      <c r="AN204" s="17" t="str">
        <f>IF(AM204="","",IF(E204=S204,"Push",IF((E204&gt;S204)=(AM204="Ev"),"Kazandı","Kaybetti")))</f>
        <v>Kazandı</v>
      </c>
      <c r="AO204" s="30">
        <f>IF(AM204="","",IF(AN204="Push",0,IF(AN204="Kazandı",IF(AM204="Ev",Oranlar!P204,Oranlar!Q204)-1,-1)))</f>
        <v>0.8928571428571428</v>
      </c>
      <c r="AP204" s="17" t="str">
        <f>IF(L204&gt;U204,"Üst",IF(L204&lt;U204,"Alt",""))</f>
        <v>Üst</v>
      </c>
      <c r="AQ204" s="17" t="str">
        <f>IF(AP204="","",IF(F204=U204,"Push",IF((F204&gt;U204)=(AP204="Üst"),"Kazandı","Kaybetti")))</f>
        <v>Kaybetti</v>
      </c>
      <c r="AR204" s="30">
        <f>IF(AP204="","",IF(AQ204="Push",0,IF(AQ204="Kazandı",IF(AP204="Üst",Oranlar!W204,Oranlar!X204)-1,-1)))</f>
        <v>-1.0</v>
      </c>
      <c r="AS204" s="17" t="str">
        <f>IF(G204*Oranlar!R204&gt;1,"Ev",IF((1-G204)*Oranlar!S204&gt;1,"Dep",""))</f>
        <v>Ev</v>
      </c>
      <c r="AT204" s="30">
        <f>IF(AS204="","",IF((AS204="Ev")=(E204&gt;0),IF(AS204="Ev",Oranlar!R204,Oranlar!S204)-1,-1))</f>
        <v>-1.0</v>
      </c>
      <c r="AU204" s="16">
        <f>IF(OR(H204=T204,S204=T204),"",IF((H204&gt;T204)=(S204&gt;T204),1,0))</f>
        <v>1</v>
      </c>
      <c r="AV204" s="16">
        <f>IF(OR(L204=V204,U204=V204),"",IF((L204&gt;V204)=(U204&gt;V204),1,0))</f>
        <v>1</v>
      </c>
      <c r="AW204" s="16">
        <f>IF(AND(E204&gt;=J204,E204&lt;=K204),1,0)</f>
        <v>0</v>
      </c>
      <c r="AX204" s="16">
        <f>IF(AND(F204&gt;=N204,F204&lt;=O204),1,0)</f>
        <v>1</v>
      </c>
    </row>
    <row r="205" spans="1:50">
      <c r="A205" s="21">
        <f>Oranlar!A205</f>
        <v>46111</v>
      </c>
      <c r="B205" s="22" t="str">
        <f>Oranlar!C205&amp;" @ "&amp;Oranlar!D205</f>
        <v>CLE @ UTA</v>
      </c>
      <c r="C205" s="23">
        <f>Oranlar!F205</f>
        <v>113</v>
      </c>
      <c r="D205" s="23">
        <f>Oranlar!E205</f>
        <v>122</v>
      </c>
      <c r="E205" s="15">
        <f>C205-D205</f>
        <v>-9</v>
      </c>
      <c r="F205" s="16">
        <f>C205+D205</f>
        <v>235</v>
      </c>
      <c r="G205" s="24">
        <v>0.218</v>
      </c>
      <c r="H205" s="10">
        <v>-9.470000000000001</v>
      </c>
      <c r="I205" s="10">
        <v>-12.8</v>
      </c>
      <c r="J205" s="10">
        <v>-32</v>
      </c>
      <c r="K205" s="10">
        <v>6</v>
      </c>
      <c r="L205" s="11">
        <v>245.49</v>
      </c>
      <c r="M205" s="11">
        <v>241</v>
      </c>
      <c r="N205" s="11">
        <v>213</v>
      </c>
      <c r="O205" s="11">
        <v>269</v>
      </c>
      <c r="P205" s="11">
        <v>115.68</v>
      </c>
      <c r="Q205" s="11">
        <v>126.34</v>
      </c>
      <c r="R205" s="25">
        <f>Oranlar!Y205</f>
        <v>0.096045197740113</v>
      </c>
      <c r="S205" s="26">
        <f>-Oranlar!O205</f>
        <v>-16.5</v>
      </c>
      <c r="T205" s="26">
        <f>-Oranlar!I205</f>
        <v>-17.5</v>
      </c>
      <c r="U205" s="27">
        <f>Oranlar!V205</f>
        <v>242.5</v>
      </c>
      <c r="V205" s="27">
        <f>Oranlar!L205</f>
        <v>243.5</v>
      </c>
      <c r="W205" s="28">
        <f>(U205+S205)/2</f>
        <v>113.0</v>
      </c>
      <c r="X205" s="28">
        <f>(U205-S205)/2</f>
        <v>129.5</v>
      </c>
      <c r="Y205" s="16">
        <f>IF(G205=0.5,"",IF((G205&gt;0.5)=(E205&gt;0),1,0))</f>
        <v>1</v>
      </c>
      <c r="Z205" s="16">
        <f>IF(R205=0.5,"",IF((R205&gt;0.5)=(E205&gt;0),1,0))</f>
        <v>1</v>
      </c>
      <c r="AA205" s="29">
        <f>(G205-IF(E205&gt;0,1,0))^2</f>
        <v>0.047524</v>
      </c>
      <c r="AB205" s="29">
        <f>(R205-IF(E205&gt;0,1,0))^2</f>
        <v>0.009224680008937407</v>
      </c>
      <c r="AC205" s="28">
        <f>ABS(H205-E205)</f>
        <v>0.47000000000000064</v>
      </c>
      <c r="AD205" s="28">
        <f>ABS(I205-E205)</f>
        <v>3.8000000000000007</v>
      </c>
      <c r="AE205" s="28">
        <f>ABS(S205-E205)</f>
        <v>7.5</v>
      </c>
      <c r="AF205" s="28">
        <f>ABS(L205-F205)</f>
        <v>10.490000000000009</v>
      </c>
      <c r="AG205" s="28">
        <f>ABS(M205-F205)</f>
        <v>6.0</v>
      </c>
      <c r="AH205" s="28">
        <f>ABS(U205-F205)</f>
        <v>7.5</v>
      </c>
      <c r="AI205" s="28">
        <f>ABS(P205-C205)</f>
        <v>2.680000000000007</v>
      </c>
      <c r="AJ205" s="28">
        <f>ABS(W205-C205)</f>
        <v>0.0</v>
      </c>
      <c r="AK205" s="28">
        <f>ABS(Q205-D205)</f>
        <v>4.340000000000003</v>
      </c>
      <c r="AL205" s="28">
        <f>ABS(X205-D205)</f>
        <v>7.5</v>
      </c>
      <c r="AM205" s="17" t="str">
        <f>IF(H205&gt;S205,"Ev",IF(H205&lt;S205,"Dep",""))</f>
        <v>Ev</v>
      </c>
      <c r="AN205" s="17" t="str">
        <f>IF(AM205="","",IF(E205=S205,"Push",IF((E205&gt;S205)=(AM205="Ev"),"Kazandı","Kaybetti")))</f>
        <v>Kazandı</v>
      </c>
      <c r="AO205" s="30">
        <f>IF(AM205="","",IF(AN205="Push",0,IF(AN205="Kazandı",IF(AM205="Ev",Oranlar!P205,Oranlar!Q205)-1,-1)))</f>
        <v>0.9090909090909092</v>
      </c>
      <c r="AP205" s="17" t="str">
        <f>IF(L205&gt;U205,"Üst",IF(L205&lt;U205,"Alt",""))</f>
        <v>Üst</v>
      </c>
      <c r="AQ205" s="17" t="str">
        <f>IF(AP205="","",IF(F205=U205,"Push",IF((F205&gt;U205)=(AP205="Üst"),"Kazandı","Kaybetti")))</f>
        <v>Kaybetti</v>
      </c>
      <c r="AR205" s="30">
        <f>IF(AP205="","",IF(AQ205="Push",0,IF(AQ205="Kazandı",IF(AP205="Üst",Oranlar!W205,Oranlar!X205)-1,-1)))</f>
        <v>-1.0</v>
      </c>
      <c r="AS205" s="17" t="str">
        <f>IF(G205*Oranlar!R205&gt;1,"Ev",IF((1-G205)*Oranlar!S205&gt;1,"Dep",""))</f>
        <v>Ev</v>
      </c>
      <c r="AT205" s="30">
        <f>IF(AS205="","",IF((AS205="Ev")=(E205&gt;0),IF(AS205="Ev",Oranlar!R205,Oranlar!S205)-1,-1))</f>
        <v>-1.0</v>
      </c>
      <c r="AU205" s="16">
        <f>IF(OR(H205=T205,S205=T205),"",IF((H205&gt;T205)=(S205&gt;T205),1,0))</f>
        <v>1</v>
      </c>
      <c r="AV205" s="16">
        <f>IF(OR(L205=V205,U205=V205),"",IF((L205&gt;V205)=(U205&gt;V205),1,0))</f>
        <v>0</v>
      </c>
      <c r="AW205" s="16">
        <f>IF(AND(E205&gt;=J205,E205&lt;=K205),1,0)</f>
        <v>1</v>
      </c>
      <c r="AX205" s="16">
        <f>IF(AND(F205&gt;=N205,F205&lt;=O205),1,0)</f>
        <v>1</v>
      </c>
    </row>
    <row r="206" spans="1:50">
      <c r="A206" s="21">
        <f>Oranlar!A206</f>
        <v>46111</v>
      </c>
      <c r="B206" s="22" t="str">
        <f>Oranlar!C206&amp;" @ "&amp;Oranlar!D206</f>
        <v>DET @ OKC</v>
      </c>
      <c r="C206" s="23">
        <f>Oranlar!F206</f>
        <v>114</v>
      </c>
      <c r="D206" s="23">
        <f>Oranlar!E206</f>
        <v>110</v>
      </c>
      <c r="E206" s="15">
        <f>C206-D206</f>
        <v>4</v>
      </c>
      <c r="F206" s="16">
        <f>C206+D206</f>
        <v>224</v>
      </c>
      <c r="G206" s="24">
        <v>0.736</v>
      </c>
      <c r="H206" s="10">
        <v>10.3</v>
      </c>
      <c r="I206" s="10">
        <v>5.5</v>
      </c>
      <c r="J206" s="10">
        <v>-13</v>
      </c>
      <c r="K206" s="10">
        <v>24</v>
      </c>
      <c r="L206" s="11">
        <v>225.44</v>
      </c>
      <c r="M206" s="11">
        <v>228</v>
      </c>
      <c r="N206" s="11">
        <v>201</v>
      </c>
      <c r="O206" s="11">
        <v>255</v>
      </c>
      <c r="P206" s="11">
        <v>118.15</v>
      </c>
      <c r="Q206" s="11">
        <v>109.64</v>
      </c>
      <c r="R206" s="25">
        <f>Oranlar!Y206</f>
        <v>0.8316498316498315</v>
      </c>
      <c r="S206" s="26">
        <f>-Oranlar!O206</f>
        <v>11.5</v>
      </c>
      <c r="T206" s="26">
        <f>-Oranlar!I206</f>
        <v>13.5</v>
      </c>
      <c r="U206" s="27">
        <f>Oranlar!V206</f>
        <v>217.5</v>
      </c>
      <c r="V206" s="27">
        <f>Oranlar!L206</f>
        <v>219.5</v>
      </c>
      <c r="W206" s="28">
        <f>(U206+S206)/2</f>
        <v>114.5</v>
      </c>
      <c r="X206" s="28">
        <f>(U206-S206)/2</f>
        <v>103.0</v>
      </c>
      <c r="Y206" s="16">
        <f>IF(G206=0.5,"",IF((G206&gt;0.5)=(E206&gt;0),1,0))</f>
        <v>1</v>
      </c>
      <c r="Z206" s="16">
        <f>IF(R206=0.5,"",IF((R206&gt;0.5)=(E206&gt;0),1,0))</f>
        <v>1</v>
      </c>
      <c r="AA206" s="29">
        <f>(G206-IF(E206&gt;0,1,0))^2</f>
        <v>0.06969600000000001</v>
      </c>
      <c r="AB206" s="29">
        <f>(R206-IF(E206&gt;0,1,0))^2</f>
        <v>0.028341779183530067</v>
      </c>
      <c r="AC206" s="28">
        <f>ABS(H206-E206)</f>
        <v>6.300000000000001</v>
      </c>
      <c r="AD206" s="28">
        <f>ABS(I206-E206)</f>
        <v>1.5</v>
      </c>
      <c r="AE206" s="28">
        <f>ABS(S206-E206)</f>
        <v>7.5</v>
      </c>
      <c r="AF206" s="28">
        <f>ABS(L206-F206)</f>
        <v>1.4399999999999977</v>
      </c>
      <c r="AG206" s="28">
        <f>ABS(M206-F206)</f>
        <v>4.0</v>
      </c>
      <c r="AH206" s="28">
        <f>ABS(U206-F206)</f>
        <v>6.5</v>
      </c>
      <c r="AI206" s="28">
        <f>ABS(P206-C206)</f>
        <v>4.150000000000006</v>
      </c>
      <c r="AJ206" s="28">
        <f>ABS(W206-C206)</f>
        <v>0.5</v>
      </c>
      <c r="AK206" s="28">
        <f>ABS(Q206-D206)</f>
        <v>0.35999999999999943</v>
      </c>
      <c r="AL206" s="28">
        <f>ABS(X206-D206)</f>
        <v>7.0</v>
      </c>
      <c r="AM206" s="17" t="str">
        <f>IF(H206&gt;S206,"Ev",IF(H206&lt;S206,"Dep",""))</f>
        <v>Dep</v>
      </c>
      <c r="AN206" s="17" t="str">
        <f>IF(AM206="","",IF(E206=S206,"Push",IF((E206&gt;S206)=(AM206="Ev"),"Kazandı","Kaybetti")))</f>
        <v>Kazandı</v>
      </c>
      <c r="AO206" s="30">
        <f>IF(AM206="","",IF(AN206="Push",0,IF(AN206="Kazandı",IF(AM206="Ev",Oranlar!P206,Oranlar!Q206)-1,-1)))</f>
        <v>0.9803921568627452</v>
      </c>
      <c r="AP206" s="17" t="str">
        <f>IF(L206&gt;U206,"Üst",IF(L206&lt;U206,"Alt",""))</f>
        <v>Üst</v>
      </c>
      <c r="AQ206" s="17" t="str">
        <f>IF(AP206="","",IF(F206=U206,"Push",IF((F206&gt;U206)=(AP206="Üst"),"Kazandı","Kaybetti")))</f>
        <v>Kazandı</v>
      </c>
      <c r="AR206" s="30">
        <f>IF(AP206="","",IF(AQ206="Push",0,IF(AQ206="Kazandı",IF(AP206="Üst",Oranlar!W206,Oranlar!X206)-1,-1)))</f>
        <v>0.9090909090909092</v>
      </c>
      <c r="AS206" s="17" t="str">
        <f>IF(G206*Oranlar!R206&gt;1,"Ev",IF((1-G206)*Oranlar!S206&gt;1,"Dep",""))</f>
        <v>Dep</v>
      </c>
      <c r="AT206" s="30">
        <f>IF(AS206="","",IF((AS206="Ev")=(E206&gt;0),IF(AS206="Ev",Oranlar!R206,Oranlar!S206)-1,-1))</f>
        <v>-1.0</v>
      </c>
      <c r="AU206" s="16">
        <f>IF(OR(H206=T206,S206=T206),"",IF((H206&gt;T206)=(S206&gt;T206),1,0))</f>
        <v>1</v>
      </c>
      <c r="AV206" s="16">
        <f>IF(OR(L206=V206,U206=V206),"",IF((L206&gt;V206)=(U206&gt;V206),1,0))</f>
        <v>0</v>
      </c>
      <c r="AW206" s="16">
        <f>IF(AND(E206&gt;=J206,E206&lt;=K206),1,0)</f>
        <v>1</v>
      </c>
      <c r="AX206" s="16">
        <f>IF(AND(F206&gt;=N206,F206&lt;=O206),1,0)</f>
        <v>1</v>
      </c>
    </row>
    <row r="207" spans="1:50">
      <c r="A207" s="21">
        <f>Oranlar!A207</f>
        <v>46111</v>
      </c>
      <c r="B207" s="22" t="str">
        <f>Oranlar!C207&amp;" @ "&amp;Oranlar!D207</f>
        <v>WAS @ LAL</v>
      </c>
      <c r="C207" s="23">
        <f>Oranlar!F207</f>
        <v>120</v>
      </c>
      <c r="D207" s="23">
        <f>Oranlar!E207</f>
        <v>101</v>
      </c>
      <c r="E207" s="15">
        <f>C207-D207</f>
        <v>19</v>
      </c>
      <c r="F207" s="16">
        <f>C207+D207</f>
        <v>221</v>
      </c>
      <c r="G207" s="24">
        <v>0.793</v>
      </c>
      <c r="H207" s="10">
        <v>11.33</v>
      </c>
      <c r="I207" s="10">
        <v>13.1</v>
      </c>
      <c r="J207" s="10">
        <v>-5</v>
      </c>
      <c r="K207" s="10">
        <v>32</v>
      </c>
      <c r="L207" s="11">
        <v>231.98</v>
      </c>
      <c r="M207" s="11">
        <v>231.3</v>
      </c>
      <c r="N207" s="11">
        <v>204</v>
      </c>
      <c r="O207" s="11">
        <v>259</v>
      </c>
      <c r="P207" s="11">
        <v>121.85</v>
      </c>
      <c r="Q207" s="11">
        <v>109.4</v>
      </c>
      <c r="R207" s="25">
        <f>Oranlar!Y207</f>
        <v>0.8988580750407832</v>
      </c>
      <c r="S207" s="26">
        <f>-Oranlar!O207</f>
        <v>15.5</v>
      </c>
      <c r="T207" s="26">
        <f>-Oranlar!I207</f>
        <v>16.5</v>
      </c>
      <c r="U207" s="27">
        <f>Oranlar!V207</f>
        <v>237.5</v>
      </c>
      <c r="V207" s="27">
        <f>Oranlar!L207</f>
        <v>236.5</v>
      </c>
      <c r="W207" s="28">
        <f>(U207+S207)/2</f>
        <v>126.5</v>
      </c>
      <c r="X207" s="28">
        <f>(U207-S207)/2</f>
        <v>111.0</v>
      </c>
      <c r="Y207" s="16">
        <f>IF(G207=0.5,"",IF((G207&gt;0.5)=(E207&gt;0),1,0))</f>
        <v>1</v>
      </c>
      <c r="Z207" s="16">
        <f>IF(R207=0.5,"",IF((R207&gt;0.5)=(E207&gt;0),1,0))</f>
        <v>1</v>
      </c>
      <c r="AA207" s="29">
        <f>(G207-IF(E207&gt;0,1,0))^2</f>
        <v>0.042848999999999984</v>
      </c>
      <c r="AB207" s="29">
        <f>(R207-IF(E207&gt;0,1,0))^2</f>
        <v>0.010229688984455844</v>
      </c>
      <c r="AC207" s="28">
        <f>ABS(H207-E207)</f>
        <v>7.67</v>
      </c>
      <c r="AD207" s="28">
        <f>ABS(I207-E207)</f>
        <v>5.9</v>
      </c>
      <c r="AE207" s="28">
        <f>ABS(S207-E207)</f>
        <v>3.5</v>
      </c>
      <c r="AF207" s="28">
        <f>ABS(L207-F207)</f>
        <v>10.97999999999999</v>
      </c>
      <c r="AG207" s="28">
        <f>ABS(M207-F207)</f>
        <v>10.300000000000011</v>
      </c>
      <c r="AH207" s="28">
        <f>ABS(U207-F207)</f>
        <v>16.5</v>
      </c>
      <c r="AI207" s="28">
        <f>ABS(P207-C207)</f>
        <v>1.8499999999999943</v>
      </c>
      <c r="AJ207" s="28">
        <f>ABS(W207-C207)</f>
        <v>6.5</v>
      </c>
      <c r="AK207" s="28">
        <f>ABS(Q207-D207)</f>
        <v>8.400000000000006</v>
      </c>
      <c r="AL207" s="28">
        <f>ABS(X207-D207)</f>
        <v>10.0</v>
      </c>
      <c r="AM207" s="17" t="str">
        <f>IF(H207&gt;S207,"Ev",IF(H207&lt;S207,"Dep",""))</f>
        <v>Dep</v>
      </c>
      <c r="AN207" s="17" t="str">
        <f>IF(AM207="","",IF(E207=S207,"Push",IF((E207&gt;S207)=(AM207="Ev"),"Kazandı","Kaybetti")))</f>
        <v>Kaybetti</v>
      </c>
      <c r="AO207" s="30">
        <f>IF(AM207="","",IF(AN207="Push",0,IF(AN207="Kazandı",IF(AM207="Ev",Oranlar!P207,Oranlar!Q207)-1,-1)))</f>
        <v>-1.0</v>
      </c>
      <c r="AP207" s="17" t="str">
        <f>IF(L207&gt;U207,"Üst",IF(L207&lt;U207,"Alt",""))</f>
        <v>Alt</v>
      </c>
      <c r="AQ207" s="17" t="str">
        <f>IF(AP207="","",IF(F207=U207,"Push",IF((F207&gt;U207)=(AP207="Üst"),"Kazandı","Kaybetti")))</f>
        <v>Kazandı</v>
      </c>
      <c r="AR207" s="30">
        <f>IF(AP207="","",IF(AQ207="Push",0,IF(AQ207="Kazandı",IF(AP207="Üst",Oranlar!W207,Oranlar!X207)-1,-1)))</f>
        <v>0.8695652173913042</v>
      </c>
      <c r="AS207" s="17" t="str">
        <f>IF(G207*Oranlar!R207&gt;1,"Ev",IF((1-G207)*Oranlar!S207&gt;1,"Dep",""))</f>
        <v>Dep</v>
      </c>
      <c r="AT207" s="30">
        <f>IF(AS207="","",IF((AS207="Ev")=(E207&gt;0),IF(AS207="Ev",Oranlar!R207,Oranlar!S207)-1,-1))</f>
        <v>-1.0</v>
      </c>
      <c r="AU207" s="16">
        <f>IF(OR(H207=T207,S207=T207),"",IF((H207&gt;T207)=(S207&gt;T207),1,0))</f>
        <v>1</v>
      </c>
      <c r="AV207" s="16">
        <f>IF(OR(L207=V207,U207=V207),"",IF((L207&gt;V207)=(U207&gt;V207),1,0))</f>
        <v>0</v>
      </c>
      <c r="AW207" s="16">
        <f>IF(AND(E207&gt;=J207,E207&lt;=K207),1,0)</f>
        <v>1</v>
      </c>
      <c r="AX207" s="16">
        <f>IF(AND(F207&gt;=N207,F207&lt;=O207),1,0)</f>
        <v>1</v>
      </c>
    </row>
    <row r="208" spans="1:50">
      <c r="A208" s="21">
        <f>Oranlar!A208</f>
        <v>46112</v>
      </c>
      <c r="B208" s="22" t="str">
        <f>Oranlar!C208&amp;" @ "&amp;Oranlar!D208</f>
        <v>DAL @ MIL</v>
      </c>
      <c r="C208" s="23">
        <f>Oranlar!F208</f>
        <v>123</v>
      </c>
      <c r="D208" s="23">
        <f>Oranlar!E208</f>
        <v>99</v>
      </c>
      <c r="E208" s="15">
        <f>C208-D208</f>
        <v>24</v>
      </c>
      <c r="F208" s="16">
        <f>C208+D208</f>
        <v>222</v>
      </c>
      <c r="G208" s="24">
        <v>0.509</v>
      </c>
      <c r="H208" s="10">
        <v>0.24</v>
      </c>
      <c r="I208" s="10">
        <v>-0.3</v>
      </c>
      <c r="J208" s="10">
        <v>-18</v>
      </c>
      <c r="K208" s="10">
        <v>18</v>
      </c>
      <c r="L208" s="11">
        <v>226.9</v>
      </c>
      <c r="M208" s="11">
        <v>227.1</v>
      </c>
      <c r="N208" s="11">
        <v>200</v>
      </c>
      <c r="O208" s="11">
        <v>254</v>
      </c>
      <c r="P208" s="11">
        <v>112.09</v>
      </c>
      <c r="Q208" s="11">
        <v>112.91</v>
      </c>
      <c r="R208" s="25">
        <f>Oranlar!Y208</f>
        <v>0.43650793650793646</v>
      </c>
      <c r="S208" s="26">
        <f>-Oranlar!O208</f>
        <v>-2.5</v>
      </c>
      <c r="T208" s="26">
        <f>-Oranlar!I208</f>
        <v>-1.5</v>
      </c>
      <c r="U208" s="27">
        <f>Oranlar!V208</f>
        <v>231.5</v>
      </c>
      <c r="V208" s="27">
        <f>Oranlar!L208</f>
        <v>227.5</v>
      </c>
      <c r="W208" s="28">
        <f>(U208+S208)/2</f>
        <v>114.5</v>
      </c>
      <c r="X208" s="28">
        <f>(U208-S208)/2</f>
        <v>117.0</v>
      </c>
      <c r="Y208" s="16">
        <f>IF(G208=0.5,"",IF((G208&gt;0.5)=(E208&gt;0),1,0))</f>
        <v>1</v>
      </c>
      <c r="Z208" s="16">
        <f>IF(R208=0.5,"",IF((R208&gt;0.5)=(E208&gt;0),1,0))</f>
        <v>0</v>
      </c>
      <c r="AA208" s="29">
        <f>(G208-IF(E208&gt;0,1,0))^2</f>
        <v>0.241081</v>
      </c>
      <c r="AB208" s="29">
        <f>(R208-IF(E208&gt;0,1,0))^2</f>
        <v>0.3175233056185437</v>
      </c>
      <c r="AC208" s="28">
        <f>ABS(H208-E208)</f>
        <v>23.76</v>
      </c>
      <c r="AD208" s="28">
        <f>ABS(I208-E208)</f>
        <v>24.3</v>
      </c>
      <c r="AE208" s="28">
        <f>ABS(S208-E208)</f>
        <v>26.5</v>
      </c>
      <c r="AF208" s="28">
        <f>ABS(L208-F208)</f>
        <v>4.900000000000006</v>
      </c>
      <c r="AG208" s="28">
        <f>ABS(M208-F208)</f>
        <v>5.099999999999994</v>
      </c>
      <c r="AH208" s="28">
        <f>ABS(U208-F208)</f>
        <v>9.5</v>
      </c>
      <c r="AI208" s="28">
        <f>ABS(P208-C208)</f>
        <v>10.909999999999997</v>
      </c>
      <c r="AJ208" s="28">
        <f>ABS(W208-C208)</f>
        <v>8.5</v>
      </c>
      <c r="AK208" s="28">
        <f>ABS(Q208-D208)</f>
        <v>13.909999999999997</v>
      </c>
      <c r="AL208" s="28">
        <f>ABS(X208-D208)</f>
        <v>18.0</v>
      </c>
      <c r="AM208" s="17" t="str">
        <f>IF(H208&gt;S208,"Ev",IF(H208&lt;S208,"Dep",""))</f>
        <v>Ev</v>
      </c>
      <c r="AN208" s="17" t="str">
        <f>IF(AM208="","",IF(E208=S208,"Push",IF((E208&gt;S208)=(AM208="Ev"),"Kazandı","Kaybetti")))</f>
        <v>Kazandı</v>
      </c>
      <c r="AO208" s="30">
        <f>IF(AM208="","",IF(AN208="Push",0,IF(AN208="Kazandı",IF(AM208="Ev",Oranlar!P208,Oranlar!Q208)-1,-1)))</f>
        <v>0.925925925925926</v>
      </c>
      <c r="AP208" s="17" t="str">
        <f>IF(L208&gt;U208,"Üst",IF(L208&lt;U208,"Alt",""))</f>
        <v>Alt</v>
      </c>
      <c r="AQ208" s="17" t="str">
        <f>IF(AP208="","",IF(F208=U208,"Push",IF((F208&gt;U208)=(AP208="Üst"),"Kazandı","Kaybetti")))</f>
        <v>Kazandı</v>
      </c>
      <c r="AR208" s="30">
        <f>IF(AP208="","",IF(AQ208="Push",0,IF(AQ208="Kazandı",IF(AP208="Üst",Oranlar!W208,Oranlar!X208)-1,-1)))</f>
        <v>0.925925925925926</v>
      </c>
      <c r="AS208" s="17" t="str">
        <f>IF(G208*Oranlar!R208&gt;1,"Ev",IF((1-G208)*Oranlar!S208&gt;1,"Dep",""))</f>
        <v>Ev</v>
      </c>
      <c r="AT208" s="30">
        <f>IF(AS208="","",IF((AS208="Ev")=(E208&gt;0),IF(AS208="Ev",Oranlar!R208,Oranlar!S208)-1,-1))</f>
        <v>1.2000000000000002</v>
      </c>
      <c r="AU208" s="16">
        <f>IF(OR(H208=T208,S208=T208),"",IF((H208&gt;T208)=(S208&gt;T208),1,0))</f>
        <v>0</v>
      </c>
      <c r="AV208" s="16">
        <f>IF(OR(L208=V208,U208=V208),"",IF((L208&gt;V208)=(U208&gt;V208),1,0))</f>
        <v>0</v>
      </c>
      <c r="AW208" s="16">
        <f>IF(AND(E208&gt;=J208,E208&lt;=K208),1,0)</f>
        <v>0</v>
      </c>
      <c r="AX208" s="16">
        <f>IF(AND(F208&gt;=N208,F208&lt;=O208),1,0)</f>
        <v>1</v>
      </c>
    </row>
    <row r="209" spans="1:50">
      <c r="A209" s="21">
        <f>Oranlar!A209</f>
        <v>46112</v>
      </c>
      <c r="B209" s="22" t="str">
        <f>Oranlar!C209&amp;" @ "&amp;Oranlar!D209</f>
        <v>PHX @ ORL</v>
      </c>
      <c r="C209" s="23">
        <f>Oranlar!F209</f>
        <v>115</v>
      </c>
      <c r="D209" s="23">
        <f>Oranlar!E209</f>
        <v>111</v>
      </c>
      <c r="E209" s="15">
        <f>C209-D209</f>
        <v>4</v>
      </c>
      <c r="F209" s="16">
        <f>C209+D209</f>
        <v>226</v>
      </c>
      <c r="G209" s="24">
        <v>0.444</v>
      </c>
      <c r="H209" s="10">
        <v>-1.7</v>
      </c>
      <c r="I209" s="10">
        <v>-6.3</v>
      </c>
      <c r="J209" s="10">
        <v>-25</v>
      </c>
      <c r="K209" s="10">
        <v>13</v>
      </c>
      <c r="L209" s="11">
        <v>231.01</v>
      </c>
      <c r="M209" s="11">
        <v>235.1</v>
      </c>
      <c r="N209" s="11">
        <v>207</v>
      </c>
      <c r="O209" s="11">
        <v>263</v>
      </c>
      <c r="P209" s="11">
        <v>115.25</v>
      </c>
      <c r="Q209" s="11">
        <v>118.16</v>
      </c>
      <c r="R209" s="25">
        <f>Oranlar!Y209</f>
        <v>0.5427435387673957</v>
      </c>
      <c r="S209" s="26">
        <f>-Oranlar!O209</f>
        <v>2.5</v>
      </c>
      <c r="T209" s="26">
        <f>-Oranlar!I209</f>
        <v>2.5</v>
      </c>
      <c r="U209" s="27">
        <f>Oranlar!V209</f>
        <v>225.5</v>
      </c>
      <c r="V209" s="27">
        <f>Oranlar!L209</f>
        <v>222.5</v>
      </c>
      <c r="W209" s="28">
        <f>(U209+S209)/2</f>
        <v>114.0</v>
      </c>
      <c r="X209" s="28">
        <f>(U209-S209)/2</f>
        <v>111.5</v>
      </c>
      <c r="Y209" s="16">
        <f>IF(G209=0.5,"",IF((G209&gt;0.5)=(E209&gt;0),1,0))</f>
        <v>0</v>
      </c>
      <c r="Z209" s="16">
        <f>IF(R209=0.5,"",IF((R209&gt;0.5)=(E209&gt;0),1,0))</f>
        <v>1</v>
      </c>
      <c r="AA209" s="29">
        <f>(G209-IF(E209&gt;0,1,0))^2</f>
        <v>0.3091360000000001</v>
      </c>
      <c r="AB209" s="29">
        <f>(R209-IF(E209&gt;0,1,0))^2</f>
        <v>0.20908347133896418</v>
      </c>
      <c r="AC209" s="28">
        <f>ABS(H209-E209)</f>
        <v>5.7</v>
      </c>
      <c r="AD209" s="28">
        <f>ABS(I209-E209)</f>
        <v>10.3</v>
      </c>
      <c r="AE209" s="28">
        <f>ABS(S209-E209)</f>
        <v>1.5</v>
      </c>
      <c r="AF209" s="28">
        <f>ABS(L209-F209)</f>
        <v>5.009999999999991</v>
      </c>
      <c r="AG209" s="28">
        <f>ABS(M209-F209)</f>
        <v>9.099999999999994</v>
      </c>
      <c r="AH209" s="28">
        <f>ABS(U209-F209)</f>
        <v>0.5</v>
      </c>
      <c r="AI209" s="28">
        <f>ABS(P209-C209)</f>
        <v>0.25</v>
      </c>
      <c r="AJ209" s="28">
        <f>ABS(W209-C209)</f>
        <v>1.0</v>
      </c>
      <c r="AK209" s="28">
        <f>ABS(Q209-D209)</f>
        <v>7.159999999999997</v>
      </c>
      <c r="AL209" s="28">
        <f>ABS(X209-D209)</f>
        <v>0.5</v>
      </c>
      <c r="AM209" s="17" t="str">
        <f>IF(H209&gt;S209,"Ev",IF(H209&lt;S209,"Dep",""))</f>
        <v>Dep</v>
      </c>
      <c r="AN209" s="17" t="str">
        <f>IF(AM209="","",IF(E209=S209,"Push",IF((E209&gt;S209)=(AM209="Ev"),"Kazandı","Kaybetti")))</f>
        <v>Kaybetti</v>
      </c>
      <c r="AO209" s="30">
        <f>IF(AM209="","",IF(AN209="Push",0,IF(AN209="Kazandı",IF(AM209="Ev",Oranlar!P209,Oranlar!Q209)-1,-1)))</f>
        <v>-1.0</v>
      </c>
      <c r="AP209" s="17" t="str">
        <f>IF(L209&gt;U209,"Üst",IF(L209&lt;U209,"Alt",""))</f>
        <v>Üst</v>
      </c>
      <c r="AQ209" s="17" t="str">
        <f>IF(AP209="","",IF(F209=U209,"Push",IF((F209&gt;U209)=(AP209="Üst"),"Kazandı","Kaybetti")))</f>
        <v>Kazandı</v>
      </c>
      <c r="AR209" s="30">
        <f>IF(AP209="","",IF(AQ209="Push",0,IF(AQ209="Kazandı",IF(AP209="Üst",Oranlar!W209,Oranlar!X209)-1,-1)))</f>
        <v>0.9090909090909092</v>
      </c>
      <c r="AS209" s="17" t="str">
        <f>IF(G209*Oranlar!R209&gt;1,"Ev",IF((1-G209)*Oranlar!S209&gt;1,"Dep",""))</f>
        <v>Dep</v>
      </c>
      <c r="AT209" s="30">
        <f>IF(AS209="","",IF((AS209="Ev")=(E209&gt;0),IF(AS209="Ev",Oranlar!R209,Oranlar!S209)-1,-1))</f>
        <v>-1.0</v>
      </c>
      <c r="AU209" s="16">
        <f>IF(OR(H209=T209,S209=T209),"",IF((H209&gt;T209)=(S209&gt;T209),1,0))</f>
        <v/>
      </c>
      <c r="AV209" s="16">
        <f>IF(OR(L209=V209,U209=V209),"",IF((L209&gt;V209)=(U209&gt;V209),1,0))</f>
        <v>1</v>
      </c>
      <c r="AW209" s="16">
        <f>IF(AND(E209&gt;=J209,E209&lt;=K209),1,0)</f>
        <v>1</v>
      </c>
      <c r="AX209" s="16">
        <f>IF(AND(F209&gt;=N209,F209&lt;=O209),1,0)</f>
        <v>1</v>
      </c>
    </row>
    <row r="210" spans="1:50">
      <c r="A210" s="21">
        <f>Oranlar!A210</f>
        <v>46112</v>
      </c>
      <c r="B210" s="22" t="str">
        <f>Oranlar!C210&amp;" @ "&amp;Oranlar!D210</f>
        <v>CHA @ BKN</v>
      </c>
      <c r="C210" s="23">
        <f>Oranlar!F210</f>
        <v>86</v>
      </c>
      <c r="D210" s="23">
        <f>Oranlar!E210</f>
        <v>117</v>
      </c>
      <c r="E210" s="15">
        <f>C210-D210</f>
        <v>-31</v>
      </c>
      <c r="F210" s="16">
        <f>C210+D210</f>
        <v>203</v>
      </c>
      <c r="G210" s="24">
        <v>0.213</v>
      </c>
      <c r="H210" s="10">
        <v>-19.33</v>
      </c>
      <c r="I210" s="10">
        <v>-10.4</v>
      </c>
      <c r="J210" s="10">
        <v>-28</v>
      </c>
      <c r="K210" s="10">
        <v>7</v>
      </c>
      <c r="L210" s="11">
        <v>219.48</v>
      </c>
      <c r="M210" s="11">
        <v>212.1</v>
      </c>
      <c r="N210" s="11">
        <v>186</v>
      </c>
      <c r="O210" s="11">
        <v>238</v>
      </c>
      <c r="P210" s="11">
        <v>103.53</v>
      </c>
      <c r="Q210" s="11">
        <v>113.68</v>
      </c>
      <c r="R210" s="25">
        <f>Oranlar!Y210</f>
        <v>0.08029197080291971</v>
      </c>
      <c r="S210" s="26">
        <f>-Oranlar!O210</f>
        <v>-18.5</v>
      </c>
      <c r="T210" s="26">
        <f>-Oranlar!I210</f>
        <v>-15.5</v>
      </c>
      <c r="U210" s="27">
        <f>Oranlar!V210</f>
        <v>219.5</v>
      </c>
      <c r="V210" s="27">
        <f>Oranlar!L210</f>
        <v>217.5</v>
      </c>
      <c r="W210" s="28">
        <f>(U210+S210)/2</f>
        <v>100.5</v>
      </c>
      <c r="X210" s="28">
        <f>(U210-S210)/2</f>
        <v>119.0</v>
      </c>
      <c r="Y210" s="16">
        <f>IF(G210=0.5,"",IF((G210&gt;0.5)=(E210&gt;0),1,0))</f>
        <v>1</v>
      </c>
      <c r="Z210" s="16">
        <f>IF(R210=0.5,"",IF((R210&gt;0.5)=(E210&gt;0),1,0))</f>
        <v>1</v>
      </c>
      <c r="AA210" s="29">
        <f>(G210-IF(E210&gt;0,1,0))^2</f>
        <v>0.045369</v>
      </c>
      <c r="AB210" s="29">
        <f>(R210-IF(E210&gt;0,1,0))^2</f>
        <v>0.006446800575416911</v>
      </c>
      <c r="AC210" s="28">
        <f>ABS(H210-E210)</f>
        <v>11.670000000000002</v>
      </c>
      <c r="AD210" s="28">
        <f>ABS(I210-E210)</f>
        <v>20.6</v>
      </c>
      <c r="AE210" s="28">
        <f>ABS(S210-E210)</f>
        <v>12.5</v>
      </c>
      <c r="AF210" s="28">
        <f>ABS(L210-F210)</f>
        <v>16.47999999999999</v>
      </c>
      <c r="AG210" s="28">
        <f>ABS(M210-F210)</f>
        <v>9.099999999999994</v>
      </c>
      <c r="AH210" s="28">
        <f>ABS(U210-F210)</f>
        <v>16.5</v>
      </c>
      <c r="AI210" s="28">
        <f>ABS(P210-C210)</f>
        <v>17.53</v>
      </c>
      <c r="AJ210" s="28">
        <f>ABS(W210-C210)</f>
        <v>14.5</v>
      </c>
      <c r="AK210" s="28">
        <f>ABS(Q210-D210)</f>
        <v>3.319999999999993</v>
      </c>
      <c r="AL210" s="28">
        <f>ABS(X210-D210)</f>
        <v>2.0</v>
      </c>
      <c r="AM210" s="17" t="str">
        <f>IF(H210&gt;S210,"Ev",IF(H210&lt;S210,"Dep",""))</f>
        <v>Dep</v>
      </c>
      <c r="AN210" s="17" t="str">
        <f>IF(AM210="","",IF(E210=S210,"Push",IF((E210&gt;S210)=(AM210="Ev"),"Kazandı","Kaybetti")))</f>
        <v>Kazandı</v>
      </c>
      <c r="AO210" s="30">
        <f>IF(AM210="","",IF(AN210="Push",0,IF(AN210="Kazandı",IF(AM210="Ev",Oranlar!P210,Oranlar!Q210)-1,-1)))</f>
        <v>0.9523809523809523</v>
      </c>
      <c r="AP210" s="17" t="str">
        <f>IF(L210&gt;U210,"Üst",IF(L210&lt;U210,"Alt",""))</f>
        <v>Alt</v>
      </c>
      <c r="AQ210" s="17" t="str">
        <f>IF(AP210="","",IF(F210=U210,"Push",IF((F210&gt;U210)=(AP210="Üst"),"Kazandı","Kaybetti")))</f>
        <v>Kazandı</v>
      </c>
      <c r="AR210" s="30">
        <f>IF(AP210="","",IF(AQ210="Push",0,IF(AQ210="Kazandı",IF(AP210="Üst",Oranlar!W210,Oranlar!X210)-1,-1)))</f>
        <v>0.9090909090909092</v>
      </c>
      <c r="AS210" s="17" t="str">
        <f>IF(G210*Oranlar!R210&gt;1,"Ev",IF((1-G210)*Oranlar!S210&gt;1,"Dep",""))</f>
        <v>Ev</v>
      </c>
      <c r="AT210" s="30">
        <f>IF(AS210="","",IF((AS210="Ev")=(E210&gt;0),IF(AS210="Ev",Oranlar!R210,Oranlar!S210)-1,-1))</f>
        <v>-1.0</v>
      </c>
      <c r="AU210" s="16">
        <f>IF(OR(H210=T210,S210=T210),"",IF((H210&gt;T210)=(S210&gt;T210),1,0))</f>
        <v>1</v>
      </c>
      <c r="AV210" s="16">
        <f>IF(OR(L210=V210,U210=V210),"",IF((L210&gt;V210)=(U210&gt;V210),1,0))</f>
        <v>1</v>
      </c>
      <c r="AW210" s="16">
        <f>IF(AND(E210&gt;=J210,E210&lt;=K210),1,0)</f>
        <v>0</v>
      </c>
      <c r="AX210" s="16">
        <f>IF(AND(F210&gt;=N210,F210&lt;=O210),1,0)</f>
        <v>1</v>
      </c>
    </row>
    <row r="211" spans="1:50">
      <c r="A211" s="21">
        <f>Oranlar!A211</f>
        <v>46112</v>
      </c>
      <c r="B211" s="22" t="str">
        <f>Oranlar!C211&amp;" @ "&amp;Oranlar!D211</f>
        <v>TOR @ DET</v>
      </c>
      <c r="C211" s="23">
        <f>Oranlar!F211</f>
        <v>127</v>
      </c>
      <c r="D211" s="23">
        <f>Oranlar!E211</f>
        <v>116</v>
      </c>
      <c r="E211" s="15">
        <f>C211-D211</f>
        <v>11</v>
      </c>
      <c r="F211" s="16">
        <f>C211+D211</f>
        <v>243</v>
      </c>
      <c r="G211" s="24">
        <v>0.59</v>
      </c>
      <c r="H211" s="10">
        <v>4.48</v>
      </c>
      <c r="I211" s="10">
        <v>3.8</v>
      </c>
      <c r="J211" s="10">
        <v>-14</v>
      </c>
      <c r="K211" s="10">
        <v>22</v>
      </c>
      <c r="L211" s="11">
        <v>226.29</v>
      </c>
      <c r="M211" s="11">
        <v>230.9</v>
      </c>
      <c r="N211" s="11">
        <v>203</v>
      </c>
      <c r="O211" s="11">
        <v>258</v>
      </c>
      <c r="P211" s="11">
        <v>116.89</v>
      </c>
      <c r="Q211" s="11">
        <v>113.02</v>
      </c>
      <c r="R211" s="25">
        <f>Oranlar!Y211</f>
        <v>0.5829926410466066</v>
      </c>
      <c r="S211" s="26">
        <f>-Oranlar!O211</f>
        <v>3.5</v>
      </c>
      <c r="T211" s="26">
        <f>-Oranlar!I211</f>
        <v>2.5</v>
      </c>
      <c r="U211" s="27">
        <f>Oranlar!V211</f>
        <v>219.5</v>
      </c>
      <c r="V211" s="27">
        <f>Oranlar!L211</f>
        <v>220.5</v>
      </c>
      <c r="W211" s="28">
        <f>(U211+S211)/2</f>
        <v>111.5</v>
      </c>
      <c r="X211" s="28">
        <f>(U211-S211)/2</f>
        <v>108.0</v>
      </c>
      <c r="Y211" s="16">
        <f>IF(G211=0.5,"",IF((G211&gt;0.5)=(E211&gt;0),1,0))</f>
        <v>1</v>
      </c>
      <c r="Z211" s="16">
        <f>IF(R211=0.5,"",IF((R211&gt;0.5)=(E211&gt;0),1,0))</f>
        <v>1</v>
      </c>
      <c r="AA211" s="29">
        <f>(G211-IF(E211&gt;0,1,0))^2</f>
        <v>0.16810000000000003</v>
      </c>
      <c r="AB211" s="29">
        <f>(R211-IF(E211&gt;0,1,0))^2</f>
        <v>0.17389513742128426</v>
      </c>
      <c r="AC211" s="28">
        <f>ABS(H211-E211)</f>
        <v>6.52</v>
      </c>
      <c r="AD211" s="28">
        <f>ABS(I211-E211)</f>
        <v>7.2</v>
      </c>
      <c r="AE211" s="28">
        <f>ABS(S211-E211)</f>
        <v>7.5</v>
      </c>
      <c r="AF211" s="28">
        <f>ABS(L211-F211)</f>
        <v>16.710000000000008</v>
      </c>
      <c r="AG211" s="28">
        <f>ABS(M211-F211)</f>
        <v>12.099999999999994</v>
      </c>
      <c r="AH211" s="28">
        <f>ABS(U211-F211)</f>
        <v>23.5</v>
      </c>
      <c r="AI211" s="28">
        <f>ABS(P211-C211)</f>
        <v>10.11</v>
      </c>
      <c r="AJ211" s="28">
        <f>ABS(W211-C211)</f>
        <v>15.5</v>
      </c>
      <c r="AK211" s="28">
        <f>ABS(Q211-D211)</f>
        <v>2.980000000000004</v>
      </c>
      <c r="AL211" s="28">
        <f>ABS(X211-D211)</f>
        <v>8.0</v>
      </c>
      <c r="AM211" s="17" t="str">
        <f>IF(H211&gt;S211,"Ev",IF(H211&lt;S211,"Dep",""))</f>
        <v>Ev</v>
      </c>
      <c r="AN211" s="17" t="str">
        <f>IF(AM211="","",IF(E211=S211,"Push",IF((E211&gt;S211)=(AM211="Ev"),"Kazandı","Kaybetti")))</f>
        <v>Kazandı</v>
      </c>
      <c r="AO211" s="30">
        <f>IF(AM211="","",IF(AN211="Push",0,IF(AN211="Kazandı",IF(AM211="Ev",Oranlar!P211,Oranlar!Q211)-1,-1)))</f>
        <v>0.9090909090909092</v>
      </c>
      <c r="AP211" s="17" t="str">
        <f>IF(L211&gt;U211,"Üst",IF(L211&lt;U211,"Alt",""))</f>
        <v>Üst</v>
      </c>
      <c r="AQ211" s="17" t="str">
        <f>IF(AP211="","",IF(F211=U211,"Push",IF((F211&gt;U211)=(AP211="Üst"),"Kazandı","Kaybetti")))</f>
        <v>Kazandı</v>
      </c>
      <c r="AR211" s="30">
        <f>IF(AP211="","",IF(AQ211="Push",0,IF(AQ211="Kazandı",IF(AP211="Üst",Oranlar!W211,Oranlar!X211)-1,-1)))</f>
        <v>0.8695652173913042</v>
      </c>
      <c r="AS211" s="17">
        <f>IF(G211*Oranlar!R211&gt;1,"Ev",IF((1-G211)*Oranlar!S211&gt;1,"Dep",""))</f>
        <v/>
      </c>
      <c r="AT211" s="30">
        <f>IF(AS211="","",IF((AS211="Ev")=(E211&gt;0),IF(AS211="Ev",Oranlar!R211,Oranlar!S211)-1,-1))</f>
        <v/>
      </c>
      <c r="AU211" s="16">
        <f>IF(OR(H211=T211,S211=T211),"",IF((H211&gt;T211)=(S211&gt;T211),1,0))</f>
        <v>1</v>
      </c>
      <c r="AV211" s="16">
        <f>IF(OR(L211=V211,U211=V211),"",IF((L211&gt;V211)=(U211&gt;V211),1,0))</f>
        <v>0</v>
      </c>
      <c r="AW211" s="16">
        <f>IF(AND(E211&gt;=J211,E211&lt;=K211),1,0)</f>
        <v>1</v>
      </c>
      <c r="AX211" s="16">
        <f>IF(AND(F211&gt;=N211,F211&lt;=O211),1,0)</f>
        <v>1</v>
      </c>
    </row>
    <row r="212" spans="1:50">
      <c r="A212" s="21">
        <f>Oranlar!A212</f>
        <v>46112</v>
      </c>
      <c r="B212" s="22" t="str">
        <f>Oranlar!C212&amp;" @ "&amp;Oranlar!D212</f>
        <v>NYK @ HOU</v>
      </c>
      <c r="C212" s="23">
        <f>Oranlar!F212</f>
        <v>111</v>
      </c>
      <c r="D212" s="23">
        <f>Oranlar!E212</f>
        <v>94</v>
      </c>
      <c r="E212" s="15">
        <f>C212-D212</f>
        <v>17</v>
      </c>
      <c r="F212" s="16">
        <f>C212+D212</f>
        <v>205</v>
      </c>
      <c r="G212" s="24">
        <v>0.624</v>
      </c>
      <c r="H212" s="10">
        <v>4.19</v>
      </c>
      <c r="I212" s="10">
        <v>-0.6</v>
      </c>
      <c r="J212" s="10">
        <v>-19</v>
      </c>
      <c r="K212" s="10">
        <v>18</v>
      </c>
      <c r="L212" s="11">
        <v>228.38</v>
      </c>
      <c r="M212" s="11">
        <v>226.2</v>
      </c>
      <c r="N212" s="11">
        <v>199</v>
      </c>
      <c r="O212" s="11">
        <v>253</v>
      </c>
      <c r="P212" s="11">
        <v>113.24</v>
      </c>
      <c r="Q212" s="11">
        <v>113.56</v>
      </c>
      <c r="R212" s="25">
        <f>Oranlar!Y212</f>
        <v>0.4891657638136511</v>
      </c>
      <c r="S212" s="26">
        <f>-Oranlar!O212</f>
        <v>-1.5</v>
      </c>
      <c r="T212" s="26">
        <f>-Oranlar!I212</f>
        <v>-1.5</v>
      </c>
      <c r="U212" s="27">
        <f>Oranlar!V212</f>
        <v>218.5</v>
      </c>
      <c r="V212" s="27">
        <f>Oranlar!L212</f>
        <v>219.5</v>
      </c>
      <c r="W212" s="28">
        <f>(U212+S212)/2</f>
        <v>108.5</v>
      </c>
      <c r="X212" s="28">
        <f>(U212-S212)/2</f>
        <v>110.0</v>
      </c>
      <c r="Y212" s="16">
        <f>IF(G212=0.5,"",IF((G212&gt;0.5)=(E212&gt;0),1,0))</f>
        <v>1</v>
      </c>
      <c r="Z212" s="16">
        <f>IF(R212=0.5,"",IF((R212&gt;0.5)=(E212&gt;0),1,0))</f>
        <v>0</v>
      </c>
      <c r="AA212" s="29">
        <f>(G212-IF(E212&gt;0,1,0))^2</f>
        <v>0.141376</v>
      </c>
      <c r="AB212" s="29">
        <f>(R212-IF(E212&gt;0,1,0))^2</f>
        <v>0.26095161686009055</v>
      </c>
      <c r="AC212" s="28">
        <f>ABS(H212-E212)</f>
        <v>12.809999999999999</v>
      </c>
      <c r="AD212" s="28">
        <f>ABS(I212-E212)</f>
        <v>17.6</v>
      </c>
      <c r="AE212" s="28">
        <f>ABS(S212-E212)</f>
        <v>18.5</v>
      </c>
      <c r="AF212" s="28">
        <f>ABS(L212-F212)</f>
        <v>23.379999999999995</v>
      </c>
      <c r="AG212" s="28">
        <f>ABS(M212-F212)</f>
        <v>21.19999999999999</v>
      </c>
      <c r="AH212" s="28">
        <f>ABS(U212-F212)</f>
        <v>13.5</v>
      </c>
      <c r="AI212" s="28">
        <f>ABS(P212-C212)</f>
        <v>2.239999999999995</v>
      </c>
      <c r="AJ212" s="28">
        <f>ABS(W212-C212)</f>
        <v>2.5</v>
      </c>
      <c r="AK212" s="28">
        <f>ABS(Q212-D212)</f>
        <v>19.560000000000002</v>
      </c>
      <c r="AL212" s="28">
        <f>ABS(X212-D212)</f>
        <v>16.0</v>
      </c>
      <c r="AM212" s="17" t="str">
        <f>IF(H212&gt;S212,"Ev",IF(H212&lt;S212,"Dep",""))</f>
        <v>Ev</v>
      </c>
      <c r="AN212" s="17" t="str">
        <f>IF(AM212="","",IF(E212=S212,"Push",IF((E212&gt;S212)=(AM212="Ev"),"Kazandı","Kaybetti")))</f>
        <v>Kazandı</v>
      </c>
      <c r="AO212" s="30">
        <f>IF(AM212="","",IF(AN212="Push",0,IF(AN212="Kazandı",IF(AM212="Ev",Oranlar!P212,Oranlar!Q212)-1,-1)))</f>
        <v>0.8695652173913042</v>
      </c>
      <c r="AP212" s="17" t="str">
        <f>IF(L212&gt;U212,"Üst",IF(L212&lt;U212,"Alt",""))</f>
        <v>Üst</v>
      </c>
      <c r="AQ212" s="17" t="str">
        <f>IF(AP212="","",IF(F212=U212,"Push",IF((F212&gt;U212)=(AP212="Üst"),"Kazandı","Kaybetti")))</f>
        <v>Kaybetti</v>
      </c>
      <c r="AR212" s="30">
        <f>IF(AP212="","",IF(AQ212="Push",0,IF(AQ212="Kazandı",IF(AP212="Üst",Oranlar!W212,Oranlar!X212)-1,-1)))</f>
        <v>-1.0</v>
      </c>
      <c r="AS212" s="17" t="str">
        <f>IF(G212*Oranlar!R212&gt;1,"Ev",IF((1-G212)*Oranlar!S212&gt;1,"Dep",""))</f>
        <v>Ev</v>
      </c>
      <c r="AT212" s="30">
        <f>IF(AS212="","",IF((AS212="Ev")=(E212&gt;0),IF(AS212="Ev",Oranlar!R212,Oranlar!S212)-1,-1))</f>
        <v>0.9523809523809523</v>
      </c>
      <c r="AU212" s="16">
        <f>IF(OR(H212=T212,S212=T212),"",IF((H212&gt;T212)=(S212&gt;T212),1,0))</f>
        <v/>
      </c>
      <c r="AV212" s="16">
        <f>IF(OR(L212=V212,U212=V212),"",IF((L212&gt;V212)=(U212&gt;V212),1,0))</f>
        <v>0</v>
      </c>
      <c r="AW212" s="16">
        <f>IF(AND(E212&gt;=J212,E212&lt;=K212),1,0)</f>
        <v>1</v>
      </c>
      <c r="AX212" s="16">
        <f>IF(AND(F212&gt;=N212,F212&lt;=O212),1,0)</f>
        <v>1</v>
      </c>
    </row>
    <row r="213" spans="1:50">
      <c r="A213" s="21">
        <f>Oranlar!A213</f>
        <v>46112</v>
      </c>
      <c r="B213" s="22" t="str">
        <f>Oranlar!C213&amp;" @ "&amp;Oranlar!D213</f>
        <v>CLE @ LAL</v>
      </c>
      <c r="C213" s="23">
        <f>Oranlar!F213</f>
        <v>127</v>
      </c>
      <c r="D213" s="23">
        <f>Oranlar!E213</f>
        <v>113</v>
      </c>
      <c r="E213" s="15">
        <f>C213-D213</f>
        <v>14</v>
      </c>
      <c r="F213" s="16">
        <f>C213+D213</f>
        <v>240</v>
      </c>
      <c r="G213" s="24">
        <v>0.607</v>
      </c>
      <c r="H213" s="10">
        <v>3.69</v>
      </c>
      <c r="I213" s="10">
        <v>4.9</v>
      </c>
      <c r="J213" s="10">
        <v>-14</v>
      </c>
      <c r="K213" s="10">
        <v>24</v>
      </c>
      <c r="L213" s="11">
        <v>239.17</v>
      </c>
      <c r="M213" s="11">
        <v>236.5</v>
      </c>
      <c r="N213" s="11">
        <v>208</v>
      </c>
      <c r="O213" s="11">
        <v>264</v>
      </c>
      <c r="P213" s="11">
        <v>121.02</v>
      </c>
      <c r="Q213" s="11">
        <v>118.58</v>
      </c>
      <c r="R213" s="25">
        <f>Oranlar!Y213</f>
        <v>0.5427435387673957</v>
      </c>
      <c r="S213" s="26">
        <f>-Oranlar!O213</f>
        <v>2.5</v>
      </c>
      <c r="T213" s="26">
        <f>-Oranlar!I213</f>
        <v>1.5</v>
      </c>
      <c r="U213" s="27">
        <f>Oranlar!V213</f>
        <v>236.5</v>
      </c>
      <c r="V213" s="27">
        <f>Oranlar!L213</f>
        <v>236.5</v>
      </c>
      <c r="W213" s="28">
        <f>(U213+S213)/2</f>
        <v>119.5</v>
      </c>
      <c r="X213" s="28">
        <f>(U213-S213)/2</f>
        <v>117.0</v>
      </c>
      <c r="Y213" s="16">
        <f>IF(G213=0.5,"",IF((G213&gt;0.5)=(E213&gt;0),1,0))</f>
        <v>1</v>
      </c>
      <c r="Z213" s="16">
        <f>IF(R213=0.5,"",IF((R213&gt;0.5)=(E213&gt;0),1,0))</f>
        <v>1</v>
      </c>
      <c r="AA213" s="29">
        <f>(G213-IF(E213&gt;0,1,0))^2</f>
        <v>0.154449</v>
      </c>
      <c r="AB213" s="29">
        <f>(R213-IF(E213&gt;0,1,0))^2</f>
        <v>0.20908347133896418</v>
      </c>
      <c r="AC213" s="28">
        <f>ABS(H213-E213)</f>
        <v>10.31</v>
      </c>
      <c r="AD213" s="28">
        <f>ABS(I213-E213)</f>
        <v>9.1</v>
      </c>
      <c r="AE213" s="28">
        <f>ABS(S213-E213)</f>
        <v>11.5</v>
      </c>
      <c r="AF213" s="28">
        <f>ABS(L213-F213)</f>
        <v>0.8300000000000125</v>
      </c>
      <c r="AG213" s="28">
        <f>ABS(M213-F213)</f>
        <v>3.5</v>
      </c>
      <c r="AH213" s="28">
        <f>ABS(U213-F213)</f>
        <v>3.5</v>
      </c>
      <c r="AI213" s="28">
        <f>ABS(P213-C213)</f>
        <v>5.980000000000004</v>
      </c>
      <c r="AJ213" s="28">
        <f>ABS(W213-C213)</f>
        <v>7.5</v>
      </c>
      <c r="AK213" s="28">
        <f>ABS(Q213-D213)</f>
        <v>5.579999999999998</v>
      </c>
      <c r="AL213" s="28">
        <f>ABS(X213-D213)</f>
        <v>4.0</v>
      </c>
      <c r="AM213" s="17" t="str">
        <f>IF(H213&gt;S213,"Ev",IF(H213&lt;S213,"Dep",""))</f>
        <v>Ev</v>
      </c>
      <c r="AN213" s="17" t="str">
        <f>IF(AM213="","",IF(E213=S213,"Push",IF((E213&gt;S213)=(AM213="Ev"),"Kazandı","Kaybetti")))</f>
        <v>Kazandı</v>
      </c>
      <c r="AO213" s="30">
        <f>IF(AM213="","",IF(AN213="Push",0,IF(AN213="Kazandı",IF(AM213="Ev",Oranlar!P213,Oranlar!Q213)-1,-1)))</f>
        <v>0.9523809523809523</v>
      </c>
      <c r="AP213" s="17" t="str">
        <f>IF(L213&gt;U213,"Üst",IF(L213&lt;U213,"Alt",""))</f>
        <v>Üst</v>
      </c>
      <c r="AQ213" s="17" t="str">
        <f>IF(AP213="","",IF(F213=U213,"Push",IF((F213&gt;U213)=(AP213="Üst"),"Kazandı","Kaybetti")))</f>
        <v>Kazandı</v>
      </c>
      <c r="AR213" s="30">
        <f>IF(AP213="","",IF(AQ213="Push",0,IF(AQ213="Kazandı",IF(AP213="Üst",Oranlar!W213,Oranlar!X213)-1,-1)))</f>
        <v>0.9523809523809523</v>
      </c>
      <c r="AS213" s="17" t="str">
        <f>IF(G213*Oranlar!R213&gt;1,"Ev",IF((1-G213)*Oranlar!S213&gt;1,"Dep",""))</f>
        <v>Ev</v>
      </c>
      <c r="AT213" s="30">
        <f>IF(AS213="","",IF((AS213="Ev")=(E213&gt;0),IF(AS213="Ev",Oranlar!R213,Oranlar!S213)-1,-1))</f>
        <v>0.7692307692307692</v>
      </c>
      <c r="AU213" s="16">
        <f>IF(OR(H213=T213,S213=T213),"",IF((H213&gt;T213)=(S213&gt;T213),1,0))</f>
        <v>1</v>
      </c>
      <c r="AV213" s="16">
        <f>IF(OR(L213=V213,U213=V213),"",IF((L213&gt;V213)=(U213&gt;V213),1,0))</f>
        <v/>
      </c>
      <c r="AW213" s="16">
        <f>IF(AND(E213&gt;=J213,E213&lt;=K213),1,0)</f>
        <v>1</v>
      </c>
      <c r="AX213" s="16">
        <f>IF(AND(F213&gt;=N213,F213&lt;=O213),1,0)</f>
        <v>1</v>
      </c>
    </row>
    <row r="214" spans="1:50">
      <c r="A214" s="21">
        <f>Oranlar!A214</f>
        <v>46112</v>
      </c>
      <c r="B214" s="22" t="str">
        <f>Oranlar!C214&amp;" @ "&amp;Oranlar!D214</f>
        <v>POR @ LAC</v>
      </c>
      <c r="C214" s="23">
        <f>Oranlar!F214</f>
        <v>104</v>
      </c>
      <c r="D214" s="23">
        <f>Oranlar!E214</f>
        <v>114</v>
      </c>
      <c r="E214" s="15">
        <f>C214-D214</f>
        <v>-10</v>
      </c>
      <c r="F214" s="16">
        <f>C214+D214</f>
        <v>218</v>
      </c>
      <c r="G214" s="24">
        <v>0.606</v>
      </c>
      <c r="H214" s="10">
        <v>2.55</v>
      </c>
      <c r="I214" s="10">
        <v>4.2</v>
      </c>
      <c r="J214" s="10">
        <v>-14</v>
      </c>
      <c r="K214" s="10">
        <v>22</v>
      </c>
      <c r="L214" s="11">
        <v>223.45</v>
      </c>
      <c r="M214" s="11">
        <v>223.6</v>
      </c>
      <c r="N214" s="11">
        <v>197</v>
      </c>
      <c r="O214" s="11">
        <v>250</v>
      </c>
      <c r="P214" s="11">
        <v>115.65</v>
      </c>
      <c r="Q214" s="11">
        <v>111.64</v>
      </c>
      <c r="R214" s="25">
        <f>Oranlar!Y214</f>
        <v>0.6369041816941222</v>
      </c>
      <c r="S214" s="26">
        <f>-Oranlar!O214</f>
        <v>4.5</v>
      </c>
      <c r="T214" s="26">
        <f>-Oranlar!I214</f>
        <v>5.5</v>
      </c>
      <c r="U214" s="27">
        <f>Oranlar!V214</f>
        <v>225.5</v>
      </c>
      <c r="V214" s="27">
        <f>Oranlar!L214</f>
        <v>227.5</v>
      </c>
      <c r="W214" s="28">
        <f>(U214+S214)/2</f>
        <v>115.0</v>
      </c>
      <c r="X214" s="28">
        <f>(U214-S214)/2</f>
        <v>110.5</v>
      </c>
      <c r="Y214" s="16">
        <f>IF(G214=0.5,"",IF((G214&gt;0.5)=(E214&gt;0),1,0))</f>
        <v>0</v>
      </c>
      <c r="Z214" s="16">
        <f>IF(R214=0.5,"",IF((R214&gt;0.5)=(E214&gt;0),1,0))</f>
        <v>0</v>
      </c>
      <c r="AA214" s="29">
        <f>(G214-IF(E214&gt;0,1,0))^2</f>
        <v>0.367236</v>
      </c>
      <c r="AB214" s="29">
        <f>(R214-IF(E214&gt;0,1,0))^2</f>
        <v>0.40564693665945945</v>
      </c>
      <c r="AC214" s="28">
        <f>ABS(H214-E214)</f>
        <v>12.55</v>
      </c>
      <c r="AD214" s="28">
        <f>ABS(I214-E214)</f>
        <v>14.2</v>
      </c>
      <c r="AE214" s="28">
        <f>ABS(S214-E214)</f>
        <v>14.5</v>
      </c>
      <c r="AF214" s="28">
        <f>ABS(L214-F214)</f>
        <v>5.449999999999989</v>
      </c>
      <c r="AG214" s="28">
        <f>ABS(M214-F214)</f>
        <v>5.599999999999994</v>
      </c>
      <c r="AH214" s="28">
        <f>ABS(U214-F214)</f>
        <v>7.5</v>
      </c>
      <c r="AI214" s="28">
        <f>ABS(P214-C214)</f>
        <v>11.650000000000006</v>
      </c>
      <c r="AJ214" s="28">
        <f>ABS(W214-C214)</f>
        <v>11.0</v>
      </c>
      <c r="AK214" s="28">
        <f>ABS(Q214-D214)</f>
        <v>2.3599999999999994</v>
      </c>
      <c r="AL214" s="28">
        <f>ABS(X214-D214)</f>
        <v>3.5</v>
      </c>
      <c r="AM214" s="17" t="str">
        <f>IF(H214&gt;S214,"Ev",IF(H214&lt;S214,"Dep",""))</f>
        <v>Dep</v>
      </c>
      <c r="AN214" s="17" t="str">
        <f>IF(AM214="","",IF(E214=S214,"Push",IF((E214&gt;S214)=(AM214="Ev"),"Kazandı","Kaybetti")))</f>
        <v>Kazandı</v>
      </c>
      <c r="AO214" s="30">
        <f>IF(AM214="","",IF(AN214="Push",0,IF(AN214="Kazandı",IF(AM214="Ev",Oranlar!P214,Oranlar!Q214)-1,-1)))</f>
        <v>0.9523809523809523</v>
      </c>
      <c r="AP214" s="17" t="str">
        <f>IF(L214&gt;U214,"Üst",IF(L214&lt;U214,"Alt",""))</f>
        <v>Alt</v>
      </c>
      <c r="AQ214" s="17" t="str">
        <f>IF(AP214="","",IF(F214=U214,"Push",IF((F214&gt;U214)=(AP214="Üst"),"Kazandı","Kaybetti")))</f>
        <v>Kazandı</v>
      </c>
      <c r="AR214" s="30">
        <f>IF(AP214="","",IF(AQ214="Push",0,IF(AQ214="Kazandı",IF(AP214="Üst",Oranlar!W214,Oranlar!X214)-1,-1)))</f>
        <v>0.8928571428571428</v>
      </c>
      <c r="AS214" s="17" t="str">
        <f>IF(G214*Oranlar!R214&gt;1,"Ev",IF((1-G214)*Oranlar!S214&gt;1,"Dep",""))</f>
        <v>Dep</v>
      </c>
      <c r="AT214" s="30">
        <f>IF(AS214="","",IF((AS214="Ev")=(E214&gt;0),IF(AS214="Ev",Oranlar!R214,Oranlar!S214)-1,-1))</f>
        <v>1.6399999999999997</v>
      </c>
      <c r="AU214" s="16">
        <f>IF(OR(H214=T214,S214=T214),"",IF((H214&gt;T214)=(S214&gt;T214),1,0))</f>
        <v>1</v>
      </c>
      <c r="AV214" s="16">
        <f>IF(OR(L214=V214,U214=V214),"",IF((L214&gt;V214)=(U214&gt;V214),1,0))</f>
        <v>1</v>
      </c>
      <c r="AW214" s="16">
        <f>IF(AND(E214&gt;=J214,E214&lt;=K214),1,0)</f>
        <v>1</v>
      </c>
      <c r="AX214" s="16">
        <f>IF(AND(F214&gt;=N214,F214&lt;=O214),1,0)</f>
        <v>1</v>
      </c>
    </row>
    <row r="215" spans="1:50">
      <c r="A215" s="21">
        <f>Oranlar!A215</f>
        <v>46113</v>
      </c>
      <c r="B215" s="22" t="str">
        <f>Oranlar!C215&amp;" @ "&amp;Oranlar!D215</f>
        <v>NYK @ MEM</v>
      </c>
      <c r="C215" s="23">
        <f>Oranlar!F215</f>
        <v>119</v>
      </c>
      <c r="D215" s="23">
        <f>Oranlar!E215</f>
        <v>130</v>
      </c>
      <c r="E215" s="15">
        <f>C215-D215</f>
        <v>-11</v>
      </c>
      <c r="F215" s="16">
        <f>C215+D215</f>
        <v>249</v>
      </c>
      <c r="G215" s="24">
        <v>0.297</v>
      </c>
      <c r="H215" s="10">
        <v>-6.17</v>
      </c>
      <c r="I215" s="10">
        <v>-9.800000000000001</v>
      </c>
      <c r="J215" s="10">
        <v>-28</v>
      </c>
      <c r="K215" s="10">
        <v>9</v>
      </c>
      <c r="L215" s="11">
        <v>226.94</v>
      </c>
      <c r="M215" s="11">
        <v>230</v>
      </c>
      <c r="N215" s="11">
        <v>202</v>
      </c>
      <c r="O215" s="11">
        <v>257</v>
      </c>
      <c r="P215" s="11">
        <v>110.78</v>
      </c>
      <c r="Q215" s="11">
        <v>118.7</v>
      </c>
      <c r="R215" s="25">
        <f>Oranlar!Y215</f>
        <v>0.13698630136986303</v>
      </c>
      <c r="S215" s="26">
        <f>-Oranlar!O215</f>
        <v>-13.5</v>
      </c>
      <c r="T215" s="26">
        <f>-Oranlar!I215</f>
        <v>-14.5</v>
      </c>
      <c r="U215" s="27">
        <f>Oranlar!V215</f>
        <v>224.5</v>
      </c>
      <c r="V215" s="27">
        <f>Oranlar!L215</f>
        <v>228.5</v>
      </c>
      <c r="W215" s="28">
        <f>(U215+S215)/2</f>
        <v>105.5</v>
      </c>
      <c r="X215" s="28">
        <f>(U215-S215)/2</f>
        <v>119.0</v>
      </c>
      <c r="Y215" s="16">
        <f>IF(G215=0.5,"",IF((G215&gt;0.5)=(E215&gt;0),1,0))</f>
        <v>1</v>
      </c>
      <c r="Z215" s="16">
        <f>IF(R215=0.5,"",IF((R215&gt;0.5)=(E215&gt;0),1,0))</f>
        <v>1</v>
      </c>
      <c r="AA215" s="29">
        <f>(G215-IF(E215&gt;0,1,0))^2</f>
        <v>0.088209</v>
      </c>
      <c r="AB215" s="29">
        <f>(R215-IF(E215&gt;0,1,0))^2</f>
        <v>0.018765246762994937</v>
      </c>
      <c r="AC215" s="28">
        <f>ABS(H215-E215)</f>
        <v>4.83</v>
      </c>
      <c r="AD215" s="28">
        <f>ABS(I215-E215)</f>
        <v>1.1999999999999993</v>
      </c>
      <c r="AE215" s="28">
        <f>ABS(S215-E215)</f>
        <v>2.5</v>
      </c>
      <c r="AF215" s="28">
        <f>ABS(L215-F215)</f>
        <v>22.060000000000002</v>
      </c>
      <c r="AG215" s="28">
        <f>ABS(M215-F215)</f>
        <v>19.0</v>
      </c>
      <c r="AH215" s="28">
        <f>ABS(U215-F215)</f>
        <v>24.5</v>
      </c>
      <c r="AI215" s="28">
        <f>ABS(P215-C215)</f>
        <v>8.219999999999999</v>
      </c>
      <c r="AJ215" s="28">
        <f>ABS(W215-C215)</f>
        <v>13.5</v>
      </c>
      <c r="AK215" s="28">
        <f>ABS(Q215-D215)</f>
        <v>11.299999999999997</v>
      </c>
      <c r="AL215" s="28">
        <f>ABS(X215-D215)</f>
        <v>11.0</v>
      </c>
      <c r="AM215" s="17" t="str">
        <f>IF(H215&gt;S215,"Ev",IF(H215&lt;S215,"Dep",""))</f>
        <v>Ev</v>
      </c>
      <c r="AN215" s="17" t="str">
        <f>IF(AM215="","",IF(E215=S215,"Push",IF((E215&gt;S215)=(AM215="Ev"),"Kazandı","Kaybetti")))</f>
        <v>Kazandı</v>
      </c>
      <c r="AO215" s="30">
        <f>IF(AM215="","",IF(AN215="Push",0,IF(AN215="Kazandı",IF(AM215="Ev",Oranlar!P215,Oranlar!Q215)-1,-1)))</f>
        <v>0.925925925925926</v>
      </c>
      <c r="AP215" s="17" t="str">
        <f>IF(L215&gt;U215,"Üst",IF(L215&lt;U215,"Alt",""))</f>
        <v>Üst</v>
      </c>
      <c r="AQ215" s="17" t="str">
        <f>IF(AP215="","",IF(F215=U215,"Push",IF((F215&gt;U215)=(AP215="Üst"),"Kazandı","Kaybetti")))</f>
        <v>Kazandı</v>
      </c>
      <c r="AR215" s="30">
        <f>IF(AP215="","",IF(AQ215="Push",0,IF(AQ215="Kazandı",IF(AP215="Üst",Oranlar!W215,Oranlar!X215)-1,-1)))</f>
        <v>0.8695652173913042</v>
      </c>
      <c r="AS215" s="17" t="str">
        <f>IF(G215*Oranlar!R215&gt;1,"Ev",IF((1-G215)*Oranlar!S215&gt;1,"Dep",""))</f>
        <v>Ev</v>
      </c>
      <c r="AT215" s="30">
        <f>IF(AS215="","",IF((AS215="Ev")=(E215&gt;0),IF(AS215="Ev",Oranlar!R215,Oranlar!S215)-1,-1))</f>
        <v>-1.0</v>
      </c>
      <c r="AU215" s="16">
        <f>IF(OR(H215=T215,S215=T215),"",IF((H215&gt;T215)=(S215&gt;T215),1,0))</f>
        <v>1</v>
      </c>
      <c r="AV215" s="16">
        <f>IF(OR(L215=V215,U215=V215),"",IF((L215&gt;V215)=(U215&gt;V215),1,0))</f>
        <v>1</v>
      </c>
      <c r="AW215" s="16">
        <f>IF(AND(E215&gt;=J215,E215&lt;=K215),1,0)</f>
        <v>1</v>
      </c>
      <c r="AX215" s="16">
        <f>IF(AND(F215&gt;=N215,F215&lt;=O215),1,0)</f>
        <v>1</v>
      </c>
    </row>
    <row r="216" spans="1:50">
      <c r="A216" s="21">
        <f>Oranlar!A216</f>
        <v>46113</v>
      </c>
      <c r="B216" s="22" t="str">
        <f>Oranlar!C216&amp;" @ "&amp;Oranlar!D216</f>
        <v>PHI @ WAS</v>
      </c>
      <c r="C216" s="23">
        <f>Oranlar!F216</f>
        <v>131</v>
      </c>
      <c r="D216" s="23">
        <f>Oranlar!E216</f>
        <v>153</v>
      </c>
      <c r="E216" s="15">
        <f>C216-D216</f>
        <v>-22</v>
      </c>
      <c r="F216" s="16">
        <f>C216+D216</f>
        <v>284</v>
      </c>
      <c r="G216" s="24">
        <v>0.278</v>
      </c>
      <c r="H216" s="10">
        <v>-6.77</v>
      </c>
      <c r="I216" s="10">
        <v>-9.1</v>
      </c>
      <c r="J216" s="10">
        <v>-28</v>
      </c>
      <c r="K216" s="10">
        <v>10</v>
      </c>
      <c r="L216" s="11">
        <v>235.8</v>
      </c>
      <c r="M216" s="11">
        <v>234.7</v>
      </c>
      <c r="N216" s="11">
        <v>207</v>
      </c>
      <c r="O216" s="11">
        <v>262</v>
      </c>
      <c r="P216" s="11">
        <v>113.45</v>
      </c>
      <c r="Q216" s="11">
        <v>124.12</v>
      </c>
      <c r="R216" s="25">
        <f>Oranlar!Y216</f>
        <v>0.11304347826086955</v>
      </c>
      <c r="S216" s="26">
        <f>-Oranlar!O216</f>
        <v>-14.5</v>
      </c>
      <c r="T216" s="26">
        <f>-Oranlar!I216</f>
        <v>-15.5</v>
      </c>
      <c r="U216" s="27">
        <f>Oranlar!V216</f>
        <v>239.5</v>
      </c>
      <c r="V216" s="27">
        <f>Oranlar!L216</f>
        <v>237.5</v>
      </c>
      <c r="W216" s="28">
        <f>(U216+S216)/2</f>
        <v>112.5</v>
      </c>
      <c r="X216" s="28">
        <f>(U216-S216)/2</f>
        <v>127.0</v>
      </c>
      <c r="Y216" s="16">
        <f>IF(G216=0.5,"",IF((G216&gt;0.5)=(E216&gt;0),1,0))</f>
        <v>1</v>
      </c>
      <c r="Z216" s="16">
        <f>IF(R216=0.5,"",IF((R216&gt;0.5)=(E216&gt;0),1,0))</f>
        <v>1</v>
      </c>
      <c r="AA216" s="29">
        <f>(G216-IF(E216&gt;0,1,0))^2</f>
        <v>0.07728400000000002</v>
      </c>
      <c r="AB216" s="29">
        <f>(R216-IF(E216&gt;0,1,0))^2</f>
        <v>0.012778827977315686</v>
      </c>
      <c r="AC216" s="28">
        <f>ABS(H216-E216)</f>
        <v>15.23</v>
      </c>
      <c r="AD216" s="28">
        <f>ABS(I216-E216)</f>
        <v>12.9</v>
      </c>
      <c r="AE216" s="28">
        <f>ABS(S216-E216)</f>
        <v>7.5</v>
      </c>
      <c r="AF216" s="28">
        <f>ABS(L216-F216)</f>
        <v>48.19999999999999</v>
      </c>
      <c r="AG216" s="28">
        <f>ABS(M216-F216)</f>
        <v>49.30000000000001</v>
      </c>
      <c r="AH216" s="28">
        <f>ABS(U216-F216)</f>
        <v>44.5</v>
      </c>
      <c r="AI216" s="28">
        <f>ABS(P216-C216)</f>
        <v>17.549999999999997</v>
      </c>
      <c r="AJ216" s="28">
        <f>ABS(W216-C216)</f>
        <v>18.5</v>
      </c>
      <c r="AK216" s="28">
        <f>ABS(Q216-D216)</f>
        <v>28.879999999999995</v>
      </c>
      <c r="AL216" s="28">
        <f>ABS(X216-D216)</f>
        <v>26.0</v>
      </c>
      <c r="AM216" s="17" t="str">
        <f>IF(H216&gt;S216,"Ev",IF(H216&lt;S216,"Dep",""))</f>
        <v>Ev</v>
      </c>
      <c r="AN216" s="17" t="str">
        <f>IF(AM216="","",IF(E216=S216,"Push",IF((E216&gt;S216)=(AM216="Ev"),"Kazandı","Kaybetti")))</f>
        <v>Kaybetti</v>
      </c>
      <c r="AO216" s="30">
        <f>IF(AM216="","",IF(AN216="Push",0,IF(AN216="Kazandı",IF(AM216="Ev",Oranlar!P216,Oranlar!Q216)-1,-1)))</f>
        <v>-1.0</v>
      </c>
      <c r="AP216" s="17" t="str">
        <f>IF(L216&gt;U216,"Üst",IF(L216&lt;U216,"Alt",""))</f>
        <v>Alt</v>
      </c>
      <c r="AQ216" s="17" t="str">
        <f>IF(AP216="","",IF(F216=U216,"Push",IF((F216&gt;U216)=(AP216="Üst"),"Kazandı","Kaybetti")))</f>
        <v>Kaybetti</v>
      </c>
      <c r="AR216" s="30">
        <f>IF(AP216="","",IF(AQ216="Push",0,IF(AQ216="Kazandı",IF(AP216="Üst",Oranlar!W216,Oranlar!X216)-1,-1)))</f>
        <v>-1.0</v>
      </c>
      <c r="AS216" s="17" t="str">
        <f>IF(G216*Oranlar!R216&gt;1,"Ev",IF((1-G216)*Oranlar!S216&gt;1,"Dep",""))</f>
        <v>Ev</v>
      </c>
      <c r="AT216" s="30">
        <f>IF(AS216="","",IF((AS216="Ev")=(E216&gt;0),IF(AS216="Ev",Oranlar!R216,Oranlar!S216)-1,-1))</f>
        <v>-1.0</v>
      </c>
      <c r="AU216" s="16">
        <f>IF(OR(H216=T216,S216=T216),"",IF((H216&gt;T216)=(S216&gt;T216),1,0))</f>
        <v>1</v>
      </c>
      <c r="AV216" s="16">
        <f>IF(OR(L216=V216,U216=V216),"",IF((L216&gt;V216)=(U216&gt;V216),1,0))</f>
        <v>0</v>
      </c>
      <c r="AW216" s="16">
        <f>IF(AND(E216&gt;=J216,E216&lt;=K216),1,0)</f>
        <v>1</v>
      </c>
      <c r="AX216" s="16">
        <f>IF(AND(F216&gt;=N216,F216&lt;=O216),1,0)</f>
        <v>0</v>
      </c>
    </row>
    <row r="217" spans="1:50">
      <c r="A217" s="21">
        <f>Oranlar!A217</f>
        <v>46113</v>
      </c>
      <c r="B217" s="22" t="str">
        <f>Oranlar!C217&amp;" @ "&amp;Oranlar!D217</f>
        <v>BOS @ MIA</v>
      </c>
      <c r="C217" s="23">
        <f>Oranlar!F217</f>
        <v>129</v>
      </c>
      <c r="D217" s="23">
        <f>Oranlar!E217</f>
        <v>147</v>
      </c>
      <c r="E217" s="15">
        <f>C217-D217</f>
        <v>-18</v>
      </c>
      <c r="F217" s="16">
        <f>C217+D217</f>
        <v>276</v>
      </c>
      <c r="G217" s="24">
        <v>0.402</v>
      </c>
      <c r="H217" s="10">
        <v>-3.12</v>
      </c>
      <c r="I217" s="10">
        <v>-4.1</v>
      </c>
      <c r="J217" s="10">
        <v>-22</v>
      </c>
      <c r="K217" s="10">
        <v>14</v>
      </c>
      <c r="L217" s="11">
        <v>231.23</v>
      </c>
      <c r="M217" s="11">
        <v>231.4</v>
      </c>
      <c r="N217" s="11">
        <v>204</v>
      </c>
      <c r="O217" s="11">
        <v>259</v>
      </c>
      <c r="P217" s="11">
        <v>112.78</v>
      </c>
      <c r="Q217" s="11">
        <v>119.07</v>
      </c>
      <c r="R217" s="25">
        <f>Oranlar!Y217</f>
        <v>0.36309581830587784</v>
      </c>
      <c r="S217" s="26">
        <f>-Oranlar!O217</f>
        <v>-4.5</v>
      </c>
      <c r="T217" s="26">
        <f>-Oranlar!I217</f>
        <v>-4.5</v>
      </c>
      <c r="U217" s="27">
        <f>Oranlar!V217</f>
        <v>229.5</v>
      </c>
      <c r="V217" s="27">
        <f>Oranlar!L217</f>
        <v>228.5</v>
      </c>
      <c r="W217" s="28">
        <f>(U217+S217)/2</f>
        <v>112.5</v>
      </c>
      <c r="X217" s="28">
        <f>(U217-S217)/2</f>
        <v>117.0</v>
      </c>
      <c r="Y217" s="16">
        <f>IF(G217=0.5,"",IF((G217&gt;0.5)=(E217&gt;0),1,0))</f>
        <v>1</v>
      </c>
      <c r="Z217" s="16">
        <f>IF(R217=0.5,"",IF((R217&gt;0.5)=(E217&gt;0),1,0))</f>
        <v>1</v>
      </c>
      <c r="AA217" s="29">
        <f>(G217-IF(E217&gt;0,1,0))^2</f>
        <v>0.16160400000000003</v>
      </c>
      <c r="AB217" s="29">
        <f>(R217-IF(E217&gt;0,1,0))^2</f>
        <v>0.13183857327121506</v>
      </c>
      <c r="AC217" s="28">
        <f>ABS(H217-E217)</f>
        <v>14.879999999999999</v>
      </c>
      <c r="AD217" s="28">
        <f>ABS(I217-E217)</f>
        <v>13.9</v>
      </c>
      <c r="AE217" s="28">
        <f>ABS(S217-E217)</f>
        <v>13.5</v>
      </c>
      <c r="AF217" s="28">
        <f>ABS(L217-F217)</f>
        <v>44.77000000000001</v>
      </c>
      <c r="AG217" s="28">
        <f>ABS(M217-F217)</f>
        <v>44.599999999999994</v>
      </c>
      <c r="AH217" s="28">
        <f>ABS(U217-F217)</f>
        <v>46.5</v>
      </c>
      <c r="AI217" s="28">
        <f>ABS(P217-C217)</f>
        <v>16.22</v>
      </c>
      <c r="AJ217" s="28">
        <f>ABS(W217-C217)</f>
        <v>16.5</v>
      </c>
      <c r="AK217" s="28">
        <f>ABS(Q217-D217)</f>
        <v>27.930000000000007</v>
      </c>
      <c r="AL217" s="28">
        <f>ABS(X217-D217)</f>
        <v>30.0</v>
      </c>
      <c r="AM217" s="17" t="str">
        <f>IF(H217&gt;S217,"Ev",IF(H217&lt;S217,"Dep",""))</f>
        <v>Ev</v>
      </c>
      <c r="AN217" s="17" t="str">
        <f>IF(AM217="","",IF(E217=S217,"Push",IF((E217&gt;S217)=(AM217="Ev"),"Kazandı","Kaybetti")))</f>
        <v>Kaybetti</v>
      </c>
      <c r="AO217" s="30">
        <f>IF(AM217="","",IF(AN217="Push",0,IF(AN217="Kazandı",IF(AM217="Ev",Oranlar!P217,Oranlar!Q217)-1,-1)))</f>
        <v>-1.0</v>
      </c>
      <c r="AP217" s="17" t="str">
        <f>IF(L217&gt;U217,"Üst",IF(L217&lt;U217,"Alt",""))</f>
        <v>Üst</v>
      </c>
      <c r="AQ217" s="17" t="str">
        <f>IF(AP217="","",IF(F217=U217,"Push",IF((F217&gt;U217)=(AP217="Üst"),"Kazandı","Kaybetti")))</f>
        <v>Kazandı</v>
      </c>
      <c r="AR217" s="30">
        <f>IF(AP217="","",IF(AQ217="Push",0,IF(AQ217="Kazandı",IF(AP217="Üst",Oranlar!W217,Oranlar!X217)-1,-1)))</f>
        <v>0.9090909090909092</v>
      </c>
      <c r="AS217" s="17" t="str">
        <f>IF(G217*Oranlar!R217&gt;1,"Ev",IF((1-G217)*Oranlar!S217&gt;1,"Dep",""))</f>
        <v>Ev</v>
      </c>
      <c r="AT217" s="30">
        <f>IF(AS217="","",IF((AS217="Ev")=(E217&gt;0),IF(AS217="Ev",Oranlar!R217,Oranlar!S217)-1,-1))</f>
        <v>-1.0</v>
      </c>
      <c r="AU217" s="16">
        <f>IF(OR(H217=T217,S217=T217),"",IF((H217&gt;T217)=(S217&gt;T217),1,0))</f>
        <v/>
      </c>
      <c r="AV217" s="16">
        <f>IF(OR(L217=V217,U217=V217),"",IF((L217&gt;V217)=(U217&gt;V217),1,0))</f>
        <v>1</v>
      </c>
      <c r="AW217" s="16">
        <f>IF(AND(E217&gt;=J217,E217&lt;=K217),1,0)</f>
        <v>1</v>
      </c>
      <c r="AX217" s="16">
        <f>IF(AND(F217&gt;=N217,F217&lt;=O217),1,0)</f>
        <v>0</v>
      </c>
    </row>
    <row r="218" spans="1:50">
      <c r="A218" s="21">
        <f>Oranlar!A218</f>
        <v>46113</v>
      </c>
      <c r="B218" s="22" t="str">
        <f>Oranlar!C218&amp;" @ "&amp;Oranlar!D218</f>
        <v>ATL @ ORL</v>
      </c>
      <c r="C218" s="23">
        <f>Oranlar!F218</f>
        <v>101</v>
      </c>
      <c r="D218" s="23">
        <f>Oranlar!E218</f>
        <v>130</v>
      </c>
      <c r="E218" s="15">
        <f>C218-D218</f>
        <v>-29</v>
      </c>
      <c r="F218" s="16">
        <f>C218+D218</f>
        <v>231</v>
      </c>
      <c r="G218" s="24">
        <v>0.5669999999999999</v>
      </c>
      <c r="H218" s="10">
        <v>3.28</v>
      </c>
      <c r="I218" s="10">
        <v>-2.5</v>
      </c>
      <c r="J218" s="10">
        <v>-21</v>
      </c>
      <c r="K218" s="10">
        <v>16</v>
      </c>
      <c r="L218" s="11">
        <v>233.1</v>
      </c>
      <c r="M218" s="11">
        <v>237.4</v>
      </c>
      <c r="N218" s="11">
        <v>209</v>
      </c>
      <c r="O218" s="11">
        <v>265</v>
      </c>
      <c r="P218" s="11">
        <v>116.83</v>
      </c>
      <c r="Q218" s="11">
        <v>120.21</v>
      </c>
      <c r="R218" s="25">
        <f>Oranlar!Y218</f>
        <v>0.43650793650793646</v>
      </c>
      <c r="S218" s="26">
        <f>-Oranlar!O218</f>
        <v>-2.5</v>
      </c>
      <c r="T218" s="26">
        <f>-Oranlar!I218</f>
        <v>-4.5</v>
      </c>
      <c r="U218" s="27">
        <f>Oranlar!V218</f>
        <v>235.5</v>
      </c>
      <c r="V218" s="27">
        <f>Oranlar!L218</f>
        <v>233.5</v>
      </c>
      <c r="W218" s="28">
        <f>(U218+S218)/2</f>
        <v>116.5</v>
      </c>
      <c r="X218" s="28">
        <f>(U218-S218)/2</f>
        <v>119.0</v>
      </c>
      <c r="Y218" s="16">
        <f>IF(G218=0.5,"",IF((G218&gt;0.5)=(E218&gt;0),1,0))</f>
        <v>0</v>
      </c>
      <c r="Z218" s="16">
        <f>IF(R218=0.5,"",IF((R218&gt;0.5)=(E218&gt;0),1,0))</f>
        <v>1</v>
      </c>
      <c r="AA218" s="29">
        <f>(G218-IF(E218&gt;0,1,0))^2</f>
        <v>0.32148899999999997</v>
      </c>
      <c r="AB218" s="29">
        <f>(R218-IF(E218&gt;0,1,0))^2</f>
        <v>0.1905391786344167</v>
      </c>
      <c r="AC218" s="28">
        <f>ABS(H218-E218)</f>
        <v>32.28</v>
      </c>
      <c r="AD218" s="28">
        <f>ABS(I218-E218)</f>
        <v>26.5</v>
      </c>
      <c r="AE218" s="28">
        <f>ABS(S218-E218)</f>
        <v>26.5</v>
      </c>
      <c r="AF218" s="28">
        <f>ABS(L218-F218)</f>
        <v>2.0999999999999943</v>
      </c>
      <c r="AG218" s="28">
        <f>ABS(M218-F218)</f>
        <v>6.400000000000006</v>
      </c>
      <c r="AH218" s="28">
        <f>ABS(U218-F218)</f>
        <v>4.5</v>
      </c>
      <c r="AI218" s="28">
        <f>ABS(P218-C218)</f>
        <v>15.829999999999998</v>
      </c>
      <c r="AJ218" s="28">
        <f>ABS(W218-C218)</f>
        <v>15.5</v>
      </c>
      <c r="AK218" s="28">
        <f>ABS(Q218-D218)</f>
        <v>9.790000000000006</v>
      </c>
      <c r="AL218" s="28">
        <f>ABS(X218-D218)</f>
        <v>11.0</v>
      </c>
      <c r="AM218" s="17" t="str">
        <f>IF(H218&gt;S218,"Ev",IF(H218&lt;S218,"Dep",""))</f>
        <v>Ev</v>
      </c>
      <c r="AN218" s="17" t="str">
        <f>IF(AM218="","",IF(E218=S218,"Push",IF((E218&gt;S218)=(AM218="Ev"),"Kazandı","Kaybetti")))</f>
        <v>Kaybetti</v>
      </c>
      <c r="AO218" s="30">
        <f>IF(AM218="","",IF(AN218="Push",0,IF(AN218="Kazandı",IF(AM218="Ev",Oranlar!P218,Oranlar!Q218)-1,-1)))</f>
        <v>-1.0</v>
      </c>
      <c r="AP218" s="17" t="str">
        <f>IF(L218&gt;U218,"Üst",IF(L218&lt;U218,"Alt",""))</f>
        <v>Alt</v>
      </c>
      <c r="AQ218" s="17" t="str">
        <f>IF(AP218="","",IF(F218=U218,"Push",IF((F218&gt;U218)=(AP218="Üst"),"Kazandı","Kaybetti")))</f>
        <v>Kazandı</v>
      </c>
      <c r="AR218" s="30">
        <f>IF(AP218="","",IF(AQ218="Push",0,IF(AQ218="Kazandı",IF(AP218="Üst",Oranlar!W218,Oranlar!X218)-1,-1)))</f>
        <v>0.8928571428571428</v>
      </c>
      <c r="AS218" s="17" t="str">
        <f>IF(G218*Oranlar!R218&gt;1,"Ev",IF((1-G218)*Oranlar!S218&gt;1,"Dep",""))</f>
        <v>Ev</v>
      </c>
      <c r="AT218" s="30">
        <f>IF(AS218="","",IF((AS218="Ev")=(E218&gt;0),IF(AS218="Ev",Oranlar!R218,Oranlar!S218)-1,-1))</f>
        <v>-1.0</v>
      </c>
      <c r="AU218" s="16">
        <f>IF(OR(H218=T218,S218=T218),"",IF((H218&gt;T218)=(S218&gt;T218),1,0))</f>
        <v>1</v>
      </c>
      <c r="AV218" s="16">
        <f>IF(OR(L218=V218,U218=V218),"",IF((L218&gt;V218)=(U218&gt;V218),1,0))</f>
        <v>0</v>
      </c>
      <c r="AW218" s="16">
        <f>IF(AND(E218&gt;=J218,E218&lt;=K218),1,0)</f>
        <v>0</v>
      </c>
      <c r="AX218" s="16">
        <f>IF(AND(F218&gt;=N218,F218&lt;=O218),1,0)</f>
        <v>1</v>
      </c>
    </row>
    <row r="219" spans="1:50">
      <c r="A219" s="21">
        <f>Oranlar!A219</f>
        <v>46113</v>
      </c>
      <c r="B219" s="22" t="str">
        <f>Oranlar!C219&amp;" @ "&amp;Oranlar!D219</f>
        <v>SAC @ TOR</v>
      </c>
      <c r="C219" s="23">
        <f>Oranlar!F219</f>
        <v>115</v>
      </c>
      <c r="D219" s="23">
        <f>Oranlar!E219</f>
        <v>123</v>
      </c>
      <c r="E219" s="15">
        <f>C219-D219</f>
        <v>-8</v>
      </c>
      <c r="F219" s="16">
        <f>C219+D219</f>
        <v>238</v>
      </c>
      <c r="G219" s="24">
        <v>0.6879999999999999</v>
      </c>
      <c r="H219" s="10">
        <v>5.8</v>
      </c>
      <c r="I219" s="10">
        <v>4.7</v>
      </c>
      <c r="J219" s="10">
        <v>-13</v>
      </c>
      <c r="K219" s="10">
        <v>23</v>
      </c>
      <c r="L219" s="11">
        <v>233.53</v>
      </c>
      <c r="M219" s="11">
        <v>230.2</v>
      </c>
      <c r="N219" s="11">
        <v>203</v>
      </c>
      <c r="O219" s="11">
        <v>258</v>
      </c>
      <c r="P219" s="11">
        <v>120.79</v>
      </c>
      <c r="Q219" s="11">
        <v>112.42</v>
      </c>
      <c r="R219" s="25">
        <f>Oranlar!Y219</f>
        <v>0.8465011286681716</v>
      </c>
      <c r="S219" s="26">
        <f>-Oranlar!O219</f>
        <v>12.5</v>
      </c>
      <c r="T219" s="26">
        <f>-Oranlar!I219</f>
        <v>13.5</v>
      </c>
      <c r="U219" s="27">
        <f>Oranlar!V219</f>
        <v>227.5</v>
      </c>
      <c r="V219" s="27">
        <f>Oranlar!L219</f>
        <v>225.5</v>
      </c>
      <c r="W219" s="28">
        <f>(U219+S219)/2</f>
        <v>120.0</v>
      </c>
      <c r="X219" s="28">
        <f>(U219-S219)/2</f>
        <v>107.5</v>
      </c>
      <c r="Y219" s="16">
        <f>IF(G219=0.5,"",IF((G219&gt;0.5)=(E219&gt;0),1,0))</f>
        <v>0</v>
      </c>
      <c r="Z219" s="16">
        <f>IF(R219=0.5,"",IF((R219&gt;0.5)=(E219&gt;0),1,0))</f>
        <v>0</v>
      </c>
      <c r="AA219" s="29">
        <f>(G219-IF(E219&gt;0,1,0))^2</f>
        <v>0.47334399999999993</v>
      </c>
      <c r="AB219" s="29">
        <f>(R219-IF(E219&gt;0,1,0))^2</f>
        <v>0.7165641608364884</v>
      </c>
      <c r="AC219" s="28">
        <f>ABS(H219-E219)</f>
        <v>13.8</v>
      </c>
      <c r="AD219" s="28">
        <f>ABS(I219-E219)</f>
        <v>12.7</v>
      </c>
      <c r="AE219" s="28">
        <f>ABS(S219-E219)</f>
        <v>20.5</v>
      </c>
      <c r="AF219" s="28">
        <f>ABS(L219-F219)</f>
        <v>4.469999999999999</v>
      </c>
      <c r="AG219" s="28">
        <f>ABS(M219-F219)</f>
        <v>7.800000000000011</v>
      </c>
      <c r="AH219" s="28">
        <f>ABS(U219-F219)</f>
        <v>10.5</v>
      </c>
      <c r="AI219" s="28">
        <f>ABS(P219-C219)</f>
        <v>5.790000000000006</v>
      </c>
      <c r="AJ219" s="28">
        <f>ABS(W219-C219)</f>
        <v>5.0</v>
      </c>
      <c r="AK219" s="28">
        <f>ABS(Q219-D219)</f>
        <v>10.579999999999998</v>
      </c>
      <c r="AL219" s="28">
        <f>ABS(X219-D219)</f>
        <v>15.5</v>
      </c>
      <c r="AM219" s="17" t="str">
        <f>IF(H219&gt;S219,"Ev",IF(H219&lt;S219,"Dep",""))</f>
        <v>Dep</v>
      </c>
      <c r="AN219" s="17" t="str">
        <f>IF(AM219="","",IF(E219=S219,"Push",IF((E219&gt;S219)=(AM219="Ev"),"Kazandı","Kaybetti")))</f>
        <v>Kazandı</v>
      </c>
      <c r="AO219" s="30">
        <f>IF(AM219="","",IF(AN219="Push",0,IF(AN219="Kazandı",IF(AM219="Ev",Oranlar!P219,Oranlar!Q219)-1,-1)))</f>
        <v>0.9523809523809523</v>
      </c>
      <c r="AP219" s="17" t="str">
        <f>IF(L219&gt;U219,"Üst",IF(L219&lt;U219,"Alt",""))</f>
        <v>Üst</v>
      </c>
      <c r="AQ219" s="17" t="str">
        <f>IF(AP219="","",IF(F219=U219,"Push",IF((F219&gt;U219)=(AP219="Üst"),"Kazandı","Kaybetti")))</f>
        <v>Kazandı</v>
      </c>
      <c r="AR219" s="30">
        <f>IF(AP219="","",IF(AQ219="Push",0,IF(AQ219="Kazandı",IF(AP219="Üst",Oranlar!W219,Oranlar!X219)-1,-1)))</f>
        <v>0.8695652173913042</v>
      </c>
      <c r="AS219" s="17" t="str">
        <f>IF(G219*Oranlar!R219&gt;1,"Ev",IF((1-G219)*Oranlar!S219&gt;1,"Dep",""))</f>
        <v>Dep</v>
      </c>
      <c r="AT219" s="30">
        <f>IF(AS219="","",IF((AS219="Ev")=(E219&gt;0),IF(AS219="Ev",Oranlar!R219,Oranlar!S219)-1,-1))</f>
        <v>5.25</v>
      </c>
      <c r="AU219" s="16">
        <f>IF(OR(H219=T219,S219=T219),"",IF((H219&gt;T219)=(S219&gt;T219),1,0))</f>
        <v>1</v>
      </c>
      <c r="AV219" s="16">
        <f>IF(OR(L219=V219,U219=V219),"",IF((L219&gt;V219)=(U219&gt;V219),1,0))</f>
        <v>1</v>
      </c>
      <c r="AW219" s="16">
        <f>IF(AND(E219&gt;=J219,E219&lt;=K219),1,0)</f>
        <v>1</v>
      </c>
      <c r="AX219" s="16">
        <f>IF(AND(F219&gt;=N219,F219&lt;=O219),1,0)</f>
        <v>1</v>
      </c>
    </row>
    <row r="220" spans="1:50">
      <c r="A220" s="21">
        <f>Oranlar!A220</f>
        <v>46113</v>
      </c>
      <c r="B220" s="22" t="str">
        <f>Oranlar!C220&amp;" @ "&amp;Oranlar!D220</f>
        <v>IND @ CHI</v>
      </c>
      <c r="C220" s="23">
        <f>Oranlar!F220</f>
        <v>126</v>
      </c>
      <c r="D220" s="23">
        <f>Oranlar!E220</f>
        <v>145</v>
      </c>
      <c r="E220" s="15">
        <f>C220-D220</f>
        <v>-19</v>
      </c>
      <c r="F220" s="16">
        <f>C220+D220</f>
        <v>271</v>
      </c>
      <c r="G220" s="24">
        <v>0.602</v>
      </c>
      <c r="H220" s="10">
        <v>6.17</v>
      </c>
      <c r="I220" s="10">
        <v>1.6</v>
      </c>
      <c r="J220" s="10">
        <v>-17</v>
      </c>
      <c r="K220" s="10">
        <v>21</v>
      </c>
      <c r="L220" s="11">
        <v>240.47</v>
      </c>
      <c r="M220" s="11">
        <v>243.3</v>
      </c>
      <c r="N220" s="11">
        <v>215</v>
      </c>
      <c r="O220" s="11">
        <v>272</v>
      </c>
      <c r="P220" s="11">
        <v>121.29</v>
      </c>
      <c r="Q220" s="11">
        <v>119.91</v>
      </c>
      <c r="R220" s="25">
        <f>Oranlar!Y220</f>
        <v>0.6037569709421778</v>
      </c>
      <c r="S220" s="26">
        <f>-Oranlar!O220</f>
        <v>3.5</v>
      </c>
      <c r="T220" s="26">
        <f>-Oranlar!I220</f>
        <v>4.5</v>
      </c>
      <c r="U220" s="27">
        <f>Oranlar!V220</f>
        <v>246.5</v>
      </c>
      <c r="V220" s="27">
        <f>Oranlar!L220</f>
        <v>242.5</v>
      </c>
      <c r="W220" s="28">
        <f>(U220+S220)/2</f>
        <v>125.0</v>
      </c>
      <c r="X220" s="28">
        <f>(U220-S220)/2</f>
        <v>121.5</v>
      </c>
      <c r="Y220" s="16">
        <f>IF(G220=0.5,"",IF((G220&gt;0.5)=(E220&gt;0),1,0))</f>
        <v>0</v>
      </c>
      <c r="Z220" s="16">
        <f>IF(R220=0.5,"",IF((R220&gt;0.5)=(E220&gt;0),1,0))</f>
        <v>0</v>
      </c>
      <c r="AA220" s="29">
        <f>(G220-IF(E220&gt;0,1,0))^2</f>
        <v>0.36240399999999995</v>
      </c>
      <c r="AB220" s="29">
        <f>(R220-IF(E220&gt;0,1,0))^2</f>
        <v>0.3645224799612738</v>
      </c>
      <c r="AC220" s="28">
        <f>ABS(H220-E220)</f>
        <v>25.17</v>
      </c>
      <c r="AD220" s="28">
        <f>ABS(I220-E220)</f>
        <v>20.6</v>
      </c>
      <c r="AE220" s="28">
        <f>ABS(S220-E220)</f>
        <v>22.5</v>
      </c>
      <c r="AF220" s="28">
        <f>ABS(L220-F220)</f>
        <v>30.53</v>
      </c>
      <c r="AG220" s="28">
        <f>ABS(M220-F220)</f>
        <v>27.69999999999999</v>
      </c>
      <c r="AH220" s="28">
        <f>ABS(U220-F220)</f>
        <v>24.5</v>
      </c>
      <c r="AI220" s="28">
        <f>ABS(P220-C220)</f>
        <v>4.709999999999994</v>
      </c>
      <c r="AJ220" s="28">
        <f>ABS(W220-C220)</f>
        <v>1.0</v>
      </c>
      <c r="AK220" s="28">
        <f>ABS(Q220-D220)</f>
        <v>25.090000000000003</v>
      </c>
      <c r="AL220" s="28">
        <f>ABS(X220-D220)</f>
        <v>23.5</v>
      </c>
      <c r="AM220" s="17" t="str">
        <f>IF(H220&gt;S220,"Ev",IF(H220&lt;S220,"Dep",""))</f>
        <v>Ev</v>
      </c>
      <c r="AN220" s="17" t="str">
        <f>IF(AM220="","",IF(E220=S220,"Push",IF((E220&gt;S220)=(AM220="Ev"),"Kazandı","Kaybetti")))</f>
        <v>Kaybetti</v>
      </c>
      <c r="AO220" s="30">
        <f>IF(AM220="","",IF(AN220="Push",0,IF(AN220="Kazandı",IF(AM220="Ev",Oranlar!P220,Oranlar!Q220)-1,-1)))</f>
        <v>-1.0</v>
      </c>
      <c r="AP220" s="17" t="str">
        <f>IF(L220&gt;U220,"Üst",IF(L220&lt;U220,"Alt",""))</f>
        <v>Alt</v>
      </c>
      <c r="AQ220" s="17" t="str">
        <f>IF(AP220="","",IF(F220=U220,"Push",IF((F220&gt;U220)=(AP220="Üst"),"Kazandı","Kaybetti")))</f>
        <v>Kaybetti</v>
      </c>
      <c r="AR220" s="30">
        <f>IF(AP220="","",IF(AQ220="Push",0,IF(AQ220="Kazandı",IF(AP220="Üst",Oranlar!W220,Oranlar!X220)-1,-1)))</f>
        <v>-1.0</v>
      </c>
      <c r="AS220" s="17">
        <f>IF(G220*Oranlar!R220&gt;1,"Ev",IF((1-G220)*Oranlar!S220&gt;1,"Dep",""))</f>
        <v/>
      </c>
      <c r="AT220" s="30">
        <f>IF(AS220="","",IF((AS220="Ev")=(E220&gt;0),IF(AS220="Ev",Oranlar!R220,Oranlar!S220)-1,-1))</f>
        <v/>
      </c>
      <c r="AU220" s="16">
        <f>IF(OR(H220=T220,S220=T220),"",IF((H220&gt;T220)=(S220&gt;T220),1,0))</f>
        <v>0</v>
      </c>
      <c r="AV220" s="16">
        <f>IF(OR(L220=V220,U220=V220),"",IF((L220&gt;V220)=(U220&gt;V220),1,0))</f>
        <v>0</v>
      </c>
      <c r="AW220" s="16">
        <f>IF(AND(E220&gt;=J220,E220&lt;=K220),1,0)</f>
        <v>0</v>
      </c>
      <c r="AX220" s="16">
        <f>IF(AND(F220&gt;=N220,F220&lt;=O220),1,0)</f>
        <v>1</v>
      </c>
    </row>
    <row r="221" spans="1:50">
      <c r="A221" s="21">
        <f>Oranlar!A221</f>
        <v>46113</v>
      </c>
      <c r="B221" s="22" t="str">
        <f>Oranlar!C221&amp;" @ "&amp;Oranlar!D221</f>
        <v>MIL @ HOU</v>
      </c>
      <c r="C221" s="23">
        <f>Oranlar!F221</f>
        <v>119</v>
      </c>
      <c r="D221" s="23">
        <f>Oranlar!E221</f>
        <v>113</v>
      </c>
      <c r="E221" s="15">
        <f>C221-D221</f>
        <v>6</v>
      </c>
      <c r="F221" s="16">
        <f>C221+D221</f>
        <v>232</v>
      </c>
      <c r="G221" s="24">
        <v>0.826</v>
      </c>
      <c r="H221" s="10">
        <v>10.89</v>
      </c>
      <c r="I221" s="10">
        <v>9.300000000000001</v>
      </c>
      <c r="J221" s="10">
        <v>-9</v>
      </c>
      <c r="K221" s="10">
        <v>28</v>
      </c>
      <c r="L221" s="11">
        <v>230.42</v>
      </c>
      <c r="M221" s="11">
        <v>229.7</v>
      </c>
      <c r="N221" s="11">
        <v>202</v>
      </c>
      <c r="O221" s="11">
        <v>257</v>
      </c>
      <c r="P221" s="11">
        <v>120.7</v>
      </c>
      <c r="Q221" s="11">
        <v>108.97</v>
      </c>
      <c r="R221" s="25">
        <f>Oranlar!Y221</f>
        <v>0.9258160237388724</v>
      </c>
      <c r="S221" s="26">
        <f>-Oranlar!O221</f>
        <v>19.5</v>
      </c>
      <c r="T221" s="26">
        <f>-Oranlar!I221</f>
        <v>17.5</v>
      </c>
      <c r="U221" s="27">
        <f>Oranlar!V221</f>
        <v>216.5</v>
      </c>
      <c r="V221" s="27">
        <f>Oranlar!L221</f>
        <v>216.5</v>
      </c>
      <c r="W221" s="28">
        <f>(U221+S221)/2</f>
        <v>118.0</v>
      </c>
      <c r="X221" s="28">
        <f>(U221-S221)/2</f>
        <v>98.5</v>
      </c>
      <c r="Y221" s="16">
        <f>IF(G221=0.5,"",IF((G221&gt;0.5)=(E221&gt;0),1,0))</f>
        <v>1</v>
      </c>
      <c r="Z221" s="16">
        <f>IF(R221=0.5,"",IF((R221&gt;0.5)=(E221&gt;0),1,0))</f>
        <v>1</v>
      </c>
      <c r="AA221" s="29">
        <f>(G221-IF(E221&gt;0,1,0))^2</f>
        <v>0.030276000000000015</v>
      </c>
      <c r="AB221" s="29">
        <f>(R221-IF(E221&gt;0,1,0))^2</f>
        <v>0.005503262333911544</v>
      </c>
      <c r="AC221" s="28">
        <f>ABS(H221-E221)</f>
        <v>4.890000000000001</v>
      </c>
      <c r="AD221" s="28">
        <f>ABS(I221-E221)</f>
        <v>3.3000000000000007</v>
      </c>
      <c r="AE221" s="28">
        <f>ABS(S221-E221)</f>
        <v>13.5</v>
      </c>
      <c r="AF221" s="28">
        <f>ABS(L221-F221)</f>
        <v>1.5800000000000125</v>
      </c>
      <c r="AG221" s="28">
        <f>ABS(M221-F221)</f>
        <v>2.3000000000000114</v>
      </c>
      <c r="AH221" s="28">
        <f>ABS(U221-F221)</f>
        <v>15.5</v>
      </c>
      <c r="AI221" s="28">
        <f>ABS(P221-C221)</f>
        <v>1.7000000000000028</v>
      </c>
      <c r="AJ221" s="28">
        <f>ABS(W221-C221)</f>
        <v>1.0</v>
      </c>
      <c r="AK221" s="28">
        <f>ABS(Q221-D221)</f>
        <v>4.030000000000001</v>
      </c>
      <c r="AL221" s="28">
        <f>ABS(X221-D221)</f>
        <v>14.5</v>
      </c>
      <c r="AM221" s="17" t="str">
        <f>IF(H221&gt;S221,"Ev",IF(H221&lt;S221,"Dep",""))</f>
        <v>Dep</v>
      </c>
      <c r="AN221" s="17" t="str">
        <f>IF(AM221="","",IF(E221=S221,"Push",IF((E221&gt;S221)=(AM221="Ev"),"Kazandı","Kaybetti")))</f>
        <v>Kazandı</v>
      </c>
      <c r="AO221" s="30">
        <f>IF(AM221="","",IF(AN221="Push",0,IF(AN221="Kazandı",IF(AM221="Ev",Oranlar!P221,Oranlar!Q221)-1,-1)))</f>
        <v>0.8695652173913042</v>
      </c>
      <c r="AP221" s="17" t="str">
        <f>IF(L221&gt;U221,"Üst",IF(L221&lt;U221,"Alt",""))</f>
        <v>Üst</v>
      </c>
      <c r="AQ221" s="17" t="str">
        <f>IF(AP221="","",IF(F221=U221,"Push",IF((F221&gt;U221)=(AP221="Üst"),"Kazandı","Kaybetti")))</f>
        <v>Kazandı</v>
      </c>
      <c r="AR221" s="30">
        <f>IF(AP221="","",IF(AQ221="Push",0,IF(AQ221="Kazandı",IF(AP221="Üst",Oranlar!W221,Oranlar!X221)-1,-1)))</f>
        <v>0.8928571428571428</v>
      </c>
      <c r="AS221" s="17" t="str">
        <f>IF(G221*Oranlar!R221&gt;1,"Ev",IF((1-G221)*Oranlar!S221&gt;1,"Dep",""))</f>
        <v>Dep</v>
      </c>
      <c r="AT221" s="30">
        <f>IF(AS221="","",IF((AS221="Ev")=(E221&gt;0),IF(AS221="Ev",Oranlar!R221,Oranlar!S221)-1,-1))</f>
        <v>-1.0</v>
      </c>
      <c r="AU221" s="16">
        <f>IF(OR(H221=T221,S221=T221),"",IF((H221&gt;T221)=(S221&gt;T221),1,0))</f>
        <v>0</v>
      </c>
      <c r="AV221" s="16">
        <f>IF(OR(L221=V221,U221=V221),"",IF((L221&gt;V221)=(U221&gt;V221),1,0))</f>
        <v/>
      </c>
      <c r="AW221" s="16">
        <f>IF(AND(E221&gt;=J221,E221&lt;=K221),1,0)</f>
        <v>1</v>
      </c>
      <c r="AX221" s="16">
        <f>IF(AND(F221&gt;=N221,F221&lt;=O221),1,0)</f>
        <v>1</v>
      </c>
    </row>
    <row r="222" spans="1:50">
      <c r="A222" s="21">
        <f>Oranlar!A222</f>
        <v>46113</v>
      </c>
      <c r="B222" s="22" t="str">
        <f>Oranlar!C222&amp;" @ "&amp;Oranlar!D222</f>
        <v>DEN @ UTA</v>
      </c>
      <c r="C222" s="23">
        <f>Oranlar!F222</f>
        <v>117</v>
      </c>
      <c r="D222" s="23">
        <f>Oranlar!E222</f>
        <v>130</v>
      </c>
      <c r="E222" s="15">
        <f>C222-D222</f>
        <v>-13</v>
      </c>
      <c r="F222" s="16">
        <f>C222+D222</f>
        <v>247</v>
      </c>
      <c r="G222" s="24">
        <v>0.245</v>
      </c>
      <c r="H222" s="10">
        <v>-7.48</v>
      </c>
      <c r="I222" s="10">
        <v>-11</v>
      </c>
      <c r="J222" s="10">
        <v>-30</v>
      </c>
      <c r="K222" s="10">
        <v>8</v>
      </c>
      <c r="L222" s="11">
        <v>246.7</v>
      </c>
      <c r="M222" s="11">
        <v>244.2</v>
      </c>
      <c r="N222" s="11">
        <v>215</v>
      </c>
      <c r="O222" s="11">
        <v>272</v>
      </c>
      <c r="P222" s="11">
        <v>118.44</v>
      </c>
      <c r="Q222" s="11">
        <v>128.4</v>
      </c>
      <c r="R222" s="25">
        <f>Oranlar!Y222</f>
        <v>0.08755760368663595</v>
      </c>
      <c r="S222" s="26">
        <f>-Oranlar!O222</f>
        <v>-17.5</v>
      </c>
      <c r="T222" s="26">
        <f>-Oranlar!I222</f>
        <v>-17.5</v>
      </c>
      <c r="U222" s="27">
        <f>Oranlar!V222</f>
        <v>249.5</v>
      </c>
      <c r="V222" s="27">
        <f>Oranlar!L222</f>
        <v>248.5</v>
      </c>
      <c r="W222" s="28">
        <f>(U222+S222)/2</f>
        <v>116.0</v>
      </c>
      <c r="X222" s="28">
        <f>(U222-S222)/2</f>
        <v>133.5</v>
      </c>
      <c r="Y222" s="16">
        <f>IF(G222=0.5,"",IF((G222&gt;0.5)=(E222&gt;0),1,0))</f>
        <v>1</v>
      </c>
      <c r="Z222" s="16">
        <f>IF(R222=0.5,"",IF((R222&gt;0.5)=(E222&gt;0),1,0))</f>
        <v>1</v>
      </c>
      <c r="AA222" s="29">
        <f>(G222-IF(E222&gt;0,1,0))^2</f>
        <v>0.060024999999999995</v>
      </c>
      <c r="AB222" s="29">
        <f>(R222-IF(E222&gt;0,1,0))^2</f>
        <v>0.007666333963346006</v>
      </c>
      <c r="AC222" s="28">
        <f>ABS(H222-E222)</f>
        <v>5.52</v>
      </c>
      <c r="AD222" s="28">
        <f>ABS(I222-E222)</f>
        <v>2.0</v>
      </c>
      <c r="AE222" s="28">
        <f>ABS(S222-E222)</f>
        <v>4.5</v>
      </c>
      <c r="AF222" s="28">
        <f>ABS(L222-F222)</f>
        <v>0.30000000000001137</v>
      </c>
      <c r="AG222" s="28">
        <f>ABS(M222-F222)</f>
        <v>2.8000000000000114</v>
      </c>
      <c r="AH222" s="28">
        <f>ABS(U222-F222)</f>
        <v>2.5</v>
      </c>
      <c r="AI222" s="28">
        <f>ABS(P222-C222)</f>
        <v>1.4399999999999977</v>
      </c>
      <c r="AJ222" s="28">
        <f>ABS(W222-C222)</f>
        <v>1.0</v>
      </c>
      <c r="AK222" s="28">
        <f>ABS(Q222-D222)</f>
        <v>1.5999999999999943</v>
      </c>
      <c r="AL222" s="28">
        <f>ABS(X222-D222)</f>
        <v>3.5</v>
      </c>
      <c r="AM222" s="17" t="str">
        <f>IF(H222&gt;S222,"Ev",IF(H222&lt;S222,"Dep",""))</f>
        <v>Ev</v>
      </c>
      <c r="AN222" s="17" t="str">
        <f>IF(AM222="","",IF(E222=S222,"Push",IF((E222&gt;S222)=(AM222="Ev"),"Kazandı","Kaybetti")))</f>
        <v>Kazandı</v>
      </c>
      <c r="AO222" s="30">
        <f>IF(AM222="","",IF(AN222="Push",0,IF(AN222="Kazandı",IF(AM222="Ev",Oranlar!P222,Oranlar!Q222)-1,-1)))</f>
        <v>0.8695652173913042</v>
      </c>
      <c r="AP222" s="17" t="str">
        <f>IF(L222&gt;U222,"Üst",IF(L222&lt;U222,"Alt",""))</f>
        <v>Alt</v>
      </c>
      <c r="AQ222" s="17" t="str">
        <f>IF(AP222="","",IF(F222=U222,"Push",IF((F222&gt;U222)=(AP222="Üst"),"Kazandı","Kaybetti")))</f>
        <v>Kazandı</v>
      </c>
      <c r="AR222" s="30">
        <f>IF(AP222="","",IF(AQ222="Push",0,IF(AQ222="Kazandı",IF(AP222="Üst",Oranlar!W222,Oranlar!X222)-1,-1)))</f>
        <v>0.9090909090909092</v>
      </c>
      <c r="AS222" s="17" t="str">
        <f>IF(G222*Oranlar!R222&gt;1,"Ev",IF((1-G222)*Oranlar!S222&gt;1,"Dep",""))</f>
        <v>Ev</v>
      </c>
      <c r="AT222" s="30">
        <f>IF(AS222="","",IF((AS222="Ev")=(E222&gt;0),IF(AS222="Ev",Oranlar!R222,Oranlar!S222)-1,-1))</f>
        <v>-1.0</v>
      </c>
      <c r="AU222" s="16">
        <f>IF(OR(H222=T222,S222=T222),"",IF((H222&gt;T222)=(S222&gt;T222),1,0))</f>
        <v/>
      </c>
      <c r="AV222" s="16">
        <f>IF(OR(L222=V222,U222=V222),"",IF((L222&gt;V222)=(U222&gt;V222),1,0))</f>
        <v>0</v>
      </c>
      <c r="AW222" s="16">
        <f>IF(AND(E222&gt;=J222,E222&lt;=K222),1,0)</f>
        <v>1</v>
      </c>
      <c r="AX222" s="16">
        <f>IF(AND(F222&gt;=N222,F222&lt;=O222),1,0)</f>
        <v>1</v>
      </c>
    </row>
    <row r="223" spans="1:50">
      <c r="A223" s="21">
        <f>Oranlar!A223</f>
        <v>46113</v>
      </c>
      <c r="B223" s="22" t="str">
        <f>Oranlar!C223&amp;" @ "&amp;Oranlar!D223</f>
        <v>SAS @ GSW</v>
      </c>
      <c r="C223" s="23">
        <f>Oranlar!F223</f>
        <v>113</v>
      </c>
      <c r="D223" s="23">
        <f>Oranlar!E223</f>
        <v>127</v>
      </c>
      <c r="E223" s="15">
        <f>C223-D223</f>
        <v>-14</v>
      </c>
      <c r="F223" s="16">
        <f>C223+D223</f>
        <v>240</v>
      </c>
      <c r="G223" s="24">
        <v>0.211</v>
      </c>
      <c r="H223" s="10">
        <v>-10.73</v>
      </c>
      <c r="I223" s="10">
        <v>-6.6</v>
      </c>
      <c r="J223" s="10">
        <v>-25</v>
      </c>
      <c r="K223" s="10">
        <v>12</v>
      </c>
      <c r="L223" s="11">
        <v>230.45</v>
      </c>
      <c r="M223" s="11">
        <v>227.7</v>
      </c>
      <c r="N223" s="11">
        <v>201</v>
      </c>
      <c r="O223" s="11">
        <v>255</v>
      </c>
      <c r="P223" s="11">
        <v>109.88</v>
      </c>
      <c r="Q223" s="11">
        <v>121.64</v>
      </c>
      <c r="R223" s="25">
        <f>Oranlar!Y223</f>
        <v>0.12</v>
      </c>
      <c r="S223" s="26">
        <f>-Oranlar!O223</f>
        <v>-14.5</v>
      </c>
      <c r="T223" s="26">
        <f>-Oranlar!I223</f>
        <v>-11.5</v>
      </c>
      <c r="U223" s="27">
        <f>Oranlar!V223</f>
        <v>228.5</v>
      </c>
      <c r="V223" s="27">
        <f>Oranlar!L223</f>
        <v>227.5</v>
      </c>
      <c r="W223" s="28">
        <f>(U223+S223)/2</f>
        <v>107.0</v>
      </c>
      <c r="X223" s="28">
        <f>(U223-S223)/2</f>
        <v>121.5</v>
      </c>
      <c r="Y223" s="16">
        <f>IF(G223=0.5,"",IF((G223&gt;0.5)=(E223&gt;0),1,0))</f>
        <v>1</v>
      </c>
      <c r="Z223" s="16">
        <f>IF(R223=0.5,"",IF((R223&gt;0.5)=(E223&gt;0),1,0))</f>
        <v>1</v>
      </c>
      <c r="AA223" s="29">
        <f>(G223-IF(E223&gt;0,1,0))^2</f>
        <v>0.044521</v>
      </c>
      <c r="AB223" s="29">
        <f>(R223-IF(E223&gt;0,1,0))^2</f>
        <v>0.0144</v>
      </c>
      <c r="AC223" s="28">
        <f>ABS(H223-E223)</f>
        <v>3.2699999999999996</v>
      </c>
      <c r="AD223" s="28">
        <f>ABS(I223-E223)</f>
        <v>7.4</v>
      </c>
      <c r="AE223" s="28">
        <f>ABS(S223-E223)</f>
        <v>0.5</v>
      </c>
      <c r="AF223" s="28">
        <f>ABS(L223-F223)</f>
        <v>9.550000000000011</v>
      </c>
      <c r="AG223" s="28">
        <f>ABS(M223-F223)</f>
        <v>12.300000000000011</v>
      </c>
      <c r="AH223" s="28">
        <f>ABS(U223-F223)</f>
        <v>11.5</v>
      </c>
      <c r="AI223" s="28">
        <f>ABS(P223-C223)</f>
        <v>3.1200000000000045</v>
      </c>
      <c r="AJ223" s="28">
        <f>ABS(W223-C223)</f>
        <v>6.0</v>
      </c>
      <c r="AK223" s="28">
        <f>ABS(Q223-D223)</f>
        <v>5.359999999999999</v>
      </c>
      <c r="AL223" s="28">
        <f>ABS(X223-D223)</f>
        <v>5.5</v>
      </c>
      <c r="AM223" s="17" t="str">
        <f>IF(H223&gt;S223,"Ev",IF(H223&lt;S223,"Dep",""))</f>
        <v>Ev</v>
      </c>
      <c r="AN223" s="17" t="str">
        <f>IF(AM223="","",IF(E223=S223,"Push",IF((E223&gt;S223)=(AM223="Ev"),"Kazandı","Kaybetti")))</f>
        <v>Kazandı</v>
      </c>
      <c r="AO223" s="30">
        <f>IF(AM223="","",IF(AN223="Push",0,IF(AN223="Kazandı",IF(AM223="Ev",Oranlar!P223,Oranlar!Q223)-1,-1)))</f>
        <v>0.925925925925926</v>
      </c>
      <c r="AP223" s="17" t="str">
        <f>IF(L223&gt;U223,"Üst",IF(L223&lt;U223,"Alt",""))</f>
        <v>Üst</v>
      </c>
      <c r="AQ223" s="17" t="str">
        <f>IF(AP223="","",IF(F223=U223,"Push",IF((F223&gt;U223)=(AP223="Üst"),"Kazandı","Kaybetti")))</f>
        <v>Kazandı</v>
      </c>
      <c r="AR223" s="30">
        <f>IF(AP223="","",IF(AQ223="Push",0,IF(AQ223="Kazandı",IF(AP223="Üst",Oranlar!W223,Oranlar!X223)-1,-1)))</f>
        <v>0.9523809523809523</v>
      </c>
      <c r="AS223" s="17" t="str">
        <f>IF(G223*Oranlar!R223&gt;1,"Ev",IF((1-G223)*Oranlar!S223&gt;1,"Dep",""))</f>
        <v>Ev</v>
      </c>
      <c r="AT223" s="30">
        <f>IF(AS223="","",IF((AS223="Ev")=(E223&gt;0),IF(AS223="Ev",Oranlar!R223,Oranlar!S223)-1,-1))</f>
        <v>-1.0</v>
      </c>
      <c r="AU223" s="16">
        <f>IF(OR(H223=T223,S223=T223),"",IF((H223&gt;T223)=(S223&gt;T223),1,0))</f>
        <v>0</v>
      </c>
      <c r="AV223" s="16">
        <f>IF(OR(L223=V223,U223=V223),"",IF((L223&gt;V223)=(U223&gt;V223),1,0))</f>
        <v>1</v>
      </c>
      <c r="AW223" s="16">
        <f>IF(AND(E223&gt;=J223,E223&lt;=K223),1,0)</f>
        <v>1</v>
      </c>
      <c r="AX223" s="16">
        <f>IF(AND(F223&gt;=N223,F223&lt;=O223),1,0)</f>
        <v>1</v>
      </c>
    </row>
    <row r="224" spans="1:50">
      <c r="A224" s="21">
        <f>Oranlar!A224</f>
        <v>46114</v>
      </c>
      <c r="B224" s="22" t="str">
        <f>Oranlar!C224&amp;" @ "&amp;Oranlar!D224</f>
        <v>PHX @ CHA</v>
      </c>
      <c r="C224" s="23">
        <f>Oranlar!F224</f>
        <v>127</v>
      </c>
      <c r="D224" s="23">
        <f>Oranlar!E224</f>
        <v>107</v>
      </c>
      <c r="E224" s="15">
        <f>C224-D224</f>
        <v>20</v>
      </c>
      <c r="F224" s="16">
        <f>C224+D224</f>
        <v>234</v>
      </c>
      <c r="G224" s="24">
        <v>0.639</v>
      </c>
      <c r="H224" s="10">
        <v>8.960000000000001</v>
      </c>
      <c r="I224" s="10">
        <v>4</v>
      </c>
      <c r="J224" s="10">
        <v>-14</v>
      </c>
      <c r="K224" s="10">
        <v>23</v>
      </c>
      <c r="L224" s="11">
        <v>224.4</v>
      </c>
      <c r="M224" s="11">
        <v>230.2</v>
      </c>
      <c r="N224" s="11">
        <v>203</v>
      </c>
      <c r="O224" s="11">
        <v>258</v>
      </c>
      <c r="P224" s="11">
        <v>115.47</v>
      </c>
      <c r="Q224" s="11">
        <v>110.74</v>
      </c>
      <c r="R224" s="25">
        <f>Oranlar!Y224</f>
        <v>0.6690070210631895</v>
      </c>
      <c r="S224" s="26">
        <f>-Oranlar!O224</f>
        <v>5.5</v>
      </c>
      <c r="T224" s="26">
        <f>-Oranlar!I224</f>
        <v>5.5</v>
      </c>
      <c r="U224" s="27">
        <f>Oranlar!V224</f>
        <v>227.5</v>
      </c>
      <c r="V224" s="27">
        <f>Oranlar!L224</f>
        <v>220.5</v>
      </c>
      <c r="W224" s="28">
        <f>(U224+S224)/2</f>
        <v>116.5</v>
      </c>
      <c r="X224" s="28">
        <f>(U224-S224)/2</f>
        <v>111.0</v>
      </c>
      <c r="Y224" s="16">
        <f>IF(G224=0.5,"",IF((G224&gt;0.5)=(E224&gt;0),1,0))</f>
        <v>1</v>
      </c>
      <c r="Z224" s="16">
        <f>IF(R224=0.5,"",IF((R224&gt;0.5)=(E224&gt;0),1,0))</f>
        <v>1</v>
      </c>
      <c r="AA224" s="29">
        <f>(G224-IF(E224&gt;0,1,0))^2</f>
        <v>0.130321</v>
      </c>
      <c r="AB224" s="29">
        <f>(R224-IF(E224&gt;0,1,0))^2</f>
        <v>0.10955635210546386</v>
      </c>
      <c r="AC224" s="28">
        <f>ABS(H224-E224)</f>
        <v>11.04</v>
      </c>
      <c r="AD224" s="28">
        <f>ABS(I224-E224)</f>
        <v>16.0</v>
      </c>
      <c r="AE224" s="28">
        <f>ABS(S224-E224)</f>
        <v>14.5</v>
      </c>
      <c r="AF224" s="28">
        <f>ABS(L224-F224)</f>
        <v>9.599999999999994</v>
      </c>
      <c r="AG224" s="28">
        <f>ABS(M224-F224)</f>
        <v>3.8000000000000114</v>
      </c>
      <c r="AH224" s="28">
        <f>ABS(U224-F224)</f>
        <v>6.5</v>
      </c>
      <c r="AI224" s="28">
        <f>ABS(P224-C224)</f>
        <v>11.530000000000001</v>
      </c>
      <c r="AJ224" s="28">
        <f>ABS(W224-C224)</f>
        <v>10.5</v>
      </c>
      <c r="AK224" s="28">
        <f>ABS(Q224-D224)</f>
        <v>3.739999999999995</v>
      </c>
      <c r="AL224" s="28">
        <f>ABS(X224-D224)</f>
        <v>4.0</v>
      </c>
      <c r="AM224" s="17" t="str">
        <f>IF(H224&gt;S224,"Ev",IF(H224&lt;S224,"Dep",""))</f>
        <v>Ev</v>
      </c>
      <c r="AN224" s="17" t="str">
        <f>IF(AM224="","",IF(E224=S224,"Push",IF((E224&gt;S224)=(AM224="Ev"),"Kazandı","Kaybetti")))</f>
        <v>Kazandı</v>
      </c>
      <c r="AO224" s="30">
        <f>IF(AM224="","",IF(AN224="Push",0,IF(AN224="Kazandı",IF(AM224="Ev",Oranlar!P224,Oranlar!Q224)-1,-1)))</f>
        <v>0.8928571428571428</v>
      </c>
      <c r="AP224" s="17" t="str">
        <f>IF(L224&gt;U224,"Üst",IF(L224&lt;U224,"Alt",""))</f>
        <v>Alt</v>
      </c>
      <c r="AQ224" s="17" t="str">
        <f>IF(AP224="","",IF(F224=U224,"Push",IF((F224&gt;U224)=(AP224="Üst"),"Kazandı","Kaybetti")))</f>
        <v>Kaybetti</v>
      </c>
      <c r="AR224" s="30">
        <f>IF(AP224="","",IF(AQ224="Push",0,IF(AQ224="Kazandı",IF(AP224="Üst",Oranlar!W224,Oranlar!X224)-1,-1)))</f>
        <v>-1.0</v>
      </c>
      <c r="AS224" s="17" t="str">
        <f>IF(G224*Oranlar!R224&gt;1,"Ev",IF((1-G224)*Oranlar!S224&gt;1,"Dep",""))</f>
        <v>Dep</v>
      </c>
      <c r="AT224" s="30">
        <f>IF(AS224="","",IF((AS224="Ev")=(E224&gt;0),IF(AS224="Ev",Oranlar!R224,Oranlar!S224)-1,-1))</f>
        <v>-1.0</v>
      </c>
      <c r="AU224" s="16">
        <f>IF(OR(H224=T224,S224=T224),"",IF((H224&gt;T224)=(S224&gt;T224),1,0))</f>
        <v/>
      </c>
      <c r="AV224" s="16">
        <f>IF(OR(L224=V224,U224=V224),"",IF((L224&gt;V224)=(U224&gt;V224),1,0))</f>
        <v>1</v>
      </c>
      <c r="AW224" s="16">
        <f>IF(AND(E224&gt;=J224,E224&lt;=K224),1,0)</f>
        <v>1</v>
      </c>
      <c r="AX224" s="16">
        <f>IF(AND(F224&gt;=N224,F224&lt;=O224),1,0)</f>
        <v>1</v>
      </c>
    </row>
    <row r="225" spans="1:50">
      <c r="A225" s="21">
        <f>Oranlar!A225</f>
        <v>46114</v>
      </c>
      <c r="B225" s="22" t="str">
        <f>Oranlar!C225&amp;" @ "&amp;Oranlar!D225</f>
        <v>MIN @ DET</v>
      </c>
      <c r="C225" s="23">
        <f>Oranlar!F225</f>
        <v>113</v>
      </c>
      <c r="D225" s="23">
        <f>Oranlar!E225</f>
        <v>108</v>
      </c>
      <c r="E225" s="15">
        <f>C225-D225</f>
        <v>5</v>
      </c>
      <c r="F225" s="16">
        <f>C225+D225</f>
        <v>221</v>
      </c>
      <c r="G225" s="24">
        <v>0.621</v>
      </c>
      <c r="H225" s="10">
        <v>3.39</v>
      </c>
      <c r="I225" s="10">
        <v>5.3</v>
      </c>
      <c r="J225" s="10">
        <v>-13</v>
      </c>
      <c r="K225" s="10">
        <v>24</v>
      </c>
      <c r="L225" s="11">
        <v>225.98</v>
      </c>
      <c r="M225" s="11">
        <v>229.5</v>
      </c>
      <c r="N225" s="11">
        <v>202</v>
      </c>
      <c r="O225" s="11">
        <v>257</v>
      </c>
      <c r="P225" s="11">
        <v>116.55</v>
      </c>
      <c r="Q225" s="11">
        <v>111.45</v>
      </c>
      <c r="R225" s="25">
        <f>Oranlar!Y225</f>
        <v>0.644729178800233</v>
      </c>
      <c r="S225" s="26">
        <f>-Oranlar!O225</f>
        <v>5.5</v>
      </c>
      <c r="T225" s="26">
        <f>-Oranlar!I225</f>
        <v>2.5</v>
      </c>
      <c r="U225" s="27">
        <f>Oranlar!V225</f>
        <v>220.5</v>
      </c>
      <c r="V225" s="27">
        <f>Oranlar!L225</f>
        <v>223.5</v>
      </c>
      <c r="W225" s="28">
        <f>(U225+S225)/2</f>
        <v>113.0</v>
      </c>
      <c r="X225" s="28">
        <f>(U225-S225)/2</f>
        <v>107.5</v>
      </c>
      <c r="Y225" s="16">
        <f>IF(G225=0.5,"",IF((G225&gt;0.5)=(E225&gt;0),1,0))</f>
        <v>1</v>
      </c>
      <c r="Z225" s="16">
        <f>IF(R225=0.5,"",IF((R225&gt;0.5)=(E225&gt;0),1,0))</f>
        <v>1</v>
      </c>
      <c r="AA225" s="29">
        <f>(G225-IF(E225&gt;0,1,0))^2</f>
        <v>0.143641</v>
      </c>
      <c r="AB225" s="29">
        <f>(R225-IF(E225&gt;0,1,0))^2</f>
        <v>0.12621735639595685</v>
      </c>
      <c r="AC225" s="28">
        <f>ABS(H225-E225)</f>
        <v>1.6099999999999999</v>
      </c>
      <c r="AD225" s="28">
        <f>ABS(I225-E225)</f>
        <v>0.2999999999999998</v>
      </c>
      <c r="AE225" s="28">
        <f>ABS(S225-E225)</f>
        <v>0.5</v>
      </c>
      <c r="AF225" s="28">
        <f>ABS(L225-F225)</f>
        <v>4.97999999999999</v>
      </c>
      <c r="AG225" s="28">
        <f>ABS(M225-F225)</f>
        <v>8.5</v>
      </c>
      <c r="AH225" s="28">
        <f>ABS(U225-F225)</f>
        <v>0.5</v>
      </c>
      <c r="AI225" s="28">
        <f>ABS(P225-C225)</f>
        <v>3.549999999999997</v>
      </c>
      <c r="AJ225" s="28">
        <f>ABS(W225-C225)</f>
        <v>0.0</v>
      </c>
      <c r="AK225" s="28">
        <f>ABS(Q225-D225)</f>
        <v>3.450000000000003</v>
      </c>
      <c r="AL225" s="28">
        <f>ABS(X225-D225)</f>
        <v>0.5</v>
      </c>
      <c r="AM225" s="17" t="str">
        <f>IF(H225&gt;S225,"Ev",IF(H225&lt;S225,"Dep",""))</f>
        <v>Dep</v>
      </c>
      <c r="AN225" s="17" t="str">
        <f>IF(AM225="","",IF(E225=S225,"Push",IF((E225&gt;S225)=(AM225="Ev"),"Kazandı","Kaybetti")))</f>
        <v>Kazandı</v>
      </c>
      <c r="AO225" s="30">
        <f>IF(AM225="","",IF(AN225="Push",0,IF(AN225="Kazandı",IF(AM225="Ev",Oranlar!P225,Oranlar!Q225)-1,-1)))</f>
        <v>0.9090909090909092</v>
      </c>
      <c r="AP225" s="17" t="str">
        <f>IF(L225&gt;U225,"Üst",IF(L225&lt;U225,"Alt",""))</f>
        <v>Üst</v>
      </c>
      <c r="AQ225" s="17" t="str">
        <f>IF(AP225="","",IF(F225=U225,"Push",IF((F225&gt;U225)=(AP225="Üst"),"Kazandı","Kaybetti")))</f>
        <v>Kazandı</v>
      </c>
      <c r="AR225" s="30">
        <f>IF(AP225="","",IF(AQ225="Push",0,IF(AQ225="Kazandı",IF(AP225="Üst",Oranlar!W225,Oranlar!X225)-1,-1)))</f>
        <v>0.8928571428571428</v>
      </c>
      <c r="AS225" s="17" t="str">
        <f>IF(G225*Oranlar!R225&gt;1,"Ev",IF((1-G225)*Oranlar!S225&gt;1,"Dep",""))</f>
        <v>Dep</v>
      </c>
      <c r="AT225" s="30">
        <f>IF(AS225="","",IF((AS225="Ev")=(E225&gt;0),IF(AS225="Ev",Oranlar!R225,Oranlar!S225)-1,-1))</f>
        <v>-1.0</v>
      </c>
      <c r="AU225" s="16">
        <f>IF(OR(H225=T225,S225=T225),"",IF((H225&gt;T225)=(S225&gt;T225),1,0))</f>
        <v>1</v>
      </c>
      <c r="AV225" s="16">
        <f>IF(OR(L225=V225,U225=V225),"",IF((L225&gt;V225)=(U225&gt;V225),1,0))</f>
        <v>0</v>
      </c>
      <c r="AW225" s="16">
        <f>IF(AND(E225&gt;=J225,E225&lt;=K225),1,0)</f>
        <v>1</v>
      </c>
      <c r="AX225" s="16">
        <f>IF(AND(F225&gt;=N225,F225&lt;=O225),1,0)</f>
        <v>1</v>
      </c>
    </row>
    <row r="226" spans="1:50">
      <c r="A226" s="21">
        <f>Oranlar!A226</f>
        <v>46114</v>
      </c>
      <c r="B226" s="22" t="str">
        <f>Oranlar!C226&amp;" @ "&amp;Oranlar!D226</f>
        <v>LAL @ OKC</v>
      </c>
      <c r="C226" s="23">
        <f>Oranlar!F226</f>
        <v>139</v>
      </c>
      <c r="D226" s="23">
        <f>Oranlar!E226</f>
        <v>96</v>
      </c>
      <c r="E226" s="15">
        <f>C226-D226</f>
        <v>43</v>
      </c>
      <c r="F226" s="16">
        <f>C226+D226</f>
        <v>235</v>
      </c>
      <c r="G226" s="24">
        <v>0.717</v>
      </c>
      <c r="H226" s="10">
        <v>10.7</v>
      </c>
      <c r="I226" s="10">
        <v>7.7</v>
      </c>
      <c r="J226" s="10">
        <v>-10</v>
      </c>
      <c r="K226" s="10">
        <v>26</v>
      </c>
      <c r="L226" s="11">
        <v>226.8</v>
      </c>
      <c r="M226" s="11">
        <v>225.7</v>
      </c>
      <c r="N226" s="11">
        <v>199</v>
      </c>
      <c r="O226" s="11">
        <v>253</v>
      </c>
      <c r="P226" s="11">
        <v>117.71</v>
      </c>
      <c r="Q226" s="11">
        <v>110.38</v>
      </c>
      <c r="R226" s="25">
        <f>Oranlar!Y226</f>
        <v>0.76</v>
      </c>
      <c r="S226" s="26">
        <f>-Oranlar!O226</f>
        <v>9.5</v>
      </c>
      <c r="T226" s="26">
        <f>-Oranlar!I226</f>
        <v>7.5</v>
      </c>
      <c r="U226" s="27">
        <f>Oranlar!V226</f>
        <v>233.5</v>
      </c>
      <c r="V226" s="27">
        <f>Oranlar!L226</f>
        <v>228.5</v>
      </c>
      <c r="W226" s="28">
        <f>(U226+S226)/2</f>
        <v>121.5</v>
      </c>
      <c r="X226" s="28">
        <f>(U226-S226)/2</f>
        <v>112.0</v>
      </c>
      <c r="Y226" s="16">
        <f>IF(G226=0.5,"",IF((G226&gt;0.5)=(E226&gt;0),1,0))</f>
        <v>1</v>
      </c>
      <c r="Z226" s="16">
        <f>IF(R226=0.5,"",IF((R226&gt;0.5)=(E226&gt;0),1,0))</f>
        <v>1</v>
      </c>
      <c r="AA226" s="29">
        <f>(G226-IF(E226&gt;0,1,0))^2</f>
        <v>0.08008900000000002</v>
      </c>
      <c r="AB226" s="29">
        <f>(R226-IF(E226&gt;0,1,0))^2</f>
        <v>0.0576</v>
      </c>
      <c r="AC226" s="28">
        <f>ABS(H226-E226)</f>
        <v>32.3</v>
      </c>
      <c r="AD226" s="28">
        <f>ABS(I226-E226)</f>
        <v>35.3</v>
      </c>
      <c r="AE226" s="28">
        <f>ABS(S226-E226)</f>
        <v>33.5</v>
      </c>
      <c r="AF226" s="28">
        <f>ABS(L226-F226)</f>
        <v>8.199999999999989</v>
      </c>
      <c r="AG226" s="28">
        <f>ABS(M226-F226)</f>
        <v>9.300000000000011</v>
      </c>
      <c r="AH226" s="28">
        <f>ABS(U226-F226)</f>
        <v>1.5</v>
      </c>
      <c r="AI226" s="28">
        <f>ABS(P226-C226)</f>
        <v>21.290000000000006</v>
      </c>
      <c r="AJ226" s="28">
        <f>ABS(W226-C226)</f>
        <v>17.5</v>
      </c>
      <c r="AK226" s="28">
        <f>ABS(Q226-D226)</f>
        <v>14.379999999999995</v>
      </c>
      <c r="AL226" s="28">
        <f>ABS(X226-D226)</f>
        <v>16.0</v>
      </c>
      <c r="AM226" s="17" t="str">
        <f>IF(H226&gt;S226,"Ev",IF(H226&lt;S226,"Dep",""))</f>
        <v>Ev</v>
      </c>
      <c r="AN226" s="17" t="str">
        <f>IF(AM226="","",IF(E226=S226,"Push",IF((E226&gt;S226)=(AM226="Ev"),"Kazandı","Kaybetti")))</f>
        <v>Kazandı</v>
      </c>
      <c r="AO226" s="30">
        <f>IF(AM226="","",IF(AN226="Push",0,IF(AN226="Kazandı",IF(AM226="Ev",Oranlar!P226,Oranlar!Q226)-1,-1)))</f>
        <v>0.925925925925926</v>
      </c>
      <c r="AP226" s="17" t="str">
        <f>IF(L226&gt;U226,"Üst",IF(L226&lt;U226,"Alt",""))</f>
        <v>Alt</v>
      </c>
      <c r="AQ226" s="17" t="str">
        <f>IF(AP226="","",IF(F226=U226,"Push",IF((F226&gt;U226)=(AP226="Üst"),"Kazandı","Kaybetti")))</f>
        <v>Kaybetti</v>
      </c>
      <c r="AR226" s="30">
        <f>IF(AP226="","",IF(AQ226="Push",0,IF(AQ226="Kazandı",IF(AP226="Üst",Oranlar!W226,Oranlar!X226)-1,-1)))</f>
        <v>-1.0</v>
      </c>
      <c r="AS226" s="17" t="str">
        <f>IF(G226*Oranlar!R226&gt;1,"Ev",IF((1-G226)*Oranlar!S226&gt;1,"Dep",""))</f>
        <v>Dep</v>
      </c>
      <c r="AT226" s="30">
        <f>IF(AS226="","",IF((AS226="Ev")=(E226&gt;0),IF(AS226="Ev",Oranlar!R226,Oranlar!S226)-1,-1))</f>
        <v>-1.0</v>
      </c>
      <c r="AU226" s="16">
        <f>IF(OR(H226=T226,S226=T226),"",IF((H226&gt;T226)=(S226&gt;T226),1,0))</f>
        <v>1</v>
      </c>
      <c r="AV226" s="16">
        <f>IF(OR(L226=V226,U226=V226),"",IF((L226&gt;V226)=(U226&gt;V226),1,0))</f>
        <v>0</v>
      </c>
      <c r="AW226" s="16">
        <f>IF(AND(E226&gt;=J226,E226&lt;=K226),1,0)</f>
        <v>0</v>
      </c>
      <c r="AX226" s="16">
        <f>IF(AND(F226&gt;=N226,F226&lt;=O226),1,0)</f>
        <v>1</v>
      </c>
    </row>
    <row r="227" spans="1:50">
      <c r="A227" s="21">
        <f>Oranlar!A227</f>
        <v>46114</v>
      </c>
      <c r="B227" s="22" t="str">
        <f>Oranlar!C227&amp;" @ "&amp;Oranlar!D227</f>
        <v>CLE @ GSW</v>
      </c>
      <c r="C227" s="23">
        <f>Oranlar!F227</f>
        <v>111</v>
      </c>
      <c r="D227" s="23">
        <f>Oranlar!E227</f>
        <v>118</v>
      </c>
      <c r="E227" s="15">
        <f>C227-D227</f>
        <v>-7</v>
      </c>
      <c r="F227" s="16">
        <f>C227+D227</f>
        <v>229</v>
      </c>
      <c r="G227" s="24">
        <v>0.329</v>
      </c>
      <c r="H227" s="10">
        <v>-3.42</v>
      </c>
      <c r="I227" s="10">
        <v>-3.7</v>
      </c>
      <c r="J227" s="10">
        <v>-23</v>
      </c>
      <c r="K227" s="10">
        <v>15</v>
      </c>
      <c r="L227" s="11">
        <v>237.65</v>
      </c>
      <c r="M227" s="11">
        <v>239.4</v>
      </c>
      <c r="N227" s="11">
        <v>211</v>
      </c>
      <c r="O227" s="11">
        <v>267</v>
      </c>
      <c r="P227" s="11">
        <v>115.9</v>
      </c>
      <c r="Q227" s="11">
        <v>121.09</v>
      </c>
      <c r="R227" s="25">
        <f>Oranlar!Y227</f>
        <v>0.2042241228835748</v>
      </c>
      <c r="S227" s="26">
        <f>-Oranlar!O227</f>
        <v>-10.5</v>
      </c>
      <c r="T227" s="26">
        <f>-Oranlar!I227</f>
        <v>-10.5</v>
      </c>
      <c r="U227" s="27">
        <f>Oranlar!V227</f>
        <v>230.5</v>
      </c>
      <c r="V227" s="27">
        <f>Oranlar!L227</f>
        <v>226.5</v>
      </c>
      <c r="W227" s="28">
        <f>(U227+S227)/2</f>
        <v>110.0</v>
      </c>
      <c r="X227" s="28">
        <f>(U227-S227)/2</f>
        <v>120.5</v>
      </c>
      <c r="Y227" s="16">
        <f>IF(G227=0.5,"",IF((G227&gt;0.5)=(E227&gt;0),1,0))</f>
        <v>1</v>
      </c>
      <c r="Z227" s="16">
        <f>IF(R227=0.5,"",IF((R227&gt;0.5)=(E227&gt;0),1,0))</f>
        <v>1</v>
      </c>
      <c r="AA227" s="29">
        <f>(G227-IF(E227&gt;0,1,0))^2</f>
        <v>0.108241</v>
      </c>
      <c r="AB227" s="29">
        <f>(R227-IF(E227&gt;0,1,0))^2</f>
        <v>0.04170749236756546</v>
      </c>
      <c r="AC227" s="28">
        <f>ABS(H227-E227)</f>
        <v>3.58</v>
      </c>
      <c r="AD227" s="28">
        <f>ABS(I227-E227)</f>
        <v>3.3</v>
      </c>
      <c r="AE227" s="28">
        <f>ABS(S227-E227)</f>
        <v>3.5</v>
      </c>
      <c r="AF227" s="28">
        <f>ABS(L227-F227)</f>
        <v>8.650000000000006</v>
      </c>
      <c r="AG227" s="28">
        <f>ABS(M227-F227)</f>
        <v>10.400000000000006</v>
      </c>
      <c r="AH227" s="28">
        <f>ABS(U227-F227)</f>
        <v>1.5</v>
      </c>
      <c r="AI227" s="28">
        <f>ABS(P227-C227)</f>
        <v>4.900000000000006</v>
      </c>
      <c r="AJ227" s="28">
        <f>ABS(W227-C227)</f>
        <v>1.0</v>
      </c>
      <c r="AK227" s="28">
        <f>ABS(Q227-D227)</f>
        <v>3.0900000000000034</v>
      </c>
      <c r="AL227" s="28">
        <f>ABS(X227-D227)</f>
        <v>2.5</v>
      </c>
      <c r="AM227" s="17" t="str">
        <f>IF(H227&gt;S227,"Ev",IF(H227&lt;S227,"Dep",""))</f>
        <v>Ev</v>
      </c>
      <c r="AN227" s="17" t="str">
        <f>IF(AM227="","",IF(E227=S227,"Push",IF((E227&gt;S227)=(AM227="Ev"),"Kazandı","Kaybetti")))</f>
        <v>Kazandı</v>
      </c>
      <c r="AO227" s="30">
        <f>IF(AM227="","",IF(AN227="Push",0,IF(AN227="Kazandı",IF(AM227="Ev",Oranlar!P227,Oranlar!Q227)-1,-1)))</f>
        <v>0.8928571428571428</v>
      </c>
      <c r="AP227" s="17" t="str">
        <f>IF(L227&gt;U227,"Üst",IF(L227&lt;U227,"Alt",""))</f>
        <v>Üst</v>
      </c>
      <c r="AQ227" s="17" t="str">
        <f>IF(AP227="","",IF(F227=U227,"Push",IF((F227&gt;U227)=(AP227="Üst"),"Kazandı","Kaybetti")))</f>
        <v>Kaybetti</v>
      </c>
      <c r="AR227" s="30">
        <f>IF(AP227="","",IF(AQ227="Push",0,IF(AQ227="Kazandı",IF(AP227="Üst",Oranlar!W227,Oranlar!X227)-1,-1)))</f>
        <v>-1.0</v>
      </c>
      <c r="AS227" s="17" t="str">
        <f>IF(G227*Oranlar!R227&gt;1,"Ev",IF((1-G227)*Oranlar!S227&gt;1,"Dep",""))</f>
        <v>Ev</v>
      </c>
      <c r="AT227" s="30">
        <f>IF(AS227="","",IF((AS227="Ev")=(E227&gt;0),IF(AS227="Ev",Oranlar!R227,Oranlar!S227)-1,-1))</f>
        <v>-1.0</v>
      </c>
      <c r="AU227" s="16">
        <f>IF(OR(H227=T227,S227=T227),"",IF((H227&gt;T227)=(S227&gt;T227),1,0))</f>
        <v/>
      </c>
      <c r="AV227" s="16">
        <f>IF(OR(L227=V227,U227=V227),"",IF((L227&gt;V227)=(U227&gt;V227),1,0))</f>
        <v>1</v>
      </c>
      <c r="AW227" s="16">
        <f>IF(AND(E227&gt;=J227,E227&lt;=K227),1,0)</f>
        <v>1</v>
      </c>
      <c r="AX227" s="16">
        <f>IF(AND(F227&gt;=N227,F227&lt;=O227),1,0)</f>
        <v>1</v>
      </c>
    </row>
    <row r="228" spans="1:50">
      <c r="A228" s="21">
        <f>Oranlar!A228</f>
        <v>46114</v>
      </c>
      <c r="B228" s="22" t="str">
        <f>Oranlar!C228&amp;" @ "&amp;Oranlar!D228</f>
        <v>NOP @ POR</v>
      </c>
      <c r="C228" s="23">
        <f>Oranlar!F228</f>
        <v>118</v>
      </c>
      <c r="D228" s="23">
        <f>Oranlar!E228</f>
        <v>106</v>
      </c>
      <c r="E228" s="15">
        <f>C228-D228</f>
        <v>12</v>
      </c>
      <c r="F228" s="16">
        <f>C228+D228</f>
        <v>224</v>
      </c>
      <c r="G228" s="24">
        <v>0.611</v>
      </c>
      <c r="H228" s="10">
        <v>3.63</v>
      </c>
      <c r="I228" s="10">
        <v>5.5</v>
      </c>
      <c r="J228" s="10">
        <v>-13</v>
      </c>
      <c r="K228" s="10">
        <v>24</v>
      </c>
      <c r="L228" s="11">
        <v>227.19</v>
      </c>
      <c r="M228" s="11">
        <v>227.2</v>
      </c>
      <c r="N228" s="11">
        <v>200</v>
      </c>
      <c r="O228" s="11">
        <v>254</v>
      </c>
      <c r="P228" s="11">
        <v>114.53</v>
      </c>
      <c r="Q228" s="11">
        <v>110.46</v>
      </c>
      <c r="R228" s="25">
        <f>Oranlar!Y228</f>
        <v>0.6805555555555556</v>
      </c>
      <c r="S228" s="26">
        <f>-Oranlar!O228</f>
        <v>5.5</v>
      </c>
      <c r="T228" s="26">
        <f>-Oranlar!I228</f>
        <v>6.5</v>
      </c>
      <c r="U228" s="27">
        <f>Oranlar!V228</f>
        <v>235.5</v>
      </c>
      <c r="V228" s="27">
        <f>Oranlar!L228</f>
        <v>231.5</v>
      </c>
      <c r="W228" s="28">
        <f>(U228+S228)/2</f>
        <v>120.5</v>
      </c>
      <c r="X228" s="28">
        <f>(U228-S228)/2</f>
        <v>115.0</v>
      </c>
      <c r="Y228" s="16">
        <f>IF(G228=0.5,"",IF((G228&gt;0.5)=(E228&gt;0),1,0))</f>
        <v>1</v>
      </c>
      <c r="Z228" s="16">
        <f>IF(R228=0.5,"",IF((R228&gt;0.5)=(E228&gt;0),1,0))</f>
        <v>1</v>
      </c>
      <c r="AA228" s="29">
        <f>(G228-IF(E228&gt;0,1,0))^2</f>
        <v>0.151321</v>
      </c>
      <c r="AB228" s="29">
        <f>(R228-IF(E228&gt;0,1,0))^2</f>
        <v>0.10204475308641973</v>
      </c>
      <c r="AC228" s="28">
        <f>ABS(H228-E228)</f>
        <v>8.370000000000001</v>
      </c>
      <c r="AD228" s="28">
        <f>ABS(I228-E228)</f>
        <v>6.5</v>
      </c>
      <c r="AE228" s="28">
        <f>ABS(S228-E228)</f>
        <v>6.5</v>
      </c>
      <c r="AF228" s="28">
        <f>ABS(L228-F228)</f>
        <v>3.1899999999999977</v>
      </c>
      <c r="AG228" s="28">
        <f>ABS(M228-F228)</f>
        <v>3.1999999999999886</v>
      </c>
      <c r="AH228" s="28">
        <f>ABS(U228-F228)</f>
        <v>11.5</v>
      </c>
      <c r="AI228" s="28">
        <f>ABS(P228-C228)</f>
        <v>3.469999999999999</v>
      </c>
      <c r="AJ228" s="28">
        <f>ABS(W228-C228)</f>
        <v>2.5</v>
      </c>
      <c r="AK228" s="28">
        <f>ABS(Q228-D228)</f>
        <v>4.459999999999994</v>
      </c>
      <c r="AL228" s="28">
        <f>ABS(X228-D228)</f>
        <v>9.0</v>
      </c>
      <c r="AM228" s="17" t="str">
        <f>IF(H228&gt;S228,"Ev",IF(H228&lt;S228,"Dep",""))</f>
        <v>Dep</v>
      </c>
      <c r="AN228" s="17" t="str">
        <f>IF(AM228="","",IF(E228=S228,"Push",IF((E228&gt;S228)=(AM228="Ev"),"Kazandı","Kaybetti")))</f>
        <v>Kaybetti</v>
      </c>
      <c r="AO228" s="30">
        <f>IF(AM228="","",IF(AN228="Push",0,IF(AN228="Kazandı",IF(AM228="Ev",Oranlar!P228,Oranlar!Q228)-1,-1)))</f>
        <v>-1.0</v>
      </c>
      <c r="AP228" s="17" t="str">
        <f>IF(L228&gt;U228,"Üst",IF(L228&lt;U228,"Alt",""))</f>
        <v>Alt</v>
      </c>
      <c r="AQ228" s="17" t="str">
        <f>IF(AP228="","",IF(F228=U228,"Push",IF((F228&gt;U228)=(AP228="Üst"),"Kazandı","Kaybetti")))</f>
        <v>Kazandı</v>
      </c>
      <c r="AR228" s="30">
        <f>IF(AP228="","",IF(AQ228="Push",0,IF(AQ228="Kazandı",IF(AP228="Üst",Oranlar!W228,Oranlar!X228)-1,-1)))</f>
        <v>0.8695652173913042</v>
      </c>
      <c r="AS228" s="17" t="str">
        <f>IF(G228*Oranlar!R228&gt;1,"Ev",IF((1-G228)*Oranlar!S228&gt;1,"Dep",""))</f>
        <v>Dep</v>
      </c>
      <c r="AT228" s="30">
        <f>IF(AS228="","",IF((AS228="Ev")=(E228&gt;0),IF(AS228="Ev",Oranlar!R228,Oranlar!S228)-1,-1))</f>
        <v>-1.0</v>
      </c>
      <c r="AU228" s="16">
        <f>IF(OR(H228=T228,S228=T228),"",IF((H228&gt;T228)=(S228&gt;T228),1,0))</f>
        <v>1</v>
      </c>
      <c r="AV228" s="16">
        <f>IF(OR(L228=V228,U228=V228),"",IF((L228&gt;V228)=(U228&gt;V228),1,0))</f>
        <v>0</v>
      </c>
      <c r="AW228" s="16">
        <f>IF(AND(E228&gt;=J228,E228&lt;=K228),1,0)</f>
        <v>1</v>
      </c>
      <c r="AX228" s="16">
        <f>IF(AND(F228&gt;=N228,F228&lt;=O228),1,0)</f>
        <v>1</v>
      </c>
    </row>
    <row r="229" spans="1:50">
      <c r="A229" s="21">
        <f>Oranlar!A229</f>
        <v>46114</v>
      </c>
      <c r="B229" s="22" t="str">
        <f>Oranlar!C229&amp;" @ "&amp;Oranlar!D229</f>
        <v>SAS @ LAC</v>
      </c>
      <c r="C229" s="23">
        <f>Oranlar!F229</f>
        <v>99</v>
      </c>
      <c r="D229" s="23">
        <f>Oranlar!E229</f>
        <v>118</v>
      </c>
      <c r="E229" s="15">
        <f>C229-D229</f>
        <v>-19</v>
      </c>
      <c r="F229" s="16">
        <f>C229+D229</f>
        <v>217</v>
      </c>
      <c r="G229" s="24">
        <v>0.512</v>
      </c>
      <c r="H229" s="10">
        <v>0.8100000000000001</v>
      </c>
      <c r="I229" s="10">
        <v>0.8</v>
      </c>
      <c r="J229" s="10">
        <v>-17</v>
      </c>
      <c r="K229" s="10">
        <v>19</v>
      </c>
      <c r="L229" s="11">
        <v>228.02</v>
      </c>
      <c r="M229" s="11">
        <v>227.6</v>
      </c>
      <c r="N229" s="11">
        <v>200</v>
      </c>
      <c r="O229" s="11">
        <v>254</v>
      </c>
      <c r="P229" s="11">
        <v>114.64</v>
      </c>
      <c r="Q229" s="11">
        <v>113.66</v>
      </c>
      <c r="R229" s="25">
        <f>Oranlar!Y229</f>
        <v>0.5634920634920635</v>
      </c>
      <c r="S229" s="26">
        <f>-Oranlar!O229</f>
        <v>2.5</v>
      </c>
      <c r="T229" s="26">
        <f>-Oranlar!I229</f>
        <v>-4.5</v>
      </c>
      <c r="U229" s="27">
        <f>Oranlar!V229</f>
        <v>231.5</v>
      </c>
      <c r="V229" s="27">
        <f>Oranlar!L229</f>
        <v>231.5</v>
      </c>
      <c r="W229" s="28">
        <f>(U229+S229)/2</f>
        <v>117.0</v>
      </c>
      <c r="X229" s="28">
        <f>(U229-S229)/2</f>
        <v>114.5</v>
      </c>
      <c r="Y229" s="16">
        <f>IF(G229=0.5,"",IF((G229&gt;0.5)=(E229&gt;0),1,0))</f>
        <v>0</v>
      </c>
      <c r="Z229" s="16">
        <f>IF(R229=0.5,"",IF((R229&gt;0.5)=(E229&gt;0),1,0))</f>
        <v>0</v>
      </c>
      <c r="AA229" s="29">
        <f>(G229-IF(E229&gt;0,1,0))^2</f>
        <v>0.262144</v>
      </c>
      <c r="AB229" s="29">
        <f>(R229-IF(E229&gt;0,1,0))^2</f>
        <v>0.3175233056185437</v>
      </c>
      <c r="AC229" s="28">
        <f>ABS(H229-E229)</f>
        <v>19.81</v>
      </c>
      <c r="AD229" s="28">
        <f>ABS(I229-E229)</f>
        <v>19.8</v>
      </c>
      <c r="AE229" s="28">
        <f>ABS(S229-E229)</f>
        <v>21.5</v>
      </c>
      <c r="AF229" s="28">
        <f>ABS(L229-F229)</f>
        <v>11.02000000000001</v>
      </c>
      <c r="AG229" s="28">
        <f>ABS(M229-F229)</f>
        <v>10.599999999999994</v>
      </c>
      <c r="AH229" s="28">
        <f>ABS(U229-F229)</f>
        <v>14.5</v>
      </c>
      <c r="AI229" s="28">
        <f>ABS(P229-C229)</f>
        <v>15.64</v>
      </c>
      <c r="AJ229" s="28">
        <f>ABS(W229-C229)</f>
        <v>18.0</v>
      </c>
      <c r="AK229" s="28">
        <f>ABS(Q229-D229)</f>
        <v>4.340000000000003</v>
      </c>
      <c r="AL229" s="28">
        <f>ABS(X229-D229)</f>
        <v>3.5</v>
      </c>
      <c r="AM229" s="17" t="str">
        <f>IF(H229&gt;S229,"Ev",IF(H229&lt;S229,"Dep",""))</f>
        <v>Dep</v>
      </c>
      <c r="AN229" s="17" t="str">
        <f>IF(AM229="","",IF(E229=S229,"Push",IF((E229&gt;S229)=(AM229="Ev"),"Kazandı","Kaybetti")))</f>
        <v>Kazandı</v>
      </c>
      <c r="AO229" s="30">
        <f>IF(AM229="","",IF(AN229="Push",0,IF(AN229="Kazandı",IF(AM229="Ev",Oranlar!P229,Oranlar!Q229)-1,-1)))</f>
        <v>0.9090909090909092</v>
      </c>
      <c r="AP229" s="17" t="str">
        <f>IF(L229&gt;U229,"Üst",IF(L229&lt;U229,"Alt",""))</f>
        <v>Alt</v>
      </c>
      <c r="AQ229" s="17" t="str">
        <f>IF(AP229="","",IF(F229=U229,"Push",IF((F229&gt;U229)=(AP229="Üst"),"Kazandı","Kaybetti")))</f>
        <v>Kazandı</v>
      </c>
      <c r="AR229" s="30">
        <f>IF(AP229="","",IF(AQ229="Push",0,IF(AQ229="Kazandı",IF(AP229="Üst",Oranlar!W229,Oranlar!X229)-1,-1)))</f>
        <v>0.9523809523809523</v>
      </c>
      <c r="AS229" s="17" t="str">
        <f>IF(G229*Oranlar!R229&gt;1,"Ev",IF((1-G229)*Oranlar!S229&gt;1,"Dep",""))</f>
        <v>Dep</v>
      </c>
      <c r="AT229" s="30">
        <f>IF(AS229="","",IF((AS229="Ev")=(E229&gt;0),IF(AS229="Ev",Oranlar!R229,Oranlar!S229)-1,-1))</f>
        <v>1.2000000000000002</v>
      </c>
      <c r="AU229" s="16">
        <f>IF(OR(H229=T229,S229=T229),"",IF((H229&gt;T229)=(S229&gt;T229),1,0))</f>
        <v>1</v>
      </c>
      <c r="AV229" s="16">
        <f>IF(OR(L229=V229,U229=V229),"",IF((L229&gt;V229)=(U229&gt;V229),1,0))</f>
        <v/>
      </c>
      <c r="AW229" s="16">
        <f>IF(AND(E229&gt;=J229,E229&lt;=K229),1,0)</f>
        <v>0</v>
      </c>
      <c r="AX229" s="16">
        <f>IF(AND(F229&gt;=N229,F229&lt;=O229),1,0)</f>
        <v>1</v>
      </c>
    </row>
    <row r="230" spans="1:50">
      <c r="A230" s="21">
        <f>Oranlar!A230</f>
        <v>46115</v>
      </c>
      <c r="B230" s="22" t="str">
        <f>Oranlar!C230&amp;" @ "&amp;Oranlar!D230</f>
        <v>IND @ CHA</v>
      </c>
      <c r="C230" s="23">
        <f>Oranlar!F230</f>
        <v>129</v>
      </c>
      <c r="D230" s="23">
        <f>Oranlar!E230</f>
        <v>108</v>
      </c>
      <c r="E230" s="15">
        <f>C230-D230</f>
        <v>21</v>
      </c>
      <c r="F230" s="16">
        <f>C230+D230</f>
        <v>237</v>
      </c>
      <c r="G230" s="24">
        <v>0.736</v>
      </c>
      <c r="H230" s="10">
        <v>8.960000000000001</v>
      </c>
      <c r="I230" s="10">
        <v>11.2</v>
      </c>
      <c r="J230" s="10">
        <v>-7</v>
      </c>
      <c r="K230" s="10">
        <v>30</v>
      </c>
      <c r="L230" s="11">
        <v>231.36</v>
      </c>
      <c r="M230" s="11">
        <v>233.9</v>
      </c>
      <c r="N230" s="11">
        <v>206</v>
      </c>
      <c r="O230" s="11">
        <v>261</v>
      </c>
      <c r="P230" s="11">
        <v>118.85</v>
      </c>
      <c r="Q230" s="11">
        <v>108.79</v>
      </c>
      <c r="R230" s="25">
        <f>Oranlar!Y230</f>
        <v>0.9039548022598869</v>
      </c>
      <c r="S230" s="26">
        <f>-Oranlar!O230</f>
        <v>15.5</v>
      </c>
      <c r="T230" s="26">
        <f>-Oranlar!I230</f>
        <v>15.5</v>
      </c>
      <c r="U230" s="27">
        <f>Oranlar!V230</f>
        <v>234.5</v>
      </c>
      <c r="V230" s="27">
        <f>Oranlar!L230</f>
        <v>233.5</v>
      </c>
      <c r="W230" s="28">
        <f>(U230+S230)/2</f>
        <v>125.0</v>
      </c>
      <c r="X230" s="28">
        <f>(U230-S230)/2</f>
        <v>109.5</v>
      </c>
      <c r="Y230" s="16">
        <f>IF(G230=0.5,"",IF((G230&gt;0.5)=(E230&gt;0),1,0))</f>
        <v>1</v>
      </c>
      <c r="Z230" s="16">
        <f>IF(R230=0.5,"",IF((R230&gt;0.5)=(E230&gt;0),1,0))</f>
        <v>1</v>
      </c>
      <c r="AA230" s="29">
        <f>(G230-IF(E230&gt;0,1,0))^2</f>
        <v>0.06969600000000001</v>
      </c>
      <c r="AB230" s="29">
        <f>(R230-IF(E230&gt;0,1,0))^2</f>
        <v>0.009224680008937428</v>
      </c>
      <c r="AC230" s="28">
        <f>ABS(H230-E230)</f>
        <v>12.04</v>
      </c>
      <c r="AD230" s="28">
        <f>ABS(I230-E230)</f>
        <v>9.8</v>
      </c>
      <c r="AE230" s="28">
        <f>ABS(S230-E230)</f>
        <v>5.5</v>
      </c>
      <c r="AF230" s="28">
        <f>ABS(L230-F230)</f>
        <v>5.639999999999986</v>
      </c>
      <c r="AG230" s="28">
        <f>ABS(M230-F230)</f>
        <v>3.0999999999999943</v>
      </c>
      <c r="AH230" s="28">
        <f>ABS(U230-F230)</f>
        <v>2.5</v>
      </c>
      <c r="AI230" s="28">
        <f>ABS(P230-C230)</f>
        <v>10.150000000000006</v>
      </c>
      <c r="AJ230" s="28">
        <f>ABS(W230-C230)</f>
        <v>4.0</v>
      </c>
      <c r="AK230" s="28">
        <f>ABS(Q230-D230)</f>
        <v>0.7900000000000063</v>
      </c>
      <c r="AL230" s="28">
        <f>ABS(X230-D230)</f>
        <v>1.5</v>
      </c>
      <c r="AM230" s="17" t="str">
        <f>IF(H230&gt;S230,"Ev",IF(H230&lt;S230,"Dep",""))</f>
        <v>Dep</v>
      </c>
      <c r="AN230" s="17" t="str">
        <f>IF(AM230="","",IF(E230=S230,"Push",IF((E230&gt;S230)=(AM230="Ev"),"Kazandı","Kaybetti")))</f>
        <v>Kaybetti</v>
      </c>
      <c r="AO230" s="30">
        <f>IF(AM230="","",IF(AN230="Push",0,IF(AN230="Kazandı",IF(AM230="Ev",Oranlar!P230,Oranlar!Q230)-1,-1)))</f>
        <v>-1.0</v>
      </c>
      <c r="AP230" s="17" t="str">
        <f>IF(L230&gt;U230,"Üst",IF(L230&lt;U230,"Alt",""))</f>
        <v>Alt</v>
      </c>
      <c r="AQ230" s="17" t="str">
        <f>IF(AP230="","",IF(F230=U230,"Push",IF((F230&gt;U230)=(AP230="Üst"),"Kazandı","Kaybetti")))</f>
        <v>Kaybetti</v>
      </c>
      <c r="AR230" s="30">
        <f>IF(AP230="","",IF(AQ230="Push",0,IF(AQ230="Kazandı",IF(AP230="Üst",Oranlar!W230,Oranlar!X230)-1,-1)))</f>
        <v>-1.0</v>
      </c>
      <c r="AS230" s="17" t="str">
        <f>IF(G230*Oranlar!R230&gt;1,"Ev",IF((1-G230)*Oranlar!S230&gt;1,"Dep",""))</f>
        <v>Dep</v>
      </c>
      <c r="AT230" s="30">
        <f>IF(AS230="","",IF((AS230="Ev")=(E230&gt;0),IF(AS230="Ev",Oranlar!R230,Oranlar!S230)-1,-1))</f>
        <v>-1.0</v>
      </c>
      <c r="AU230" s="16">
        <f>IF(OR(H230=T230,S230=T230),"",IF((H230&gt;T230)=(S230&gt;T230),1,0))</f>
        <v/>
      </c>
      <c r="AV230" s="16">
        <f>IF(OR(L230=V230,U230=V230),"",IF((L230&gt;V230)=(U230&gt;V230),1,0))</f>
        <v>0</v>
      </c>
      <c r="AW230" s="16">
        <f>IF(AND(E230&gt;=J230,E230&lt;=K230),1,0)</f>
        <v>1</v>
      </c>
      <c r="AX230" s="16">
        <f>IF(AND(F230&gt;=N230,F230&lt;=O230),1,0)</f>
        <v>1</v>
      </c>
    </row>
    <row r="231" spans="1:50">
      <c r="A231" s="21">
        <f>Oranlar!A231</f>
        <v>46115</v>
      </c>
      <c r="B231" s="22" t="str">
        <f>Oranlar!C231&amp;" @ "&amp;Oranlar!D231</f>
        <v>MIN @ PHI</v>
      </c>
      <c r="C231" s="23">
        <f>Oranlar!F231</f>
        <v>115</v>
      </c>
      <c r="D231" s="23">
        <f>Oranlar!E231</f>
        <v>103</v>
      </c>
      <c r="E231" s="15">
        <f>C231-D231</f>
        <v>12</v>
      </c>
      <c r="F231" s="16">
        <f>C231+D231</f>
        <v>218</v>
      </c>
      <c r="G231" s="24">
        <v>0.547</v>
      </c>
      <c r="H231" s="10">
        <v>-0.6899999999999999</v>
      </c>
      <c r="I231" s="10">
        <v>3.8</v>
      </c>
      <c r="J231" s="10">
        <v>-15</v>
      </c>
      <c r="K231" s="10">
        <v>23</v>
      </c>
      <c r="L231" s="11">
        <v>237.38</v>
      </c>
      <c r="M231" s="11">
        <v>239.5</v>
      </c>
      <c r="N231" s="11">
        <v>211</v>
      </c>
      <c r="O231" s="11">
        <v>267</v>
      </c>
      <c r="P231" s="11">
        <v>116.8</v>
      </c>
      <c r="Q231" s="11">
        <v>118.6</v>
      </c>
      <c r="R231" s="25">
        <f>Oranlar!Y231</f>
        <v>0.6037569709421778</v>
      </c>
      <c r="S231" s="26">
        <f>-Oranlar!O231</f>
        <v>3.5</v>
      </c>
      <c r="T231" s="26">
        <f>-Oranlar!I231</f>
        <v>2.5</v>
      </c>
      <c r="U231" s="27">
        <f>Oranlar!V231</f>
        <v>233.5</v>
      </c>
      <c r="V231" s="27">
        <f>Oranlar!L231</f>
        <v>233.5</v>
      </c>
      <c r="W231" s="28">
        <f>(U231+S231)/2</f>
        <v>118.5</v>
      </c>
      <c r="X231" s="28">
        <f>(U231-S231)/2</f>
        <v>115.0</v>
      </c>
      <c r="Y231" s="16">
        <f>IF(G231=0.5,"",IF((G231&gt;0.5)=(E231&gt;0),1,0))</f>
        <v>1</v>
      </c>
      <c r="Z231" s="16">
        <f>IF(R231=0.5,"",IF((R231&gt;0.5)=(E231&gt;0),1,0))</f>
        <v>1</v>
      </c>
      <c r="AA231" s="29">
        <f>(G231-IF(E231&gt;0,1,0))^2</f>
        <v>0.20520899999999997</v>
      </c>
      <c r="AB231" s="29">
        <f>(R231-IF(E231&gt;0,1,0))^2</f>
        <v>0.15700853807691809</v>
      </c>
      <c r="AC231" s="28">
        <f>ABS(H231-E231)</f>
        <v>12.69</v>
      </c>
      <c r="AD231" s="28">
        <f>ABS(I231-E231)</f>
        <v>8.2</v>
      </c>
      <c r="AE231" s="28">
        <f>ABS(S231-E231)</f>
        <v>8.5</v>
      </c>
      <c r="AF231" s="28">
        <f>ABS(L231-F231)</f>
        <v>19.379999999999995</v>
      </c>
      <c r="AG231" s="28">
        <f>ABS(M231-F231)</f>
        <v>21.5</v>
      </c>
      <c r="AH231" s="28">
        <f>ABS(U231-F231)</f>
        <v>15.5</v>
      </c>
      <c r="AI231" s="28">
        <f>ABS(P231-C231)</f>
        <v>1.7999999999999972</v>
      </c>
      <c r="AJ231" s="28">
        <f>ABS(W231-C231)</f>
        <v>3.5</v>
      </c>
      <c r="AK231" s="28">
        <f>ABS(Q231-D231)</f>
        <v>15.599999999999994</v>
      </c>
      <c r="AL231" s="28">
        <f>ABS(X231-D231)</f>
        <v>12.0</v>
      </c>
      <c r="AM231" s="17" t="str">
        <f>IF(H231&gt;S231,"Ev",IF(H231&lt;S231,"Dep",""))</f>
        <v>Dep</v>
      </c>
      <c r="AN231" s="17" t="str">
        <f>IF(AM231="","",IF(E231=S231,"Push",IF((E231&gt;S231)=(AM231="Ev"),"Kazandı","Kaybetti")))</f>
        <v>Kaybetti</v>
      </c>
      <c r="AO231" s="30">
        <f>IF(AM231="","",IF(AN231="Push",0,IF(AN231="Kazandı",IF(AM231="Ev",Oranlar!P231,Oranlar!Q231)-1,-1)))</f>
        <v>-1.0</v>
      </c>
      <c r="AP231" s="17" t="str">
        <f>IF(L231&gt;U231,"Üst",IF(L231&lt;U231,"Alt",""))</f>
        <v>Üst</v>
      </c>
      <c r="AQ231" s="17" t="str">
        <f>IF(AP231="","",IF(F231=U231,"Push",IF((F231&gt;U231)=(AP231="Üst"),"Kazandı","Kaybetti")))</f>
        <v>Kaybetti</v>
      </c>
      <c r="AR231" s="30">
        <f>IF(AP231="","",IF(AQ231="Push",0,IF(AQ231="Kazandı",IF(AP231="Üst",Oranlar!W231,Oranlar!X231)-1,-1)))</f>
        <v>-1.0</v>
      </c>
      <c r="AS231" s="17" t="str">
        <f>IF(G231*Oranlar!R231&gt;1,"Ev",IF((1-G231)*Oranlar!S231&gt;1,"Dep",""))</f>
        <v>Dep</v>
      </c>
      <c r="AT231" s="30">
        <f>IF(AS231="","",IF((AS231="Ev")=(E231&gt;0),IF(AS231="Ev",Oranlar!R231,Oranlar!S231)-1,-1))</f>
        <v>-1.0</v>
      </c>
      <c r="AU231" s="16">
        <f>IF(OR(H231=T231,S231=T231),"",IF((H231&gt;T231)=(S231&gt;T231),1,0))</f>
        <v>0</v>
      </c>
      <c r="AV231" s="16">
        <f>IF(OR(L231=V231,U231=V231),"",IF((L231&gt;V231)=(U231&gt;V231),1,0))</f>
        <v/>
      </c>
      <c r="AW231" s="16">
        <f>IF(AND(E231&gt;=J231,E231&lt;=K231),1,0)</f>
        <v>1</v>
      </c>
      <c r="AX231" s="16">
        <f>IF(AND(F231&gt;=N231,F231&lt;=O231),1,0)</f>
        <v>1</v>
      </c>
    </row>
    <row r="232" spans="1:50">
      <c r="A232" s="21">
        <f>Oranlar!A232</f>
        <v>46115</v>
      </c>
      <c r="B232" s="22" t="str">
        <f>Oranlar!C232&amp;" @ "&amp;Oranlar!D232</f>
        <v>ATL @ BKN</v>
      </c>
      <c r="C232" s="23">
        <f>Oranlar!F232</f>
        <v>107</v>
      </c>
      <c r="D232" s="23">
        <f>Oranlar!E232</f>
        <v>141</v>
      </c>
      <c r="E232" s="15">
        <f>C232-D232</f>
        <v>-34</v>
      </c>
      <c r="F232" s="16">
        <f>C232+D232</f>
        <v>248</v>
      </c>
      <c r="G232" s="24">
        <v>0.197</v>
      </c>
      <c r="H232" s="10">
        <v>-23.93</v>
      </c>
      <c r="I232" s="10">
        <v>-11.2</v>
      </c>
      <c r="J232" s="10">
        <v>-29</v>
      </c>
      <c r="K232" s="10">
        <v>7</v>
      </c>
      <c r="L232" s="11">
        <v>226.43</v>
      </c>
      <c r="M232" s="11">
        <v>219.9</v>
      </c>
      <c r="N232" s="11">
        <v>193</v>
      </c>
      <c r="O232" s="11">
        <v>246</v>
      </c>
      <c r="P232" s="11">
        <v>104.31</v>
      </c>
      <c r="Q232" s="11">
        <v>116.5</v>
      </c>
      <c r="R232" s="25">
        <f>Oranlar!Y232</f>
        <v>0.08755760368663595</v>
      </c>
      <c r="S232" s="26">
        <f>-Oranlar!O232</f>
        <v>-16.5</v>
      </c>
      <c r="T232" s="26">
        <f>-Oranlar!I232</f>
        <v>-15.5</v>
      </c>
      <c r="U232" s="27">
        <f>Oranlar!V232</f>
        <v>225.5</v>
      </c>
      <c r="V232" s="27">
        <f>Oranlar!L232</f>
        <v>225.5</v>
      </c>
      <c r="W232" s="28">
        <f>(U232+S232)/2</f>
        <v>104.5</v>
      </c>
      <c r="X232" s="28">
        <f>(U232-S232)/2</f>
        <v>121.0</v>
      </c>
      <c r="Y232" s="16">
        <f>IF(G232=0.5,"",IF((G232&gt;0.5)=(E232&gt;0),1,0))</f>
        <v>1</v>
      </c>
      <c r="Z232" s="16">
        <f>IF(R232=0.5,"",IF((R232&gt;0.5)=(E232&gt;0),1,0))</f>
        <v>1</v>
      </c>
      <c r="AA232" s="29">
        <f>(G232-IF(E232&gt;0,1,0))^2</f>
        <v>0.038809</v>
      </c>
      <c r="AB232" s="29">
        <f>(R232-IF(E232&gt;0,1,0))^2</f>
        <v>0.007666333963346006</v>
      </c>
      <c r="AC232" s="28">
        <f>ABS(H232-E232)</f>
        <v>10.07</v>
      </c>
      <c r="AD232" s="28">
        <f>ABS(I232-E232)</f>
        <v>22.8</v>
      </c>
      <c r="AE232" s="28">
        <f>ABS(S232-E232)</f>
        <v>17.5</v>
      </c>
      <c r="AF232" s="28">
        <f>ABS(L232-F232)</f>
        <v>21.569999999999993</v>
      </c>
      <c r="AG232" s="28">
        <f>ABS(M232-F232)</f>
        <v>28.099999999999994</v>
      </c>
      <c r="AH232" s="28">
        <f>ABS(U232-F232)</f>
        <v>22.5</v>
      </c>
      <c r="AI232" s="28">
        <f>ABS(P232-C232)</f>
        <v>2.6899999999999977</v>
      </c>
      <c r="AJ232" s="28">
        <f>ABS(W232-C232)</f>
        <v>2.5</v>
      </c>
      <c r="AK232" s="28">
        <f>ABS(Q232-D232)</f>
        <v>24.5</v>
      </c>
      <c r="AL232" s="28">
        <f>ABS(X232-D232)</f>
        <v>20.0</v>
      </c>
      <c r="AM232" s="17" t="str">
        <f>IF(H232&gt;S232,"Ev",IF(H232&lt;S232,"Dep",""))</f>
        <v>Dep</v>
      </c>
      <c r="AN232" s="17" t="str">
        <f>IF(AM232="","",IF(E232=S232,"Push",IF((E232&gt;S232)=(AM232="Ev"),"Kazandı","Kaybetti")))</f>
        <v>Kazandı</v>
      </c>
      <c r="AO232" s="30">
        <f>IF(AM232="","",IF(AN232="Push",0,IF(AN232="Kazandı",IF(AM232="Ev",Oranlar!P232,Oranlar!Q232)-1,-1)))</f>
        <v>0.8695652173913042</v>
      </c>
      <c r="AP232" s="17" t="str">
        <f>IF(L232&gt;U232,"Üst",IF(L232&lt;U232,"Alt",""))</f>
        <v>Üst</v>
      </c>
      <c r="AQ232" s="17" t="str">
        <f>IF(AP232="","",IF(F232=U232,"Push",IF((F232&gt;U232)=(AP232="Üst"),"Kazandı","Kaybetti")))</f>
        <v>Kazandı</v>
      </c>
      <c r="AR232" s="30">
        <f>IF(AP232="","",IF(AQ232="Push",0,IF(AQ232="Kazandı",IF(AP232="Üst",Oranlar!W232,Oranlar!X232)-1,-1)))</f>
        <v>0.9523809523809523</v>
      </c>
      <c r="AS232" s="17" t="str">
        <f>IF(G232*Oranlar!R232&gt;1,"Ev",IF((1-G232)*Oranlar!S232&gt;1,"Dep",""))</f>
        <v>Ev</v>
      </c>
      <c r="AT232" s="30">
        <f>IF(AS232="","",IF((AS232="Ev")=(E232&gt;0),IF(AS232="Ev",Oranlar!R232,Oranlar!S232)-1,-1))</f>
        <v>-1.0</v>
      </c>
      <c r="AU232" s="16">
        <f>IF(OR(H232=T232,S232=T232),"",IF((H232&gt;T232)=(S232&gt;T232),1,0))</f>
        <v>1</v>
      </c>
      <c r="AV232" s="16">
        <f>IF(OR(L232=V232,U232=V232),"",IF((L232&gt;V232)=(U232&gt;V232),1,0))</f>
        <v/>
      </c>
      <c r="AW232" s="16">
        <f>IF(AND(E232&gt;=J232,E232&lt;=K232),1,0)</f>
        <v>0</v>
      </c>
      <c r="AX232" s="16">
        <f>IF(AND(F232&gt;=N232,F232&lt;=O232),1,0)</f>
        <v>0</v>
      </c>
    </row>
    <row r="233" spans="1:50">
      <c r="A233" s="21">
        <f>Oranlar!A233</f>
        <v>46115</v>
      </c>
      <c r="B233" s="22" t="str">
        <f>Oranlar!C233&amp;" @ "&amp;Oranlar!D233</f>
        <v>CHI @ NYK</v>
      </c>
      <c r="C233" s="23">
        <f>Oranlar!F233</f>
        <v>136</v>
      </c>
      <c r="D233" s="23">
        <f>Oranlar!E233</f>
        <v>96</v>
      </c>
      <c r="E233" s="15">
        <f>C233-D233</f>
        <v>40</v>
      </c>
      <c r="F233" s="16">
        <f>C233+D233</f>
        <v>232</v>
      </c>
      <c r="G233" s="24">
        <v>0.75</v>
      </c>
      <c r="H233" s="10">
        <v>12.27</v>
      </c>
      <c r="I233" s="10">
        <v>10.3</v>
      </c>
      <c r="J233" s="10">
        <v>-8</v>
      </c>
      <c r="K233" s="10">
        <v>29</v>
      </c>
      <c r="L233" s="11">
        <v>231.87</v>
      </c>
      <c r="M233" s="11">
        <v>235.2</v>
      </c>
      <c r="N233" s="11">
        <v>207</v>
      </c>
      <c r="O233" s="11">
        <v>263</v>
      </c>
      <c r="P233" s="11">
        <v>122.3</v>
      </c>
      <c r="Q233" s="11">
        <v>114.1</v>
      </c>
      <c r="R233" s="25">
        <f>Oranlar!Y233</f>
        <v>0.8869565217391304</v>
      </c>
      <c r="S233" s="26">
        <f>-Oranlar!O233</f>
        <v>13.5</v>
      </c>
      <c r="T233" s="26">
        <f>-Oranlar!I233</f>
        <v>15.5</v>
      </c>
      <c r="U233" s="27">
        <f>Oranlar!V233</f>
        <v>236.5</v>
      </c>
      <c r="V233" s="27">
        <f>Oranlar!L233</f>
        <v>237.5</v>
      </c>
      <c r="W233" s="28">
        <f>(U233+S233)/2</f>
        <v>125.0</v>
      </c>
      <c r="X233" s="28">
        <f>(U233-S233)/2</f>
        <v>111.5</v>
      </c>
      <c r="Y233" s="16">
        <f>IF(G233=0.5,"",IF((G233&gt;0.5)=(E233&gt;0),1,0))</f>
        <v>1</v>
      </c>
      <c r="Z233" s="16">
        <f>IF(R233=0.5,"",IF((R233&gt;0.5)=(E233&gt;0),1,0))</f>
        <v>1</v>
      </c>
      <c r="AA233" s="29">
        <f>(G233-IF(E233&gt;0,1,0))^2</f>
        <v>0.0625</v>
      </c>
      <c r="AB233" s="29">
        <f>(R233-IF(E233&gt;0,1,0))^2</f>
        <v>0.012778827977315693</v>
      </c>
      <c r="AC233" s="28">
        <f>ABS(H233-E233)</f>
        <v>27.73</v>
      </c>
      <c r="AD233" s="28">
        <f>ABS(I233-E233)</f>
        <v>29.7</v>
      </c>
      <c r="AE233" s="28">
        <f>ABS(S233-E233)</f>
        <v>26.5</v>
      </c>
      <c r="AF233" s="28">
        <f>ABS(L233-F233)</f>
        <v>0.12999999999999545</v>
      </c>
      <c r="AG233" s="28">
        <f>ABS(M233-F233)</f>
        <v>3.1999999999999886</v>
      </c>
      <c r="AH233" s="28">
        <f>ABS(U233-F233)</f>
        <v>4.5</v>
      </c>
      <c r="AI233" s="28">
        <f>ABS(P233-C233)</f>
        <v>13.700000000000003</v>
      </c>
      <c r="AJ233" s="28">
        <f>ABS(W233-C233)</f>
        <v>11.0</v>
      </c>
      <c r="AK233" s="28">
        <f>ABS(Q233-D233)</f>
        <v>18.099999999999994</v>
      </c>
      <c r="AL233" s="28">
        <f>ABS(X233-D233)</f>
        <v>15.5</v>
      </c>
      <c r="AM233" s="17" t="str">
        <f>IF(H233&gt;S233,"Ev",IF(H233&lt;S233,"Dep",""))</f>
        <v>Dep</v>
      </c>
      <c r="AN233" s="17" t="str">
        <f>IF(AM233="","",IF(E233=S233,"Push",IF((E233&gt;S233)=(AM233="Ev"),"Kazandı","Kaybetti")))</f>
        <v>Kaybetti</v>
      </c>
      <c r="AO233" s="30">
        <f>IF(AM233="","",IF(AN233="Push",0,IF(AN233="Kazandı",IF(AM233="Ev",Oranlar!P233,Oranlar!Q233)-1,-1)))</f>
        <v>-1.0</v>
      </c>
      <c r="AP233" s="17" t="str">
        <f>IF(L233&gt;U233,"Üst",IF(L233&lt;U233,"Alt",""))</f>
        <v>Alt</v>
      </c>
      <c r="AQ233" s="17" t="str">
        <f>IF(AP233="","",IF(F233=U233,"Push",IF((F233&gt;U233)=(AP233="Üst"),"Kazandı","Kaybetti")))</f>
        <v>Kazandı</v>
      </c>
      <c r="AR233" s="30">
        <f>IF(AP233="","",IF(AQ233="Push",0,IF(AQ233="Kazandı",IF(AP233="Üst",Oranlar!W233,Oranlar!X233)-1,-1)))</f>
        <v>0.9090909090909092</v>
      </c>
      <c r="AS233" s="17" t="str">
        <f>IF(G233*Oranlar!R233&gt;1,"Ev",IF((1-G233)*Oranlar!S233&gt;1,"Dep",""))</f>
        <v>Dep</v>
      </c>
      <c r="AT233" s="30">
        <f>IF(AS233="","",IF((AS233="Ev")=(E233&gt;0),IF(AS233="Ev",Oranlar!R233,Oranlar!S233)-1,-1))</f>
        <v>-1.0</v>
      </c>
      <c r="AU233" s="16">
        <f>IF(OR(H233=T233,S233=T233),"",IF((H233&gt;T233)=(S233&gt;T233),1,0))</f>
        <v>1</v>
      </c>
      <c r="AV233" s="16">
        <f>IF(OR(L233=V233,U233=V233),"",IF((L233&gt;V233)=(U233&gt;V233),1,0))</f>
        <v>1</v>
      </c>
      <c r="AW233" s="16">
        <f>IF(AND(E233&gt;=J233,E233&lt;=K233),1,0)</f>
        <v>0</v>
      </c>
      <c r="AX233" s="16">
        <f>IF(AND(F233&gt;=N233,F233&lt;=O233),1,0)</f>
        <v>1</v>
      </c>
    </row>
    <row r="234" spans="1:50">
      <c r="A234" s="21">
        <f>Oranlar!A234</f>
        <v>46115</v>
      </c>
      <c r="B234" s="22" t="str">
        <f>Oranlar!C234&amp;" @ "&amp;Oranlar!D234</f>
        <v>UTA @ HOU</v>
      </c>
      <c r="C234" s="23">
        <f>Oranlar!F234</f>
        <v>140</v>
      </c>
      <c r="D234" s="23">
        <f>Oranlar!E234</f>
        <v>106</v>
      </c>
      <c r="E234" s="15">
        <f>C234-D234</f>
        <v>34</v>
      </c>
      <c r="F234" s="16">
        <f>C234+D234</f>
        <v>246</v>
      </c>
      <c r="G234" s="24">
        <v>0.819</v>
      </c>
      <c r="H234" s="10">
        <v>17.61</v>
      </c>
      <c r="I234" s="10">
        <v>12.8</v>
      </c>
      <c r="J234" s="10">
        <v>-5</v>
      </c>
      <c r="K234" s="10">
        <v>31</v>
      </c>
      <c r="L234" s="11">
        <v>230.96</v>
      </c>
      <c r="M234" s="11">
        <v>229.9</v>
      </c>
      <c r="N234" s="11">
        <v>203</v>
      </c>
      <c r="O234" s="11">
        <v>257</v>
      </c>
      <c r="P234" s="11">
        <v>122.69</v>
      </c>
      <c r="Q234" s="11">
        <v>109.72</v>
      </c>
      <c r="R234" s="25">
        <f>Oranlar!Y234</f>
        <v>0.9197080291970803</v>
      </c>
      <c r="S234" s="26">
        <f>-Oranlar!O234</f>
        <v>18.5</v>
      </c>
      <c r="T234" s="26">
        <f>-Oranlar!I234</f>
        <v>17.5</v>
      </c>
      <c r="U234" s="27">
        <f>Oranlar!V234</f>
        <v>231.5</v>
      </c>
      <c r="V234" s="27">
        <f>Oranlar!L234</f>
        <v>231.5</v>
      </c>
      <c r="W234" s="28">
        <f>(U234+S234)/2</f>
        <v>125.0</v>
      </c>
      <c r="X234" s="28">
        <f>(U234-S234)/2</f>
        <v>106.5</v>
      </c>
      <c r="Y234" s="16">
        <f>IF(G234=0.5,"",IF((G234&gt;0.5)=(E234&gt;0),1,0))</f>
        <v>1</v>
      </c>
      <c r="Z234" s="16">
        <f>IF(R234=0.5,"",IF((R234&gt;0.5)=(E234&gt;0),1,0))</f>
        <v>1</v>
      </c>
      <c r="AA234" s="29">
        <f>(G234-IF(E234&gt;0,1,0))^2</f>
        <v>0.03276100000000002</v>
      </c>
      <c r="AB234" s="29">
        <f>(R234-IF(E234&gt;0,1,0))^2</f>
        <v>0.006446800575416913</v>
      </c>
      <c r="AC234" s="28">
        <f>ABS(H234-E234)</f>
        <v>16.39</v>
      </c>
      <c r="AD234" s="28">
        <f>ABS(I234-E234)</f>
        <v>21.2</v>
      </c>
      <c r="AE234" s="28">
        <f>ABS(S234-E234)</f>
        <v>15.5</v>
      </c>
      <c r="AF234" s="28">
        <f>ABS(L234-F234)</f>
        <v>15.039999999999992</v>
      </c>
      <c r="AG234" s="28">
        <f>ABS(M234-F234)</f>
        <v>16.099999999999994</v>
      </c>
      <c r="AH234" s="28">
        <f>ABS(U234-F234)</f>
        <v>14.5</v>
      </c>
      <c r="AI234" s="28">
        <f>ABS(P234-C234)</f>
        <v>17.310000000000002</v>
      </c>
      <c r="AJ234" s="28">
        <f>ABS(W234-C234)</f>
        <v>15.0</v>
      </c>
      <c r="AK234" s="28">
        <f>ABS(Q234-D234)</f>
        <v>3.719999999999999</v>
      </c>
      <c r="AL234" s="28">
        <f>ABS(X234-D234)</f>
        <v>0.5</v>
      </c>
      <c r="AM234" s="17" t="str">
        <f>IF(H234&gt;S234,"Ev",IF(H234&lt;S234,"Dep",""))</f>
        <v>Dep</v>
      </c>
      <c r="AN234" s="17" t="str">
        <f>IF(AM234="","",IF(E234=S234,"Push",IF((E234&gt;S234)=(AM234="Ev"),"Kazandı","Kaybetti")))</f>
        <v>Kaybetti</v>
      </c>
      <c r="AO234" s="30">
        <f>IF(AM234="","",IF(AN234="Push",0,IF(AN234="Kazandı",IF(AM234="Ev",Oranlar!P234,Oranlar!Q234)-1,-1)))</f>
        <v>-1.0</v>
      </c>
      <c r="AP234" s="17" t="str">
        <f>IF(L234&gt;U234,"Üst",IF(L234&lt;U234,"Alt",""))</f>
        <v>Alt</v>
      </c>
      <c r="AQ234" s="17" t="str">
        <f>IF(AP234="","",IF(F234=U234,"Push",IF((F234&gt;U234)=(AP234="Üst"),"Kazandı","Kaybetti")))</f>
        <v>Kaybetti</v>
      </c>
      <c r="AR234" s="30">
        <f>IF(AP234="","",IF(AQ234="Push",0,IF(AQ234="Kazandı",IF(AP234="Üst",Oranlar!W234,Oranlar!X234)-1,-1)))</f>
        <v>-1.0</v>
      </c>
      <c r="AS234" s="17" t="str">
        <f>IF(G234*Oranlar!R234&gt;1,"Ev",IF((1-G234)*Oranlar!S234&gt;1,"Dep",""))</f>
        <v>Dep</v>
      </c>
      <c r="AT234" s="30">
        <f>IF(AS234="","",IF((AS234="Ev")=(E234&gt;0),IF(AS234="Ev",Oranlar!R234,Oranlar!S234)-1,-1))</f>
        <v>-1.0</v>
      </c>
      <c r="AU234" s="16">
        <f>IF(OR(H234=T234,S234=T234),"",IF((H234&gt;T234)=(S234&gt;T234),1,0))</f>
        <v>1</v>
      </c>
      <c r="AV234" s="16">
        <f>IF(OR(L234=V234,U234=V234),"",IF((L234&gt;V234)=(U234&gt;V234),1,0))</f>
        <v/>
      </c>
      <c r="AW234" s="16">
        <f>IF(AND(E234&gt;=J234,E234&lt;=K234),1,0)</f>
        <v>0</v>
      </c>
      <c r="AX234" s="16">
        <f>IF(AND(F234&gt;=N234,F234&lt;=O234),1,0)</f>
        <v>1</v>
      </c>
    </row>
    <row r="235" spans="1:50">
      <c r="A235" s="21">
        <f>Oranlar!A235</f>
        <v>46115</v>
      </c>
      <c r="B235" s="22" t="str">
        <f>Oranlar!C235&amp;" @ "&amp;Oranlar!D235</f>
        <v>TOR @ MEM</v>
      </c>
      <c r="C235" s="23">
        <f>Oranlar!F235</f>
        <v>96</v>
      </c>
      <c r="D235" s="23">
        <f>Oranlar!E235</f>
        <v>128</v>
      </c>
      <c r="E235" s="15">
        <f>C235-D235</f>
        <v>-32</v>
      </c>
      <c r="F235" s="16">
        <f>C235+D235</f>
        <v>224</v>
      </c>
      <c r="G235" s="24">
        <v>0.271</v>
      </c>
      <c r="H235" s="10">
        <v>-19.16</v>
      </c>
      <c r="I235" s="10">
        <v>-7.8</v>
      </c>
      <c r="J235" s="10">
        <v>-26</v>
      </c>
      <c r="K235" s="10">
        <v>11</v>
      </c>
      <c r="L235" s="11">
        <v>230.6</v>
      </c>
      <c r="M235" s="11">
        <v>231.9</v>
      </c>
      <c r="N235" s="11">
        <v>204</v>
      </c>
      <c r="O235" s="11">
        <v>259</v>
      </c>
      <c r="P235" s="11">
        <v>111.67</v>
      </c>
      <c r="Q235" s="11">
        <v>121.48</v>
      </c>
      <c r="R235" s="25">
        <f>Oranlar!Y235</f>
        <v>0.12</v>
      </c>
      <c r="S235" s="26">
        <f>-Oranlar!O235</f>
        <v>-14.5</v>
      </c>
      <c r="T235" s="26">
        <f>-Oranlar!I235</f>
        <v>-13.5</v>
      </c>
      <c r="U235" s="27">
        <f>Oranlar!V235</f>
        <v>233.5</v>
      </c>
      <c r="V235" s="27">
        <f>Oranlar!L235</f>
        <v>231.5</v>
      </c>
      <c r="W235" s="28">
        <f>(U235+S235)/2</f>
        <v>109.5</v>
      </c>
      <c r="X235" s="28">
        <f>(U235-S235)/2</f>
        <v>124.0</v>
      </c>
      <c r="Y235" s="16">
        <f>IF(G235=0.5,"",IF((G235&gt;0.5)=(E235&gt;0),1,0))</f>
        <v>1</v>
      </c>
      <c r="Z235" s="16">
        <f>IF(R235=0.5,"",IF((R235&gt;0.5)=(E235&gt;0),1,0))</f>
        <v>1</v>
      </c>
      <c r="AA235" s="29">
        <f>(G235-IF(E235&gt;0,1,0))^2</f>
        <v>0.073441</v>
      </c>
      <c r="AB235" s="29">
        <f>(R235-IF(E235&gt;0,1,0))^2</f>
        <v>0.0144</v>
      </c>
      <c r="AC235" s="28">
        <f>ABS(H235-E235)</f>
        <v>12.84</v>
      </c>
      <c r="AD235" s="28">
        <f>ABS(I235-E235)</f>
        <v>24.2</v>
      </c>
      <c r="AE235" s="28">
        <f>ABS(S235-E235)</f>
        <v>17.5</v>
      </c>
      <c r="AF235" s="28">
        <f>ABS(L235-F235)</f>
        <v>6.599999999999994</v>
      </c>
      <c r="AG235" s="28">
        <f>ABS(M235-F235)</f>
        <v>7.900000000000006</v>
      </c>
      <c r="AH235" s="28">
        <f>ABS(U235-F235)</f>
        <v>9.5</v>
      </c>
      <c r="AI235" s="28">
        <f>ABS(P235-C235)</f>
        <v>15.670000000000002</v>
      </c>
      <c r="AJ235" s="28">
        <f>ABS(W235-C235)</f>
        <v>13.5</v>
      </c>
      <c r="AK235" s="28">
        <f>ABS(Q235-D235)</f>
        <v>6.519999999999996</v>
      </c>
      <c r="AL235" s="28">
        <f>ABS(X235-D235)</f>
        <v>4.0</v>
      </c>
      <c r="AM235" s="17" t="str">
        <f>IF(H235&gt;S235,"Ev",IF(H235&lt;S235,"Dep",""))</f>
        <v>Dep</v>
      </c>
      <c r="AN235" s="17" t="str">
        <f>IF(AM235="","",IF(E235=S235,"Push",IF((E235&gt;S235)=(AM235="Ev"),"Kazandı","Kaybetti")))</f>
        <v>Kazandı</v>
      </c>
      <c r="AO235" s="30">
        <f>IF(AM235="","",IF(AN235="Push",0,IF(AN235="Kazandı",IF(AM235="Ev",Oranlar!P235,Oranlar!Q235)-1,-1)))</f>
        <v>0.8695652173913042</v>
      </c>
      <c r="AP235" s="17" t="str">
        <f>IF(L235&gt;U235,"Üst",IF(L235&lt;U235,"Alt",""))</f>
        <v>Alt</v>
      </c>
      <c r="AQ235" s="17" t="str">
        <f>IF(AP235="","",IF(F235=U235,"Push",IF((F235&gt;U235)=(AP235="Üst"),"Kazandı","Kaybetti")))</f>
        <v>Kazandı</v>
      </c>
      <c r="AR235" s="30">
        <f>IF(AP235="","",IF(AQ235="Push",0,IF(AQ235="Kazandı",IF(AP235="Üst",Oranlar!W235,Oranlar!X235)-1,-1)))</f>
        <v>0.9090909090909092</v>
      </c>
      <c r="AS235" s="17" t="str">
        <f>IF(G235*Oranlar!R235&gt;1,"Ev",IF((1-G235)*Oranlar!S235&gt;1,"Dep",""))</f>
        <v>Ev</v>
      </c>
      <c r="AT235" s="30">
        <f>IF(AS235="","",IF((AS235="Ev")=(E235&gt;0),IF(AS235="Ev",Oranlar!R235,Oranlar!S235)-1,-1))</f>
        <v>-1.0</v>
      </c>
      <c r="AU235" s="16">
        <f>IF(OR(H235=T235,S235=T235),"",IF((H235&gt;T235)=(S235&gt;T235),1,0))</f>
        <v>1</v>
      </c>
      <c r="AV235" s="16">
        <f>IF(OR(L235=V235,U235=V235),"",IF((L235&gt;V235)=(U235&gt;V235),1,0))</f>
        <v>0</v>
      </c>
      <c r="AW235" s="16">
        <f>IF(AND(E235&gt;=J235,E235&lt;=K235),1,0)</f>
        <v>0</v>
      </c>
      <c r="AX235" s="16">
        <f>IF(AND(F235&gt;=N235,F235&lt;=O235),1,0)</f>
        <v>1</v>
      </c>
    </row>
    <row r="236" spans="1:50">
      <c r="A236" s="21">
        <f>Oranlar!A236</f>
        <v>46115</v>
      </c>
      <c r="B236" s="22" t="str">
        <f>Oranlar!C236&amp;" @ "&amp;Oranlar!D236</f>
        <v>BOS @ MIL</v>
      </c>
      <c r="C236" s="23">
        <f>Oranlar!F236</f>
        <v>101</v>
      </c>
      <c r="D236" s="23">
        <f>Oranlar!E236</f>
        <v>133</v>
      </c>
      <c r="E236" s="15">
        <f>C236-D236</f>
        <v>-32</v>
      </c>
      <c r="F236" s="16">
        <f>C236+D236</f>
        <v>234</v>
      </c>
      <c r="G236" s="24">
        <v>0.18</v>
      </c>
      <c r="H236" s="10">
        <v>-17.33</v>
      </c>
      <c r="I236" s="10">
        <v>-8.300000000000001</v>
      </c>
      <c r="J236" s="10">
        <v>-26</v>
      </c>
      <c r="K236" s="10">
        <v>10</v>
      </c>
      <c r="L236" s="11">
        <v>224.86</v>
      </c>
      <c r="M236" s="11">
        <v>225.9</v>
      </c>
      <c r="N236" s="11">
        <v>199</v>
      </c>
      <c r="O236" s="11">
        <v>253</v>
      </c>
      <c r="P236" s="11">
        <v>110.31</v>
      </c>
      <c r="Q236" s="11">
        <v>122.47</v>
      </c>
      <c r="R236" s="25">
        <f>Oranlar!Y236</f>
        <v>0.0741839762611276</v>
      </c>
      <c r="S236" s="26">
        <f>-Oranlar!O236</f>
        <v>-17.5</v>
      </c>
      <c r="T236" s="26">
        <f>-Oranlar!I236</f>
        <v>-17.5</v>
      </c>
      <c r="U236" s="27">
        <f>Oranlar!V236</f>
        <v>217.5</v>
      </c>
      <c r="V236" s="27">
        <f>Oranlar!L236</f>
        <v>218.5</v>
      </c>
      <c r="W236" s="28">
        <f>(U236+S236)/2</f>
        <v>100.0</v>
      </c>
      <c r="X236" s="28">
        <f>(U236-S236)/2</f>
        <v>117.5</v>
      </c>
      <c r="Y236" s="16">
        <f>IF(G236=0.5,"",IF((G236&gt;0.5)=(E236&gt;0),1,0))</f>
        <v>1</v>
      </c>
      <c r="Z236" s="16">
        <f>IF(R236=0.5,"",IF((R236&gt;0.5)=(E236&gt;0),1,0))</f>
        <v>1</v>
      </c>
      <c r="AA236" s="29">
        <f>(G236-IF(E236&gt;0,1,0))^2</f>
        <v>0.0324</v>
      </c>
      <c r="AB236" s="29">
        <f>(R236-IF(E236&gt;0,1,0))^2</f>
        <v>0.005503262333911544</v>
      </c>
      <c r="AC236" s="28">
        <f>ABS(H236-E236)</f>
        <v>14.670000000000002</v>
      </c>
      <c r="AD236" s="28">
        <f>ABS(I236-E236)</f>
        <v>23.7</v>
      </c>
      <c r="AE236" s="28">
        <f>ABS(S236-E236)</f>
        <v>14.5</v>
      </c>
      <c r="AF236" s="28">
        <f>ABS(L236-F236)</f>
        <v>9.139999999999986</v>
      </c>
      <c r="AG236" s="28">
        <f>ABS(M236-F236)</f>
        <v>8.099999999999994</v>
      </c>
      <c r="AH236" s="28">
        <f>ABS(U236-F236)</f>
        <v>16.5</v>
      </c>
      <c r="AI236" s="28">
        <f>ABS(P236-C236)</f>
        <v>9.310000000000002</v>
      </c>
      <c r="AJ236" s="28">
        <f>ABS(W236-C236)</f>
        <v>1.0</v>
      </c>
      <c r="AK236" s="28">
        <f>ABS(Q236-D236)</f>
        <v>10.530000000000001</v>
      </c>
      <c r="AL236" s="28">
        <f>ABS(X236-D236)</f>
        <v>15.5</v>
      </c>
      <c r="AM236" s="17" t="str">
        <f>IF(H236&gt;S236,"Ev",IF(H236&lt;S236,"Dep",""))</f>
        <v>Ev</v>
      </c>
      <c r="AN236" s="17" t="str">
        <f>IF(AM236="","",IF(E236=S236,"Push",IF((E236&gt;S236)=(AM236="Ev"),"Kazandı","Kaybetti")))</f>
        <v>Kaybetti</v>
      </c>
      <c r="AO236" s="30">
        <f>IF(AM236="","",IF(AN236="Push",0,IF(AN236="Kazandı",IF(AM236="Ev",Oranlar!P236,Oranlar!Q236)-1,-1)))</f>
        <v>-1.0</v>
      </c>
      <c r="AP236" s="17" t="str">
        <f>IF(L236&gt;U236,"Üst",IF(L236&lt;U236,"Alt",""))</f>
        <v>Üst</v>
      </c>
      <c r="AQ236" s="17" t="str">
        <f>IF(AP236="","",IF(F236=U236,"Push",IF((F236&gt;U236)=(AP236="Üst"),"Kazandı","Kaybetti")))</f>
        <v>Kazandı</v>
      </c>
      <c r="AR236" s="30">
        <f>IF(AP236="","",IF(AQ236="Push",0,IF(AQ236="Kazandı",IF(AP236="Üst",Oranlar!W236,Oranlar!X236)-1,-1)))</f>
        <v>0.9090909090909092</v>
      </c>
      <c r="AS236" s="17" t="str">
        <f>IF(G236*Oranlar!R236&gt;1,"Ev",IF((1-G236)*Oranlar!S236&gt;1,"Dep",""))</f>
        <v>Ev</v>
      </c>
      <c r="AT236" s="30">
        <f>IF(AS236="","",IF((AS236="Ev")=(E236&gt;0),IF(AS236="Ev",Oranlar!R236,Oranlar!S236)-1,-1))</f>
        <v>-1.0</v>
      </c>
      <c r="AU236" s="16">
        <f>IF(OR(H236=T236,S236=T236),"",IF((H236&gt;T236)=(S236&gt;T236),1,0))</f>
        <v/>
      </c>
      <c r="AV236" s="16">
        <f>IF(OR(L236=V236,U236=V236),"",IF((L236&gt;V236)=(U236&gt;V236),1,0))</f>
        <v>0</v>
      </c>
      <c r="AW236" s="16">
        <f>IF(AND(E236&gt;=J236,E236&lt;=K236),1,0)</f>
        <v>0</v>
      </c>
      <c r="AX236" s="16">
        <f>IF(AND(F236&gt;=N236,F236&lt;=O236),1,0)</f>
        <v>1</v>
      </c>
    </row>
    <row r="237" spans="1:50">
      <c r="A237" s="21">
        <f>Oranlar!A237</f>
        <v>46115</v>
      </c>
      <c r="B237" s="22" t="str">
        <f>Oranlar!C237&amp;" @ "&amp;Oranlar!D237</f>
        <v>ORL @ DAL</v>
      </c>
      <c r="C237" s="23">
        <f>Oranlar!F237</f>
        <v>127</v>
      </c>
      <c r="D237" s="23">
        <f>Oranlar!E237</f>
        <v>138</v>
      </c>
      <c r="E237" s="15">
        <f>C237-D237</f>
        <v>-11</v>
      </c>
      <c r="F237" s="16">
        <f>C237+D237</f>
        <v>265</v>
      </c>
      <c r="G237" s="24">
        <v>0.421</v>
      </c>
      <c r="H237" s="10">
        <v>-5.65</v>
      </c>
      <c r="I237" s="10">
        <v>-2</v>
      </c>
      <c r="J237" s="10">
        <v>-21</v>
      </c>
      <c r="K237" s="10">
        <v>17</v>
      </c>
      <c r="L237" s="11">
        <v>234.08</v>
      </c>
      <c r="M237" s="11">
        <v>237.2</v>
      </c>
      <c r="N237" s="11">
        <v>209</v>
      </c>
      <c r="O237" s="11">
        <v>265</v>
      </c>
      <c r="P237" s="11">
        <v>116.74</v>
      </c>
      <c r="Q237" s="11">
        <v>118.05</v>
      </c>
      <c r="R237" s="25">
        <f>Oranlar!Y237</f>
        <v>0.299837925445705</v>
      </c>
      <c r="S237" s="26">
        <f>-Oranlar!O237</f>
        <v>-6.5</v>
      </c>
      <c r="T237" s="26">
        <f>-Oranlar!I237</f>
        <v>-7.5</v>
      </c>
      <c r="U237" s="27">
        <f>Oranlar!V237</f>
        <v>239.5</v>
      </c>
      <c r="V237" s="27">
        <f>Oranlar!L237</f>
        <v>234.5</v>
      </c>
      <c r="W237" s="28">
        <f>(U237+S237)/2</f>
        <v>116.5</v>
      </c>
      <c r="X237" s="28">
        <f>(U237-S237)/2</f>
        <v>123.0</v>
      </c>
      <c r="Y237" s="16">
        <f>IF(G237=0.5,"",IF((G237&gt;0.5)=(E237&gt;0),1,0))</f>
        <v>1</v>
      </c>
      <c r="Z237" s="16">
        <f>IF(R237=0.5,"",IF((R237&gt;0.5)=(E237&gt;0),1,0))</f>
        <v>1</v>
      </c>
      <c r="AA237" s="29">
        <f>(G237-IF(E237&gt;0,1,0))^2</f>
        <v>0.17724099999999998</v>
      </c>
      <c r="AB237" s="29">
        <f>(R237-IF(E237&gt;0,1,0))^2</f>
        <v>0.08990278153558413</v>
      </c>
      <c r="AC237" s="28">
        <f>ABS(H237-E237)</f>
        <v>5.35</v>
      </c>
      <c r="AD237" s="28">
        <f>ABS(I237-E237)</f>
        <v>9.0</v>
      </c>
      <c r="AE237" s="28">
        <f>ABS(S237-E237)</f>
        <v>4.5</v>
      </c>
      <c r="AF237" s="28">
        <f>ABS(L237-F237)</f>
        <v>30.919999999999987</v>
      </c>
      <c r="AG237" s="28">
        <f>ABS(M237-F237)</f>
        <v>27.80000000000001</v>
      </c>
      <c r="AH237" s="28">
        <f>ABS(U237-F237)</f>
        <v>25.5</v>
      </c>
      <c r="AI237" s="28">
        <f>ABS(P237-C237)</f>
        <v>10.260000000000005</v>
      </c>
      <c r="AJ237" s="28">
        <f>ABS(W237-C237)</f>
        <v>10.5</v>
      </c>
      <c r="AK237" s="28">
        <f>ABS(Q237-D237)</f>
        <v>19.950000000000003</v>
      </c>
      <c r="AL237" s="28">
        <f>ABS(X237-D237)</f>
        <v>15.0</v>
      </c>
      <c r="AM237" s="17" t="str">
        <f>IF(H237&gt;S237,"Ev",IF(H237&lt;S237,"Dep",""))</f>
        <v>Ev</v>
      </c>
      <c r="AN237" s="17" t="str">
        <f>IF(AM237="","",IF(E237=S237,"Push",IF((E237&gt;S237)=(AM237="Ev"),"Kazandı","Kaybetti")))</f>
        <v>Kaybetti</v>
      </c>
      <c r="AO237" s="30">
        <f>IF(AM237="","",IF(AN237="Push",0,IF(AN237="Kazandı",IF(AM237="Ev",Oranlar!P237,Oranlar!Q237)-1,-1)))</f>
        <v>-1.0</v>
      </c>
      <c r="AP237" s="17" t="str">
        <f>IF(L237&gt;U237,"Üst",IF(L237&lt;U237,"Alt",""))</f>
        <v>Alt</v>
      </c>
      <c r="AQ237" s="17" t="str">
        <f>IF(AP237="","",IF(F237=U237,"Push",IF((F237&gt;U237)=(AP237="Üst"),"Kazandı","Kaybetti")))</f>
        <v>Kaybetti</v>
      </c>
      <c r="AR237" s="30">
        <f>IF(AP237="","",IF(AQ237="Push",0,IF(AQ237="Kazandı",IF(AP237="Üst",Oranlar!W237,Oranlar!X237)-1,-1)))</f>
        <v>-1.0</v>
      </c>
      <c r="AS237" s="17" t="str">
        <f>IF(G237*Oranlar!R237&gt;1,"Ev",IF((1-G237)*Oranlar!S237&gt;1,"Dep",""))</f>
        <v>Ev</v>
      </c>
      <c r="AT237" s="30">
        <f>IF(AS237="","",IF((AS237="Ev")=(E237&gt;0),IF(AS237="Ev",Oranlar!R237,Oranlar!S237)-1,-1))</f>
        <v>-1.0</v>
      </c>
      <c r="AU237" s="16">
        <f>IF(OR(H237=T237,S237=T237),"",IF((H237&gt;T237)=(S237&gt;T237),1,0))</f>
        <v>1</v>
      </c>
      <c r="AV237" s="16">
        <f>IF(OR(L237=V237,U237=V237),"",IF((L237&gt;V237)=(U237&gt;V237),1,0))</f>
        <v>0</v>
      </c>
      <c r="AW237" s="16">
        <f>IF(AND(E237&gt;=J237,E237&lt;=K237),1,0)</f>
        <v>1</v>
      </c>
      <c r="AX237" s="16">
        <f>IF(AND(F237&gt;=N237,F237&lt;=O237),1,0)</f>
        <v>1</v>
      </c>
    </row>
    <row r="238" spans="1:50">
      <c r="A238" s="21">
        <f>Oranlar!A238</f>
        <v>46115</v>
      </c>
      <c r="B238" s="22" t="str">
        <f>Oranlar!C238&amp;" @ "&amp;Oranlar!D238</f>
        <v>NOP @ SAC</v>
      </c>
      <c r="C238" s="23">
        <f>Oranlar!F238</f>
        <v>117</v>
      </c>
      <c r="D238" s="23">
        <f>Oranlar!E238</f>
        <v>113</v>
      </c>
      <c r="E238" s="15">
        <f>C238-D238</f>
        <v>4</v>
      </c>
      <c r="F238" s="16">
        <f>C238+D238</f>
        <v>230</v>
      </c>
      <c r="G238" s="24">
        <v>0.477</v>
      </c>
      <c r="H238" s="10">
        <v>-0.9399999999999999</v>
      </c>
      <c r="I238" s="10">
        <v>0.1</v>
      </c>
      <c r="J238" s="10">
        <v>-19</v>
      </c>
      <c r="K238" s="10">
        <v>19</v>
      </c>
      <c r="L238" s="11">
        <v>234.19</v>
      </c>
      <c r="M238" s="11">
        <v>237.1</v>
      </c>
      <c r="N238" s="11">
        <v>209</v>
      </c>
      <c r="O238" s="11">
        <v>265</v>
      </c>
      <c r="P238" s="11">
        <v>117.96</v>
      </c>
      <c r="Q238" s="11">
        <v>118.02</v>
      </c>
      <c r="R238" s="25">
        <f>Oranlar!Y238</f>
        <v>0.3194444444444444</v>
      </c>
      <c r="S238" s="26">
        <f>-Oranlar!O238</f>
        <v>-6.5</v>
      </c>
      <c r="T238" s="26">
        <f>-Oranlar!I238</f>
        <v>-5.5</v>
      </c>
      <c r="U238" s="27">
        <f>Oranlar!V238</f>
        <v>232.5</v>
      </c>
      <c r="V238" s="27">
        <f>Oranlar!L238</f>
        <v>234.5</v>
      </c>
      <c r="W238" s="28">
        <f>(U238+S238)/2</f>
        <v>113.0</v>
      </c>
      <c r="X238" s="28">
        <f>(U238-S238)/2</f>
        <v>119.5</v>
      </c>
      <c r="Y238" s="16">
        <f>IF(G238=0.5,"",IF((G238&gt;0.5)=(E238&gt;0),1,0))</f>
        <v>0</v>
      </c>
      <c r="Z238" s="16">
        <f>IF(R238=0.5,"",IF((R238&gt;0.5)=(E238&gt;0),1,0))</f>
        <v>0</v>
      </c>
      <c r="AA238" s="29">
        <f>(G238-IF(E238&gt;0,1,0))^2</f>
        <v>0.273529</v>
      </c>
      <c r="AB238" s="29">
        <f>(R238-IF(E238&gt;0,1,0))^2</f>
        <v>0.4631558641975309</v>
      </c>
      <c r="AC238" s="28">
        <f>ABS(H238-E238)</f>
        <v>4.9399999999999995</v>
      </c>
      <c r="AD238" s="28">
        <f>ABS(I238-E238)</f>
        <v>3.9</v>
      </c>
      <c r="AE238" s="28">
        <f>ABS(S238-E238)</f>
        <v>10.5</v>
      </c>
      <c r="AF238" s="28">
        <f>ABS(L238-F238)</f>
        <v>4.189999999999998</v>
      </c>
      <c r="AG238" s="28">
        <f>ABS(M238-F238)</f>
        <v>7.099999999999994</v>
      </c>
      <c r="AH238" s="28">
        <f>ABS(U238-F238)</f>
        <v>2.5</v>
      </c>
      <c r="AI238" s="28">
        <f>ABS(P238-C238)</f>
        <v>0.9599999999999937</v>
      </c>
      <c r="AJ238" s="28">
        <f>ABS(W238-C238)</f>
        <v>4.0</v>
      </c>
      <c r="AK238" s="28">
        <f>ABS(Q238-D238)</f>
        <v>5.019999999999996</v>
      </c>
      <c r="AL238" s="28">
        <f>ABS(X238-D238)</f>
        <v>6.5</v>
      </c>
      <c r="AM238" s="17" t="str">
        <f>IF(H238&gt;S238,"Ev",IF(H238&lt;S238,"Dep",""))</f>
        <v>Ev</v>
      </c>
      <c r="AN238" s="17" t="str">
        <f>IF(AM238="","",IF(E238=S238,"Push",IF((E238&gt;S238)=(AM238="Ev"),"Kazandı","Kaybetti")))</f>
        <v>Kazandı</v>
      </c>
      <c r="AO238" s="30">
        <f>IF(AM238="","",IF(AN238="Push",0,IF(AN238="Kazandı",IF(AM238="Ev",Oranlar!P238,Oranlar!Q238)-1,-1)))</f>
        <v>0.9523809523809523</v>
      </c>
      <c r="AP238" s="17" t="str">
        <f>IF(L238&gt;U238,"Üst",IF(L238&lt;U238,"Alt",""))</f>
        <v>Üst</v>
      </c>
      <c r="AQ238" s="17" t="str">
        <f>IF(AP238="","",IF(F238=U238,"Push",IF((F238&gt;U238)=(AP238="Üst"),"Kazandı","Kaybetti")))</f>
        <v>Kaybetti</v>
      </c>
      <c r="AR238" s="30">
        <f>IF(AP238="","",IF(AQ238="Push",0,IF(AQ238="Kazandı",IF(AP238="Üst",Oranlar!W238,Oranlar!X238)-1,-1)))</f>
        <v>-1.0</v>
      </c>
      <c r="AS238" s="17" t="str">
        <f>IF(G238*Oranlar!R238&gt;1,"Ev",IF((1-G238)*Oranlar!S238&gt;1,"Dep",""))</f>
        <v>Ev</v>
      </c>
      <c r="AT238" s="30">
        <f>IF(AS238="","",IF((AS238="Ev")=(E238&gt;0),IF(AS238="Ev",Oranlar!R238,Oranlar!S238)-1,-1))</f>
        <v>2.0</v>
      </c>
      <c r="AU238" s="16">
        <f>IF(OR(H238=T238,S238=T238),"",IF((H238&gt;T238)=(S238&gt;T238),1,0))</f>
        <v>0</v>
      </c>
      <c r="AV238" s="16">
        <f>IF(OR(L238=V238,U238=V238),"",IF((L238&gt;V238)=(U238&gt;V238),1,0))</f>
        <v>1</v>
      </c>
      <c r="AW238" s="16">
        <f>IF(AND(E238&gt;=J238,E238&lt;=K238),1,0)</f>
        <v>1</v>
      </c>
      <c r="AX238" s="16">
        <f>IF(AND(F238&gt;=N238,F238&lt;=O238),1,0)</f>
        <v>1</v>
      </c>
    </row>
    <row r="239" spans="1:50">
      <c r="A239" s="21">
        <f>Oranlar!A239</f>
        <v>46116</v>
      </c>
      <c r="B239" s="22" t="str">
        <f>Oranlar!C239&amp;" @ "&amp;Oranlar!D239</f>
        <v>WAS @ MIA</v>
      </c>
      <c r="C239" s="23">
        <f>Oranlar!F239</f>
        <v>152</v>
      </c>
      <c r="D239" s="23">
        <f>Oranlar!E239</f>
        <v>136</v>
      </c>
      <c r="E239" s="15">
        <f>C239-D239</f>
        <v>16</v>
      </c>
      <c r="F239" s="16">
        <f>C239+D239</f>
        <v>288</v>
      </c>
      <c r="G239" s="24">
        <v>0.723</v>
      </c>
      <c r="H239" s="10">
        <v>6.98</v>
      </c>
      <c r="I239" s="10">
        <v>7.4</v>
      </c>
      <c r="J239" s="10">
        <v>-11</v>
      </c>
      <c r="K239" s="10">
        <v>26</v>
      </c>
      <c r="L239" s="11">
        <v>239.99</v>
      </c>
      <c r="M239" s="11">
        <v>235.8</v>
      </c>
      <c r="N239" s="11">
        <v>208</v>
      </c>
      <c r="O239" s="11">
        <v>263</v>
      </c>
      <c r="P239" s="11">
        <v>121.77</v>
      </c>
      <c r="Q239" s="11">
        <v>116.85</v>
      </c>
      <c r="R239" s="25">
        <f>Oranlar!Y239</f>
        <v>0.9258160237388724</v>
      </c>
      <c r="S239" s="26">
        <f>-Oranlar!O239</f>
        <v>18.5</v>
      </c>
      <c r="T239" s="26">
        <f>-Oranlar!I239</f>
        <v>17.5</v>
      </c>
      <c r="U239" s="27">
        <f>Oranlar!V239</f>
        <v>245.5</v>
      </c>
      <c r="V239" s="27">
        <f>Oranlar!L239</f>
        <v>247.5</v>
      </c>
      <c r="W239" s="28">
        <f>(U239+S239)/2</f>
        <v>132.0</v>
      </c>
      <c r="X239" s="28">
        <f>(U239-S239)/2</f>
        <v>113.5</v>
      </c>
      <c r="Y239" s="16">
        <f>IF(G239=0.5,"",IF((G239&gt;0.5)=(E239&gt;0),1,0))</f>
        <v>1</v>
      </c>
      <c r="Z239" s="16">
        <f>IF(R239=0.5,"",IF((R239&gt;0.5)=(E239&gt;0),1,0))</f>
        <v>1</v>
      </c>
      <c r="AA239" s="29">
        <f>(G239-IF(E239&gt;0,1,0))^2</f>
        <v>0.07672900000000002</v>
      </c>
      <c r="AB239" s="29">
        <f>(R239-IF(E239&gt;0,1,0))^2</f>
        <v>0.005503262333911544</v>
      </c>
      <c r="AC239" s="28">
        <f>ABS(H239-E239)</f>
        <v>9.02</v>
      </c>
      <c r="AD239" s="28">
        <f>ABS(I239-E239)</f>
        <v>8.6</v>
      </c>
      <c r="AE239" s="28">
        <f>ABS(S239-E239)</f>
        <v>2.5</v>
      </c>
      <c r="AF239" s="28">
        <f>ABS(L239-F239)</f>
        <v>48.00999999999999</v>
      </c>
      <c r="AG239" s="28">
        <f>ABS(M239-F239)</f>
        <v>52.19999999999999</v>
      </c>
      <c r="AH239" s="28">
        <f>ABS(U239-F239)</f>
        <v>42.5</v>
      </c>
      <c r="AI239" s="28">
        <f>ABS(P239-C239)</f>
        <v>30.230000000000004</v>
      </c>
      <c r="AJ239" s="28">
        <f>ABS(W239-C239)</f>
        <v>20.0</v>
      </c>
      <c r="AK239" s="28">
        <f>ABS(Q239-D239)</f>
        <v>19.150000000000006</v>
      </c>
      <c r="AL239" s="28">
        <f>ABS(X239-D239)</f>
        <v>22.5</v>
      </c>
      <c r="AM239" s="17" t="str">
        <f>IF(H239&gt;S239,"Ev",IF(H239&lt;S239,"Dep",""))</f>
        <v>Dep</v>
      </c>
      <c r="AN239" s="17" t="str">
        <f>IF(AM239="","",IF(E239=S239,"Push",IF((E239&gt;S239)=(AM239="Ev"),"Kazandı","Kaybetti")))</f>
        <v>Kazandı</v>
      </c>
      <c r="AO239" s="30">
        <f>IF(AM239="","",IF(AN239="Push",0,IF(AN239="Kazandı",IF(AM239="Ev",Oranlar!P239,Oranlar!Q239)-1,-1)))</f>
        <v>0.8928571428571428</v>
      </c>
      <c r="AP239" s="17" t="str">
        <f>IF(L239&gt;U239,"Üst",IF(L239&lt;U239,"Alt",""))</f>
        <v>Alt</v>
      </c>
      <c r="AQ239" s="17" t="str">
        <f>IF(AP239="","",IF(F239=U239,"Push",IF((F239&gt;U239)=(AP239="Üst"),"Kazandı","Kaybetti")))</f>
        <v>Kaybetti</v>
      </c>
      <c r="AR239" s="30">
        <f>IF(AP239="","",IF(AQ239="Push",0,IF(AQ239="Kazandı",IF(AP239="Üst",Oranlar!W239,Oranlar!X239)-1,-1)))</f>
        <v>-1.0</v>
      </c>
      <c r="AS239" s="17" t="str">
        <f>IF(G239*Oranlar!R239&gt;1,"Ev",IF((1-G239)*Oranlar!S239&gt;1,"Dep",""))</f>
        <v>Dep</v>
      </c>
      <c r="AT239" s="30">
        <f>IF(AS239="","",IF((AS239="Ev")=(E239&gt;0),IF(AS239="Ev",Oranlar!R239,Oranlar!S239)-1,-1))</f>
        <v>-1.0</v>
      </c>
      <c r="AU239" s="16">
        <f>IF(OR(H239=T239,S239=T239),"",IF((H239&gt;T239)=(S239&gt;T239),1,0))</f>
        <v>0</v>
      </c>
      <c r="AV239" s="16">
        <f>IF(OR(L239=V239,U239=V239),"",IF((L239&gt;V239)=(U239&gt;V239),1,0))</f>
        <v>1</v>
      </c>
      <c r="AW239" s="16">
        <f>IF(AND(E239&gt;=J239,E239&lt;=K239),1,0)</f>
        <v>1</v>
      </c>
      <c r="AX239" s="16">
        <f>IF(AND(F239&gt;=N239,F239&lt;=O239),1,0)</f>
        <v>0</v>
      </c>
    </row>
    <row r="240" spans="1:50">
      <c r="A240" s="21">
        <f>Oranlar!A240</f>
        <v>46116</v>
      </c>
      <c r="B240" s="22" t="str">
        <f>Oranlar!C240&amp;" @ "&amp;Oranlar!D240</f>
        <v>SAS @ DEN</v>
      </c>
      <c r="C240" s="23">
        <f>Oranlar!F240</f>
        <v>136</v>
      </c>
      <c r="D240" s="23">
        <f>Oranlar!E240</f>
        <v>134</v>
      </c>
      <c r="E240" s="15">
        <f>C240-D240</f>
        <v>2</v>
      </c>
      <c r="F240" s="16">
        <f>C240+D240</f>
        <v>270</v>
      </c>
      <c r="G240" s="24">
        <v>0.469</v>
      </c>
      <c r="H240" s="10">
        <v>-1.09</v>
      </c>
      <c r="I240" s="10">
        <v>-0</v>
      </c>
      <c r="J240" s="10">
        <v>-18</v>
      </c>
      <c r="K240" s="10">
        <v>19</v>
      </c>
      <c r="L240" s="11">
        <v>235.92</v>
      </c>
      <c r="M240" s="11">
        <v>232.5</v>
      </c>
      <c r="N240" s="11">
        <v>205</v>
      </c>
      <c r="O240" s="11">
        <v>260</v>
      </c>
      <c r="P240" s="11">
        <v>115.74</v>
      </c>
      <c r="Q240" s="11">
        <v>121.53</v>
      </c>
      <c r="R240" s="25">
        <f>Oranlar!Y240</f>
        <v>0.4675324675324676</v>
      </c>
      <c r="S240" s="26">
        <f>-Oranlar!O240</f>
        <v>-1.5</v>
      </c>
      <c r="T240" s="26">
        <f>-Oranlar!I240</f>
        <v>-2.5</v>
      </c>
      <c r="U240" s="27">
        <f>Oranlar!V240</f>
        <v>244.5</v>
      </c>
      <c r="V240" s="27">
        <f>Oranlar!L240</f>
        <v>243.5</v>
      </c>
      <c r="W240" s="28">
        <f>(U240+S240)/2</f>
        <v>121.5</v>
      </c>
      <c r="X240" s="28">
        <f>(U240-S240)/2</f>
        <v>123.0</v>
      </c>
      <c r="Y240" s="16">
        <f>IF(G240=0.5,"",IF((G240&gt;0.5)=(E240&gt;0),1,0))</f>
        <v>0</v>
      </c>
      <c r="Z240" s="16">
        <f>IF(R240=0.5,"",IF((R240&gt;0.5)=(E240&gt;0),1,0))</f>
        <v>0</v>
      </c>
      <c r="AA240" s="29">
        <f>(G240-IF(E240&gt;0,1,0))^2</f>
        <v>0.281961</v>
      </c>
      <c r="AB240" s="29">
        <f>(R240-IF(E240&gt;0,1,0))^2</f>
        <v>0.28352167313206267</v>
      </c>
      <c r="AC240" s="28">
        <f>ABS(H240-E240)</f>
        <v>3.09</v>
      </c>
      <c r="AD240" s="28">
        <f>ABS(I240-E240)</f>
        <v>2.0</v>
      </c>
      <c r="AE240" s="28">
        <f>ABS(S240-E240)</f>
        <v>3.5</v>
      </c>
      <c r="AF240" s="28">
        <f>ABS(L240-F240)</f>
        <v>34.08000000000001</v>
      </c>
      <c r="AG240" s="28">
        <f>ABS(M240-F240)</f>
        <v>37.5</v>
      </c>
      <c r="AH240" s="28">
        <f>ABS(U240-F240)</f>
        <v>25.5</v>
      </c>
      <c r="AI240" s="28">
        <f>ABS(P240-C240)</f>
        <v>20.260000000000005</v>
      </c>
      <c r="AJ240" s="28">
        <f>ABS(W240-C240)</f>
        <v>14.5</v>
      </c>
      <c r="AK240" s="28">
        <f>ABS(Q240-D240)</f>
        <v>12.469999999999999</v>
      </c>
      <c r="AL240" s="28">
        <f>ABS(X240-D240)</f>
        <v>11.0</v>
      </c>
      <c r="AM240" s="17" t="str">
        <f>IF(H240&gt;S240,"Ev",IF(H240&lt;S240,"Dep",""))</f>
        <v>Ev</v>
      </c>
      <c r="AN240" s="17" t="str">
        <f>IF(AM240="","",IF(E240=S240,"Push",IF((E240&gt;S240)=(AM240="Ev"),"Kazandı","Kaybetti")))</f>
        <v>Kazandı</v>
      </c>
      <c r="AO240" s="30">
        <f>IF(AM240="","",IF(AN240="Push",0,IF(AN240="Kazandı",IF(AM240="Ev",Oranlar!P240,Oranlar!Q240)-1,-1)))</f>
        <v>0.925925925925926</v>
      </c>
      <c r="AP240" s="17" t="str">
        <f>IF(L240&gt;U240,"Üst",IF(L240&lt;U240,"Alt",""))</f>
        <v>Alt</v>
      </c>
      <c r="AQ240" s="17" t="str">
        <f>IF(AP240="","",IF(F240=U240,"Push",IF((F240&gt;U240)=(AP240="Üst"),"Kazandı","Kaybetti")))</f>
        <v>Kaybetti</v>
      </c>
      <c r="AR240" s="30">
        <f>IF(AP240="","",IF(AQ240="Push",0,IF(AQ240="Kazandı",IF(AP240="Üst",Oranlar!W240,Oranlar!X240)-1,-1)))</f>
        <v>-1.0</v>
      </c>
      <c r="AS240" s="17">
        <f>IF(G240*Oranlar!R240&gt;1,"Ev",IF((1-G240)*Oranlar!S240&gt;1,"Dep",""))</f>
        <v/>
      </c>
      <c r="AT240" s="30">
        <f>IF(AS240="","",IF((AS240="Ev")=(E240&gt;0),IF(AS240="Ev",Oranlar!R240,Oranlar!S240)-1,-1))</f>
        <v/>
      </c>
      <c r="AU240" s="16">
        <f>IF(OR(H240=T240,S240=T240),"",IF((H240&gt;T240)=(S240&gt;T240),1,0))</f>
        <v>1</v>
      </c>
      <c r="AV240" s="16">
        <f>IF(OR(L240=V240,U240=V240),"",IF((L240&gt;V240)=(U240&gt;V240),1,0))</f>
        <v>0</v>
      </c>
      <c r="AW240" s="16">
        <f>IF(AND(E240&gt;=J240,E240&lt;=K240),1,0)</f>
        <v>1</v>
      </c>
      <c r="AX240" s="16">
        <f>IF(AND(F240&gt;=N240,F240&lt;=O240),1,0)</f>
        <v>0</v>
      </c>
    </row>
    <row r="241" spans="1:50">
      <c r="A241" s="21">
        <f>Oranlar!A241</f>
        <v>46116</v>
      </c>
      <c r="B241" s="22" t="str">
        <f>Oranlar!C241&amp;" @ "&amp;Oranlar!D241</f>
        <v>DET @ PHI</v>
      </c>
      <c r="C241" s="23">
        <f>Oranlar!F241</f>
        <v>93</v>
      </c>
      <c r="D241" s="23">
        <f>Oranlar!E241</f>
        <v>116</v>
      </c>
      <c r="E241" s="15">
        <f>C241-D241</f>
        <v>-23</v>
      </c>
      <c r="F241" s="16">
        <f>C241+D241</f>
        <v>209</v>
      </c>
      <c r="G241" s="24">
        <v>0.504</v>
      </c>
      <c r="H241" s="10">
        <v>-2</v>
      </c>
      <c r="I241" s="10">
        <v>0.2</v>
      </c>
      <c r="J241" s="10">
        <v>-18</v>
      </c>
      <c r="K241" s="10">
        <v>19</v>
      </c>
      <c r="L241" s="11">
        <v>233.55</v>
      </c>
      <c r="M241" s="11">
        <v>235.5</v>
      </c>
      <c r="N241" s="11">
        <v>208</v>
      </c>
      <c r="O241" s="11">
        <v>263</v>
      </c>
      <c r="P241" s="11">
        <v>115.33</v>
      </c>
      <c r="Q241" s="11">
        <v>118.41</v>
      </c>
      <c r="R241" s="25">
        <f>Oranlar!Y241</f>
        <v>0.3962430290578222</v>
      </c>
      <c r="S241" s="26">
        <f>-Oranlar!O241</f>
        <v>-3.5</v>
      </c>
      <c r="T241" s="26">
        <f>-Oranlar!I241</f>
        <v>1.5</v>
      </c>
      <c r="U241" s="27">
        <f>Oranlar!V241</f>
        <v>225.5</v>
      </c>
      <c r="V241" s="27">
        <f>Oranlar!L241</f>
        <v>226.5</v>
      </c>
      <c r="W241" s="28">
        <f>(U241+S241)/2</f>
        <v>111.0</v>
      </c>
      <c r="X241" s="28">
        <f>(U241-S241)/2</f>
        <v>114.5</v>
      </c>
      <c r="Y241" s="16">
        <f>IF(G241=0.5,"",IF((G241&gt;0.5)=(E241&gt;0),1,0))</f>
        <v>0</v>
      </c>
      <c r="Z241" s="16">
        <f>IF(R241=0.5,"",IF((R241&gt;0.5)=(E241&gt;0),1,0))</f>
        <v>1</v>
      </c>
      <c r="AA241" s="29">
        <f>(G241-IF(E241&gt;0,1,0))^2</f>
        <v>0.254016</v>
      </c>
      <c r="AB241" s="29">
        <f>(R241-IF(E241&gt;0,1,0))^2</f>
        <v>0.15700853807691814</v>
      </c>
      <c r="AC241" s="28">
        <f>ABS(H241-E241)</f>
        <v>21.0</v>
      </c>
      <c r="AD241" s="28">
        <f>ABS(I241-E241)</f>
        <v>23.2</v>
      </c>
      <c r="AE241" s="28">
        <f>ABS(S241-E241)</f>
        <v>19.5</v>
      </c>
      <c r="AF241" s="28">
        <f>ABS(L241-F241)</f>
        <v>24.55000000000001</v>
      </c>
      <c r="AG241" s="28">
        <f>ABS(M241-F241)</f>
        <v>26.5</v>
      </c>
      <c r="AH241" s="28">
        <f>ABS(U241-F241)</f>
        <v>16.5</v>
      </c>
      <c r="AI241" s="28">
        <f>ABS(P241-C241)</f>
        <v>22.33</v>
      </c>
      <c r="AJ241" s="28">
        <f>ABS(W241-C241)</f>
        <v>18.0</v>
      </c>
      <c r="AK241" s="28">
        <f>ABS(Q241-D241)</f>
        <v>2.4099999999999966</v>
      </c>
      <c r="AL241" s="28">
        <f>ABS(X241-D241)</f>
        <v>1.5</v>
      </c>
      <c r="AM241" s="17" t="str">
        <f>IF(H241&gt;S241,"Ev",IF(H241&lt;S241,"Dep",""))</f>
        <v>Ev</v>
      </c>
      <c r="AN241" s="17" t="str">
        <f>IF(AM241="","",IF(E241=S241,"Push",IF((E241&gt;S241)=(AM241="Ev"),"Kazandı","Kaybetti")))</f>
        <v>Kaybetti</v>
      </c>
      <c r="AO241" s="30">
        <f>IF(AM241="","",IF(AN241="Push",0,IF(AN241="Kazandı",IF(AM241="Ev",Oranlar!P241,Oranlar!Q241)-1,-1)))</f>
        <v>-1.0</v>
      </c>
      <c r="AP241" s="17" t="str">
        <f>IF(L241&gt;U241,"Üst",IF(L241&lt;U241,"Alt",""))</f>
        <v>Üst</v>
      </c>
      <c r="AQ241" s="17" t="str">
        <f>IF(AP241="","",IF(F241=U241,"Push",IF((F241&gt;U241)=(AP241="Üst"),"Kazandı","Kaybetti")))</f>
        <v>Kaybetti</v>
      </c>
      <c r="AR241" s="30">
        <f>IF(AP241="","",IF(AQ241="Push",0,IF(AQ241="Kazandı",IF(AP241="Üst",Oranlar!W241,Oranlar!X241)-1,-1)))</f>
        <v>-1.0</v>
      </c>
      <c r="AS241" s="17" t="str">
        <f>IF(G241*Oranlar!R241&gt;1,"Ev",IF((1-G241)*Oranlar!S241&gt;1,"Dep",""))</f>
        <v>Ev</v>
      </c>
      <c r="AT241" s="30">
        <f>IF(AS241="","",IF((AS241="Ev")=(E241&gt;0),IF(AS241="Ev",Oranlar!R241,Oranlar!S241)-1,-1))</f>
        <v>-1.0</v>
      </c>
      <c r="AU241" s="16">
        <f>IF(OR(H241=T241,S241=T241),"",IF((H241&gt;T241)=(S241&gt;T241),1,0))</f>
        <v>1</v>
      </c>
      <c r="AV241" s="16">
        <f>IF(OR(L241=V241,U241=V241),"",IF((L241&gt;V241)=(U241&gt;V241),1,0))</f>
        <v>0</v>
      </c>
      <c r="AW241" s="16">
        <f>IF(AND(E241&gt;=J241,E241&lt;=K241),1,0)</f>
        <v>0</v>
      </c>
      <c r="AX241" s="16">
        <f>IF(AND(F241&gt;=N241,F241&lt;=O241),1,0)</f>
        <v>1</v>
      </c>
    </row>
    <row r="242" spans="1:50">
      <c r="A242" s="21">
        <f>Oranlar!A242</f>
        <v>46117</v>
      </c>
      <c r="B242" s="22" t="str">
        <f>Oranlar!C242&amp;" @ "&amp;Oranlar!D242</f>
        <v>TOR @ BOS</v>
      </c>
      <c r="C242" s="23">
        <f>Oranlar!F242</f>
        <v>115</v>
      </c>
      <c r="D242" s="23">
        <f>Oranlar!E242</f>
        <v>101</v>
      </c>
      <c r="E242" s="15">
        <f>C242-D242</f>
        <v>14</v>
      </c>
      <c r="F242" s="16">
        <f>C242+D242</f>
        <v>216</v>
      </c>
      <c r="G242" s="24">
        <v>0.615</v>
      </c>
      <c r="H242" s="10">
        <v>2.73</v>
      </c>
      <c r="I242" s="10">
        <v>5.8</v>
      </c>
      <c r="J242" s="10">
        <v>-12</v>
      </c>
      <c r="K242" s="10">
        <v>24</v>
      </c>
      <c r="L242" s="11">
        <v>227.63</v>
      </c>
      <c r="M242" s="11">
        <v>229.4</v>
      </c>
      <c r="N242" s="11">
        <v>202</v>
      </c>
      <c r="O242" s="11">
        <v>257</v>
      </c>
      <c r="P242" s="11">
        <v>115.91</v>
      </c>
      <c r="Q242" s="11">
        <v>113.38</v>
      </c>
      <c r="R242" s="25">
        <f>Oranlar!Y242</f>
        <v>0.7768331562167907</v>
      </c>
      <c r="S242" s="26">
        <f>-Oranlar!O242</f>
        <v>9.5</v>
      </c>
      <c r="T242" s="26">
        <f>-Oranlar!I242</f>
        <v>9.5</v>
      </c>
      <c r="U242" s="27">
        <f>Oranlar!V242</f>
        <v>221.5</v>
      </c>
      <c r="V242" s="27">
        <f>Oranlar!L242</f>
        <v>220.5</v>
      </c>
      <c r="W242" s="28">
        <f>(U242+S242)/2</f>
        <v>115.5</v>
      </c>
      <c r="X242" s="28">
        <f>(U242-S242)/2</f>
        <v>106.0</v>
      </c>
      <c r="Y242" s="16">
        <f>IF(G242=0.5,"",IF((G242&gt;0.5)=(E242&gt;0),1,0))</f>
        <v>1</v>
      </c>
      <c r="Z242" s="16">
        <f>IF(R242=0.5,"",IF((R242&gt;0.5)=(E242&gt;0),1,0))</f>
        <v>1</v>
      </c>
      <c r="AA242" s="29">
        <f>(G242-IF(E242&gt;0,1,0))^2</f>
        <v>0.148225</v>
      </c>
      <c r="AB242" s="29">
        <f>(R242-IF(E242&gt;0,1,0))^2</f>
        <v>0.049803440164159336</v>
      </c>
      <c r="AC242" s="28">
        <f>ABS(H242-E242)</f>
        <v>11.27</v>
      </c>
      <c r="AD242" s="28">
        <f>ABS(I242-E242)</f>
        <v>8.2</v>
      </c>
      <c r="AE242" s="28">
        <f>ABS(S242-E242)</f>
        <v>4.5</v>
      </c>
      <c r="AF242" s="28">
        <f>ABS(L242-F242)</f>
        <v>11.629999999999995</v>
      </c>
      <c r="AG242" s="28">
        <f>ABS(M242-F242)</f>
        <v>13.400000000000006</v>
      </c>
      <c r="AH242" s="28">
        <f>ABS(U242-F242)</f>
        <v>5.5</v>
      </c>
      <c r="AI242" s="28">
        <f>ABS(P242-C242)</f>
        <v>0.9099999999999966</v>
      </c>
      <c r="AJ242" s="28">
        <f>ABS(W242-C242)</f>
        <v>0.5</v>
      </c>
      <c r="AK242" s="28">
        <f>ABS(Q242-D242)</f>
        <v>12.379999999999995</v>
      </c>
      <c r="AL242" s="28">
        <f>ABS(X242-D242)</f>
        <v>5.0</v>
      </c>
      <c r="AM242" s="17" t="str">
        <f>IF(H242&gt;S242,"Ev",IF(H242&lt;S242,"Dep",""))</f>
        <v>Dep</v>
      </c>
      <c r="AN242" s="17" t="str">
        <f>IF(AM242="","",IF(E242=S242,"Push",IF((E242&gt;S242)=(AM242="Ev"),"Kazandı","Kaybetti")))</f>
        <v>Kaybetti</v>
      </c>
      <c r="AO242" s="30">
        <f>IF(AM242="","",IF(AN242="Push",0,IF(AN242="Kazandı",IF(AM242="Ev",Oranlar!P242,Oranlar!Q242)-1,-1)))</f>
        <v>-1.0</v>
      </c>
      <c r="AP242" s="17" t="str">
        <f>IF(L242&gt;U242,"Üst",IF(L242&lt;U242,"Alt",""))</f>
        <v>Üst</v>
      </c>
      <c r="AQ242" s="17" t="str">
        <f>IF(AP242="","",IF(F242=U242,"Push",IF((F242&gt;U242)=(AP242="Üst"),"Kazandı","Kaybetti")))</f>
        <v>Kaybetti</v>
      </c>
      <c r="AR242" s="30">
        <f>IF(AP242="","",IF(AQ242="Push",0,IF(AQ242="Kazandı",IF(AP242="Üst",Oranlar!W242,Oranlar!X242)-1,-1)))</f>
        <v>-1.0</v>
      </c>
      <c r="AS242" s="17" t="str">
        <f>IF(G242*Oranlar!R242&gt;1,"Ev",IF((1-G242)*Oranlar!S242&gt;1,"Dep",""))</f>
        <v>Dep</v>
      </c>
      <c r="AT242" s="30">
        <f>IF(AS242="","",IF((AS242="Ev")=(E242&gt;0),IF(AS242="Ev",Oranlar!R242,Oranlar!S242)-1,-1))</f>
        <v>-1.0</v>
      </c>
      <c r="AU242" s="16">
        <f>IF(OR(H242=T242,S242=T242),"",IF((H242&gt;T242)=(S242&gt;T242),1,0))</f>
        <v/>
      </c>
      <c r="AV242" s="16">
        <f>IF(OR(L242=V242,U242=V242),"",IF((L242&gt;V242)=(U242&gt;V242),1,0))</f>
        <v>1</v>
      </c>
      <c r="AW242" s="16">
        <f>IF(AND(E242&gt;=J242,E242&lt;=K242),1,0)</f>
        <v>1</v>
      </c>
      <c r="AX242" s="16">
        <f>IF(AND(F242&gt;=N242,F242&lt;=O242),1,0)</f>
        <v>1</v>
      </c>
    </row>
    <row r="243" spans="1:50">
      <c r="A243" s="21">
        <f>Oranlar!A243</f>
        <v>46117</v>
      </c>
      <c r="B243" s="22" t="str">
        <f>Oranlar!C243&amp;" @ "&amp;Oranlar!D243</f>
        <v>WAS @ BKN</v>
      </c>
      <c r="C243" s="23">
        <f>Oranlar!F243</f>
        <v>121</v>
      </c>
      <c r="D243" s="23">
        <f>Oranlar!E243</f>
        <v>115</v>
      </c>
      <c r="E243" s="15">
        <f>C243-D243</f>
        <v>6</v>
      </c>
      <c r="F243" s="16">
        <f>C243+D243</f>
        <v>236</v>
      </c>
      <c r="G243" s="24">
        <v>0.452</v>
      </c>
      <c r="H243" s="10">
        <v>-0.28</v>
      </c>
      <c r="I243" s="10">
        <v>-4.3</v>
      </c>
      <c r="J243" s="10">
        <v>-22</v>
      </c>
      <c r="K243" s="10">
        <v>14</v>
      </c>
      <c r="L243" s="11">
        <v>223.98</v>
      </c>
      <c r="M243" s="11">
        <v>223.2</v>
      </c>
      <c r="N243" s="11">
        <v>196</v>
      </c>
      <c r="O243" s="11">
        <v>250</v>
      </c>
      <c r="P243" s="11">
        <v>109.86</v>
      </c>
      <c r="Q243" s="11">
        <v>112.49</v>
      </c>
      <c r="R243" s="25">
        <f>Oranlar!Y243</f>
        <v>0.593369754159424</v>
      </c>
      <c r="S243" s="26">
        <f>-Oranlar!O243</f>
        <v>3.5</v>
      </c>
      <c r="T243" s="26">
        <f>-Oranlar!I243</f>
        <v>4.5</v>
      </c>
      <c r="U243" s="27">
        <f>Oranlar!V243</f>
        <v>230.5</v>
      </c>
      <c r="V243" s="27">
        <f>Oranlar!L243</f>
        <v>230.5</v>
      </c>
      <c r="W243" s="28">
        <f>(U243+S243)/2</f>
        <v>117.0</v>
      </c>
      <c r="X243" s="28">
        <f>(U243-S243)/2</f>
        <v>113.5</v>
      </c>
      <c r="Y243" s="16">
        <f>IF(G243=0.5,"",IF((G243&gt;0.5)=(E243&gt;0),1,0))</f>
        <v>0</v>
      </c>
      <c r="Z243" s="16">
        <f>IF(R243=0.5,"",IF((R243&gt;0.5)=(E243&gt;0),1,0))</f>
        <v>1</v>
      </c>
      <c r="AA243" s="29">
        <f>(G243-IF(E243&gt;0,1,0))^2</f>
        <v>0.30030400000000007</v>
      </c>
      <c r="AB243" s="29">
        <f>(R243-IF(E243&gt;0,1,0))^2</f>
        <v>0.1653481568323673</v>
      </c>
      <c r="AC243" s="28">
        <f>ABS(H243-E243)</f>
        <v>6.28</v>
      </c>
      <c r="AD243" s="28">
        <f>ABS(I243-E243)</f>
        <v>10.3</v>
      </c>
      <c r="AE243" s="28">
        <f>ABS(S243-E243)</f>
        <v>2.5</v>
      </c>
      <c r="AF243" s="28">
        <f>ABS(L243-F243)</f>
        <v>12.02000000000001</v>
      </c>
      <c r="AG243" s="28">
        <f>ABS(M243-F243)</f>
        <v>12.800000000000011</v>
      </c>
      <c r="AH243" s="28">
        <f>ABS(U243-F243)</f>
        <v>5.5</v>
      </c>
      <c r="AI243" s="28">
        <f>ABS(P243-C243)</f>
        <v>11.14</v>
      </c>
      <c r="AJ243" s="28">
        <f>ABS(W243-C243)</f>
        <v>4.0</v>
      </c>
      <c r="AK243" s="28">
        <f>ABS(Q243-D243)</f>
        <v>2.510000000000005</v>
      </c>
      <c r="AL243" s="28">
        <f>ABS(X243-D243)</f>
        <v>1.5</v>
      </c>
      <c r="AM243" s="17" t="str">
        <f>IF(H243&gt;S243,"Ev",IF(H243&lt;S243,"Dep",""))</f>
        <v>Dep</v>
      </c>
      <c r="AN243" s="17" t="str">
        <f>IF(AM243="","",IF(E243=S243,"Push",IF((E243&gt;S243)=(AM243="Ev"),"Kazandı","Kaybetti")))</f>
        <v>Kaybetti</v>
      </c>
      <c r="AO243" s="30">
        <f>IF(AM243="","",IF(AN243="Push",0,IF(AN243="Kazandı",IF(AM243="Ev",Oranlar!P243,Oranlar!Q243)-1,-1)))</f>
        <v>-1.0</v>
      </c>
      <c r="AP243" s="17" t="str">
        <f>IF(L243&gt;U243,"Üst",IF(L243&lt;U243,"Alt",""))</f>
        <v>Alt</v>
      </c>
      <c r="AQ243" s="17" t="str">
        <f>IF(AP243="","",IF(F243=U243,"Push",IF((F243&gt;U243)=(AP243="Üst"),"Kazandı","Kaybetti")))</f>
        <v>Kaybetti</v>
      </c>
      <c r="AR243" s="30">
        <f>IF(AP243="","",IF(AQ243="Push",0,IF(AQ243="Kazandı",IF(AP243="Üst",Oranlar!W243,Oranlar!X243)-1,-1)))</f>
        <v>-1.0</v>
      </c>
      <c r="AS243" s="17" t="str">
        <f>IF(G243*Oranlar!R243&gt;1,"Ev",IF((1-G243)*Oranlar!S243&gt;1,"Dep",""))</f>
        <v>Dep</v>
      </c>
      <c r="AT243" s="30">
        <f>IF(AS243="","",IF((AS243="Ev")=(E243&gt;0),IF(AS243="Ev",Oranlar!R243,Oranlar!S243)-1,-1))</f>
        <v>-1.0</v>
      </c>
      <c r="AU243" s="16">
        <f>IF(OR(H243=T243,S243=T243),"",IF((H243&gt;T243)=(S243&gt;T243),1,0))</f>
        <v>1</v>
      </c>
      <c r="AV243" s="16">
        <f>IF(OR(L243=V243,U243=V243),"",IF((L243&gt;V243)=(U243&gt;V243),1,0))</f>
        <v/>
      </c>
      <c r="AW243" s="16">
        <f>IF(AND(E243&gt;=J243,E243&lt;=K243),1,0)</f>
        <v>1</v>
      </c>
      <c r="AX243" s="16">
        <f>IF(AND(F243&gt;=N243,F243&lt;=O243),1,0)</f>
        <v>1</v>
      </c>
    </row>
    <row r="244" spans="1:50">
      <c r="A244" s="21">
        <f>Oranlar!A244</f>
        <v>46117</v>
      </c>
      <c r="B244" s="22" t="str">
        <f>Oranlar!C244&amp;" @ "&amp;Oranlar!D244</f>
        <v>PHX @ CHI</v>
      </c>
      <c r="C244" s="23">
        <f>Oranlar!F244</f>
        <v>110</v>
      </c>
      <c r="D244" s="23">
        <f>Oranlar!E244</f>
        <v>120</v>
      </c>
      <c r="E244" s="15">
        <f>C244-D244</f>
        <v>-10</v>
      </c>
      <c r="F244" s="16">
        <f>C244+D244</f>
        <v>230</v>
      </c>
      <c r="G244" s="24">
        <v>0.27</v>
      </c>
      <c r="H244" s="10">
        <v>-6.32</v>
      </c>
      <c r="I244" s="10">
        <v>-7.8</v>
      </c>
      <c r="J244" s="10">
        <v>-27</v>
      </c>
      <c r="K244" s="10">
        <v>11</v>
      </c>
      <c r="L244" s="11">
        <v>235.68</v>
      </c>
      <c r="M244" s="11">
        <v>238.9</v>
      </c>
      <c r="N244" s="11">
        <v>211</v>
      </c>
      <c r="O244" s="11">
        <v>267</v>
      </c>
      <c r="P244" s="11">
        <v>113.62</v>
      </c>
      <c r="Q244" s="11">
        <v>122.74</v>
      </c>
      <c r="R244" s="25">
        <f>Oranlar!Y244</f>
        <v>0.17287630402384502</v>
      </c>
      <c r="S244" s="26">
        <f>-Oranlar!O244</f>
        <v>-11.5</v>
      </c>
      <c r="T244" s="26">
        <f>-Oranlar!I244</f>
        <v>-10.5</v>
      </c>
      <c r="U244" s="27">
        <f>Oranlar!V244</f>
        <v>243.5</v>
      </c>
      <c r="V244" s="27">
        <f>Oranlar!L244</f>
        <v>234.5</v>
      </c>
      <c r="W244" s="28">
        <f>(U244+S244)/2</f>
        <v>116.0</v>
      </c>
      <c r="X244" s="28">
        <f>(U244-S244)/2</f>
        <v>127.5</v>
      </c>
      <c r="Y244" s="16">
        <f>IF(G244=0.5,"",IF((G244&gt;0.5)=(E244&gt;0),1,0))</f>
        <v>1</v>
      </c>
      <c r="Z244" s="16">
        <f>IF(R244=0.5,"",IF((R244&gt;0.5)=(E244&gt;0),1,0))</f>
        <v>1</v>
      </c>
      <c r="AA244" s="29">
        <f>(G244-IF(E244&gt;0,1,0))^2</f>
        <v>0.0729</v>
      </c>
      <c r="AB244" s="29">
        <f>(R244-IF(E244&gt;0,1,0))^2</f>
        <v>0.029886216492944893</v>
      </c>
      <c r="AC244" s="28">
        <f>ABS(H244-E244)</f>
        <v>3.6799999999999997</v>
      </c>
      <c r="AD244" s="28">
        <f>ABS(I244-E244)</f>
        <v>2.2</v>
      </c>
      <c r="AE244" s="28">
        <f>ABS(S244-E244)</f>
        <v>1.5</v>
      </c>
      <c r="AF244" s="28">
        <f>ABS(L244-F244)</f>
        <v>5.680000000000007</v>
      </c>
      <c r="AG244" s="28">
        <f>ABS(M244-F244)</f>
        <v>8.900000000000006</v>
      </c>
      <c r="AH244" s="28">
        <f>ABS(U244-F244)</f>
        <v>13.5</v>
      </c>
      <c r="AI244" s="28">
        <f>ABS(P244-C244)</f>
        <v>3.6200000000000045</v>
      </c>
      <c r="AJ244" s="28">
        <f>ABS(W244-C244)</f>
        <v>6.0</v>
      </c>
      <c r="AK244" s="28">
        <f>ABS(Q244-D244)</f>
        <v>2.739999999999995</v>
      </c>
      <c r="AL244" s="28">
        <f>ABS(X244-D244)</f>
        <v>7.5</v>
      </c>
      <c r="AM244" s="17" t="str">
        <f>IF(H244&gt;S244,"Ev",IF(H244&lt;S244,"Dep",""))</f>
        <v>Ev</v>
      </c>
      <c r="AN244" s="17" t="str">
        <f>IF(AM244="","",IF(E244=S244,"Push",IF((E244&gt;S244)=(AM244="Ev"),"Kazandı","Kaybetti")))</f>
        <v>Kazandı</v>
      </c>
      <c r="AO244" s="30">
        <f>IF(AM244="","",IF(AN244="Push",0,IF(AN244="Kazandı",IF(AM244="Ev",Oranlar!P244,Oranlar!Q244)-1,-1)))</f>
        <v>0.8928571428571428</v>
      </c>
      <c r="AP244" s="17" t="str">
        <f>IF(L244&gt;U244,"Üst",IF(L244&lt;U244,"Alt",""))</f>
        <v>Alt</v>
      </c>
      <c r="AQ244" s="17" t="str">
        <f>IF(AP244="","",IF(F244=U244,"Push",IF((F244&gt;U244)=(AP244="Üst"),"Kazandı","Kaybetti")))</f>
        <v>Kazandı</v>
      </c>
      <c r="AR244" s="30">
        <f>IF(AP244="","",IF(AQ244="Push",0,IF(AQ244="Kazandı",IF(AP244="Üst",Oranlar!W244,Oranlar!X244)-1,-1)))</f>
        <v>0.8928571428571428</v>
      </c>
      <c r="AS244" s="17" t="str">
        <f>IF(G244*Oranlar!R244&gt;1,"Ev",IF((1-G244)*Oranlar!S244&gt;1,"Dep",""))</f>
        <v>Ev</v>
      </c>
      <c r="AT244" s="30">
        <f>IF(AS244="","",IF((AS244="Ev")=(E244&gt;0),IF(AS244="Ev",Oranlar!R244,Oranlar!S244)-1,-1))</f>
        <v>-1.0</v>
      </c>
      <c r="AU244" s="16">
        <f>IF(OR(H244=T244,S244=T244),"",IF((H244&gt;T244)=(S244&gt;T244),1,0))</f>
        <v>0</v>
      </c>
      <c r="AV244" s="16">
        <f>IF(OR(L244=V244,U244=V244),"",IF((L244&gt;V244)=(U244&gt;V244),1,0))</f>
        <v>1</v>
      </c>
      <c r="AW244" s="16">
        <f>IF(AND(E244&gt;=J244,E244&lt;=K244),1,0)</f>
        <v>1</v>
      </c>
      <c r="AX244" s="16">
        <f>IF(AND(F244&gt;=N244,F244&lt;=O244),1,0)</f>
        <v>1</v>
      </c>
    </row>
    <row r="245" spans="1:50">
      <c r="A245" s="21">
        <f>Oranlar!A245</f>
        <v>46117</v>
      </c>
      <c r="B245" s="22" t="str">
        <f>Oranlar!C245&amp;" @ "&amp;Oranlar!D245</f>
        <v>MEM @ MIL</v>
      </c>
      <c r="C245" s="23">
        <f>Oranlar!F245</f>
        <v>131</v>
      </c>
      <c r="D245" s="23">
        <f>Oranlar!E245</f>
        <v>115</v>
      </c>
      <c r="E245" s="15">
        <f>C245-D245</f>
        <v>16</v>
      </c>
      <c r="F245" s="16">
        <f>C245+D245</f>
        <v>246</v>
      </c>
      <c r="G245" s="24">
        <v>0.569</v>
      </c>
      <c r="H245" s="10">
        <v>2.83</v>
      </c>
      <c r="I245" s="10">
        <v>-0</v>
      </c>
      <c r="J245" s="10">
        <v>-18</v>
      </c>
      <c r="K245" s="10">
        <v>18</v>
      </c>
      <c r="L245" s="11">
        <v>224.44</v>
      </c>
      <c r="M245" s="11">
        <v>224.9</v>
      </c>
      <c r="N245" s="11">
        <v>198</v>
      </c>
      <c r="O245" s="11">
        <v>252</v>
      </c>
      <c r="P245" s="11">
        <v>112.95</v>
      </c>
      <c r="Q245" s="11">
        <v>112.47</v>
      </c>
      <c r="R245" s="25">
        <f>Oranlar!Y245</f>
        <v>0.705033164260632</v>
      </c>
      <c r="S245" s="26">
        <f>-Oranlar!O245</f>
        <v>7.5</v>
      </c>
      <c r="T245" s="26">
        <f>-Oranlar!I245</f>
        <v>5.5</v>
      </c>
      <c r="U245" s="27">
        <f>Oranlar!V245</f>
        <v>230.5</v>
      </c>
      <c r="V245" s="27">
        <f>Oranlar!L245</f>
        <v>226.5</v>
      </c>
      <c r="W245" s="28">
        <f>(U245+S245)/2</f>
        <v>119.0</v>
      </c>
      <c r="X245" s="28">
        <f>(U245-S245)/2</f>
        <v>111.5</v>
      </c>
      <c r="Y245" s="16">
        <f>IF(G245=0.5,"",IF((G245&gt;0.5)=(E245&gt;0),1,0))</f>
        <v>1</v>
      </c>
      <c r="Z245" s="16">
        <f>IF(R245=0.5,"",IF((R245&gt;0.5)=(E245&gt;0),1,0))</f>
        <v>1</v>
      </c>
      <c r="AA245" s="29">
        <f>(G245-IF(E245&gt;0,1,0))^2</f>
        <v>0.18576100000000004</v>
      </c>
      <c r="AB245" s="29">
        <f>(R245-IF(E245&gt;0,1,0))^2</f>
        <v>0.0870054341860953</v>
      </c>
      <c r="AC245" s="28">
        <f>ABS(H245-E245)</f>
        <v>13.17</v>
      </c>
      <c r="AD245" s="28">
        <f>ABS(I245-E245)</f>
        <v>16.0</v>
      </c>
      <c r="AE245" s="28">
        <f>ABS(S245-E245)</f>
        <v>8.5</v>
      </c>
      <c r="AF245" s="28">
        <f>ABS(L245-F245)</f>
        <v>21.560000000000002</v>
      </c>
      <c r="AG245" s="28">
        <f>ABS(M245-F245)</f>
        <v>21.099999999999994</v>
      </c>
      <c r="AH245" s="28">
        <f>ABS(U245-F245)</f>
        <v>15.5</v>
      </c>
      <c r="AI245" s="28">
        <f>ABS(P245-C245)</f>
        <v>18.049999999999997</v>
      </c>
      <c r="AJ245" s="28">
        <f>ABS(W245-C245)</f>
        <v>12.0</v>
      </c>
      <c r="AK245" s="28">
        <f>ABS(Q245-D245)</f>
        <v>2.530000000000001</v>
      </c>
      <c r="AL245" s="28">
        <f>ABS(X245-D245)</f>
        <v>3.5</v>
      </c>
      <c r="AM245" s="17" t="str">
        <f>IF(H245&gt;S245,"Ev",IF(H245&lt;S245,"Dep",""))</f>
        <v>Dep</v>
      </c>
      <c r="AN245" s="17" t="str">
        <f>IF(AM245="","",IF(E245=S245,"Push",IF((E245&gt;S245)=(AM245="Ev"),"Kazandı","Kaybetti")))</f>
        <v>Kaybetti</v>
      </c>
      <c r="AO245" s="30">
        <f>IF(AM245="","",IF(AN245="Push",0,IF(AN245="Kazandı",IF(AM245="Ev",Oranlar!P245,Oranlar!Q245)-1,-1)))</f>
        <v>-1.0</v>
      </c>
      <c r="AP245" s="17" t="str">
        <f>IF(L245&gt;U245,"Üst",IF(L245&lt;U245,"Alt",""))</f>
        <v>Alt</v>
      </c>
      <c r="AQ245" s="17" t="str">
        <f>IF(AP245="","",IF(F245=U245,"Push",IF((F245&gt;U245)=(AP245="Üst"),"Kazandı","Kaybetti")))</f>
        <v>Kaybetti</v>
      </c>
      <c r="AR245" s="30">
        <f>IF(AP245="","",IF(AQ245="Push",0,IF(AQ245="Kazandı",IF(AP245="Üst",Oranlar!W245,Oranlar!X245)-1,-1)))</f>
        <v>-1.0</v>
      </c>
      <c r="AS245" s="17" t="str">
        <f>IF(G245*Oranlar!R245&gt;1,"Ev",IF((1-G245)*Oranlar!S245&gt;1,"Dep",""))</f>
        <v>Dep</v>
      </c>
      <c r="AT245" s="30">
        <f>IF(AS245="","",IF((AS245="Ev")=(E245&gt;0),IF(AS245="Ev",Oranlar!R245,Oranlar!S245)-1,-1))</f>
        <v>-1.0</v>
      </c>
      <c r="AU245" s="16">
        <f>IF(OR(H245=T245,S245=T245),"",IF((H245&gt;T245)=(S245&gt;T245),1,0))</f>
        <v>0</v>
      </c>
      <c r="AV245" s="16">
        <f>IF(OR(L245=V245,U245=V245),"",IF((L245&gt;V245)=(U245&gt;V245),1,0))</f>
        <v>0</v>
      </c>
      <c r="AW245" s="16">
        <f>IF(AND(E245&gt;=J245,E245&lt;=K245),1,0)</f>
        <v>1</v>
      </c>
      <c r="AX245" s="16">
        <f>IF(AND(F245&gt;=N245,F245&lt;=O245),1,0)</f>
        <v>1</v>
      </c>
    </row>
    <row r="246" spans="1:50">
      <c r="A246" s="21">
        <f>Oranlar!A246</f>
        <v>46117</v>
      </c>
      <c r="B246" s="22" t="str">
        <f>Oranlar!C246&amp;" @ "&amp;Oranlar!D246</f>
        <v>IND @ CLE</v>
      </c>
      <c r="C246" s="23">
        <f>Oranlar!F246</f>
        <v>117</v>
      </c>
      <c r="D246" s="23">
        <f>Oranlar!E246</f>
        <v>108</v>
      </c>
      <c r="E246" s="15">
        <f>C246-D246</f>
        <v>9</v>
      </c>
      <c r="F246" s="16">
        <f>C246+D246</f>
        <v>225</v>
      </c>
      <c r="G246" s="24">
        <v>0.742</v>
      </c>
      <c r="H246" s="10">
        <v>8.699999999999999</v>
      </c>
      <c r="I246" s="10">
        <v>7</v>
      </c>
      <c r="J246" s="10">
        <v>-12</v>
      </c>
      <c r="K246" s="10">
        <v>26</v>
      </c>
      <c r="L246" s="11">
        <v>237.66</v>
      </c>
      <c r="M246" s="11">
        <v>238.5</v>
      </c>
      <c r="N246" s="11">
        <v>210</v>
      </c>
      <c r="O246" s="11">
        <v>266</v>
      </c>
      <c r="P246" s="11">
        <v>122.97</v>
      </c>
      <c r="Q246" s="11">
        <v>113.3</v>
      </c>
      <c r="R246" s="25">
        <f>Oranlar!Y246</f>
        <v>0.912442396313364</v>
      </c>
      <c r="S246" s="26">
        <f>-Oranlar!O246</f>
        <v>16.5</v>
      </c>
      <c r="T246" s="26">
        <f>-Oranlar!I246</f>
        <v>17.5</v>
      </c>
      <c r="U246" s="27">
        <f>Oranlar!V246</f>
        <v>240.5</v>
      </c>
      <c r="V246" s="27">
        <f>Oranlar!L246</f>
        <v>237.5</v>
      </c>
      <c r="W246" s="28">
        <f>(U246+S246)/2</f>
        <v>128.5</v>
      </c>
      <c r="X246" s="28">
        <f>(U246-S246)/2</f>
        <v>112.0</v>
      </c>
      <c r="Y246" s="16">
        <f>IF(G246=0.5,"",IF((G246&gt;0.5)=(E246&gt;0),1,0))</f>
        <v>1</v>
      </c>
      <c r="Z246" s="16">
        <f>IF(R246=0.5,"",IF((R246&gt;0.5)=(E246&gt;0),1,0))</f>
        <v>1</v>
      </c>
      <c r="AA246" s="29">
        <f>(G246-IF(E246&gt;0,1,0))^2</f>
        <v>0.066564</v>
      </c>
      <c r="AB246" s="29">
        <f>(R246-IF(E246&gt;0,1,0))^2</f>
        <v>0.007666333963346016</v>
      </c>
      <c r="AC246" s="28">
        <f>ABS(H246-E246)</f>
        <v>0.3000000000000007</v>
      </c>
      <c r="AD246" s="28">
        <f>ABS(I246-E246)</f>
        <v>2.0</v>
      </c>
      <c r="AE246" s="28">
        <f>ABS(S246-E246)</f>
        <v>7.5</v>
      </c>
      <c r="AF246" s="28">
        <f>ABS(L246-F246)</f>
        <v>12.659999999999997</v>
      </c>
      <c r="AG246" s="28">
        <f>ABS(M246-F246)</f>
        <v>13.5</v>
      </c>
      <c r="AH246" s="28">
        <f>ABS(U246-F246)</f>
        <v>15.5</v>
      </c>
      <c r="AI246" s="28">
        <f>ABS(P246-C246)</f>
        <v>5.969999999999999</v>
      </c>
      <c r="AJ246" s="28">
        <f>ABS(W246-C246)</f>
        <v>11.5</v>
      </c>
      <c r="AK246" s="28">
        <f>ABS(Q246-D246)</f>
        <v>5.299999999999997</v>
      </c>
      <c r="AL246" s="28">
        <f>ABS(X246-D246)</f>
        <v>4.0</v>
      </c>
      <c r="AM246" s="17" t="str">
        <f>IF(H246&gt;S246,"Ev",IF(H246&lt;S246,"Dep",""))</f>
        <v>Dep</v>
      </c>
      <c r="AN246" s="17" t="str">
        <f>IF(AM246="","",IF(E246=S246,"Push",IF((E246&gt;S246)=(AM246="Ev"),"Kazandı","Kaybetti")))</f>
        <v>Kazandı</v>
      </c>
      <c r="AO246" s="30">
        <f>IF(AM246="","",IF(AN246="Push",0,IF(AN246="Kazandı",IF(AM246="Ev",Oranlar!P246,Oranlar!Q246)-1,-1)))</f>
        <v>0.925925925925926</v>
      </c>
      <c r="AP246" s="17" t="str">
        <f>IF(L246&gt;U246,"Üst",IF(L246&lt;U246,"Alt",""))</f>
        <v>Alt</v>
      </c>
      <c r="AQ246" s="17" t="str">
        <f>IF(AP246="","",IF(F246=U246,"Push",IF((F246&gt;U246)=(AP246="Üst"),"Kazandı","Kaybetti")))</f>
        <v>Kazandı</v>
      </c>
      <c r="AR246" s="30">
        <f>IF(AP246="","",IF(AQ246="Push",0,IF(AQ246="Kazandı",IF(AP246="Üst",Oranlar!W246,Oranlar!X246)-1,-1)))</f>
        <v>0.8695652173913042</v>
      </c>
      <c r="AS246" s="17" t="str">
        <f>IF(G246*Oranlar!R246&gt;1,"Ev",IF((1-G246)*Oranlar!S246&gt;1,"Dep",""))</f>
        <v>Dep</v>
      </c>
      <c r="AT246" s="30">
        <f>IF(AS246="","",IF((AS246="Ev")=(E246&gt;0),IF(AS246="Ev",Oranlar!R246,Oranlar!S246)-1,-1))</f>
        <v>-1.0</v>
      </c>
      <c r="AU246" s="16">
        <f>IF(OR(H246=T246,S246=T246),"",IF((H246&gt;T246)=(S246&gt;T246),1,0))</f>
        <v>1</v>
      </c>
      <c r="AV246" s="16">
        <f>IF(OR(L246=V246,U246=V246),"",IF((L246&gt;V246)=(U246&gt;V246),1,0))</f>
        <v>1</v>
      </c>
      <c r="AW246" s="16">
        <f>IF(AND(E246&gt;=J246,E246&lt;=K246),1,0)</f>
        <v>1</v>
      </c>
      <c r="AX246" s="16">
        <f>IF(AND(F246&gt;=N246,F246&lt;=O246),1,0)</f>
        <v>1</v>
      </c>
    </row>
    <row r="247" spans="1:50">
      <c r="A247" s="21">
        <f>Oranlar!A247</f>
        <v>46117</v>
      </c>
      <c r="B247" s="22" t="str">
        <f>Oranlar!C247&amp;" @ "&amp;Oranlar!D247</f>
        <v>CHA @ MIN</v>
      </c>
      <c r="C247" s="23">
        <f>Oranlar!F247</f>
        <v>108</v>
      </c>
      <c r="D247" s="23">
        <f>Oranlar!E247</f>
        <v>122</v>
      </c>
      <c r="E247" s="15">
        <f>C247-D247</f>
        <v>-14</v>
      </c>
      <c r="F247" s="16">
        <f>C247+D247</f>
        <v>230</v>
      </c>
      <c r="G247" s="24">
        <v>0.465</v>
      </c>
      <c r="H247" s="10">
        <v>-1.85</v>
      </c>
      <c r="I247" s="10">
        <v>-2.1</v>
      </c>
      <c r="J247" s="10">
        <v>-20</v>
      </c>
      <c r="K247" s="10">
        <v>16</v>
      </c>
      <c r="L247" s="11">
        <v>223.14</v>
      </c>
      <c r="M247" s="11">
        <v>221.5</v>
      </c>
      <c r="N247" s="11">
        <v>195</v>
      </c>
      <c r="O247" s="11">
        <v>248</v>
      </c>
      <c r="P247" s="11">
        <v>109.18</v>
      </c>
      <c r="Q247" s="11">
        <v>111.43</v>
      </c>
      <c r="R247" s="25">
        <f>Oranlar!Y247</f>
        <v>0.37753344813882633</v>
      </c>
      <c r="S247" s="26">
        <f>-Oranlar!O247</f>
        <v>-4.5</v>
      </c>
      <c r="T247" s="26">
        <f>-Oranlar!I247</f>
        <v>1.5</v>
      </c>
      <c r="U247" s="27">
        <f>Oranlar!V247</f>
        <v>226.5</v>
      </c>
      <c r="V247" s="27">
        <f>Oranlar!L247</f>
        <v>229.5</v>
      </c>
      <c r="W247" s="28">
        <f>(U247+S247)/2</f>
        <v>111.0</v>
      </c>
      <c r="X247" s="28">
        <f>(U247-S247)/2</f>
        <v>115.5</v>
      </c>
      <c r="Y247" s="16">
        <f>IF(G247=0.5,"",IF((G247&gt;0.5)=(E247&gt;0),1,0))</f>
        <v>1</v>
      </c>
      <c r="Z247" s="16">
        <f>IF(R247=0.5,"",IF((R247&gt;0.5)=(E247&gt;0),1,0))</f>
        <v>1</v>
      </c>
      <c r="AA247" s="29">
        <f>(G247-IF(E247&gt;0,1,0))^2</f>
        <v>0.21622500000000003</v>
      </c>
      <c r="AB247" s="29">
        <f>(R247-IF(E247&gt;0,1,0))^2</f>
        <v>0.14253150446359186</v>
      </c>
      <c r="AC247" s="28">
        <f>ABS(H247-E247)</f>
        <v>12.15</v>
      </c>
      <c r="AD247" s="28">
        <f>ABS(I247-E247)</f>
        <v>11.9</v>
      </c>
      <c r="AE247" s="28">
        <f>ABS(S247-E247)</f>
        <v>9.5</v>
      </c>
      <c r="AF247" s="28">
        <f>ABS(L247-F247)</f>
        <v>6.860000000000014</v>
      </c>
      <c r="AG247" s="28">
        <f>ABS(M247-F247)</f>
        <v>8.5</v>
      </c>
      <c r="AH247" s="28">
        <f>ABS(U247-F247)</f>
        <v>3.5</v>
      </c>
      <c r="AI247" s="28">
        <f>ABS(P247-C247)</f>
        <v>1.1800000000000068</v>
      </c>
      <c r="AJ247" s="28">
        <f>ABS(W247-C247)</f>
        <v>3.0</v>
      </c>
      <c r="AK247" s="28">
        <f>ABS(Q247-D247)</f>
        <v>10.569999999999993</v>
      </c>
      <c r="AL247" s="28">
        <f>ABS(X247-D247)</f>
        <v>6.5</v>
      </c>
      <c r="AM247" s="17" t="str">
        <f>IF(H247&gt;S247,"Ev",IF(H247&lt;S247,"Dep",""))</f>
        <v>Ev</v>
      </c>
      <c r="AN247" s="17" t="str">
        <f>IF(AM247="","",IF(E247=S247,"Push",IF((E247&gt;S247)=(AM247="Ev"),"Kazandı","Kaybetti")))</f>
        <v>Kaybetti</v>
      </c>
      <c r="AO247" s="30">
        <f>IF(AM247="","",IF(AN247="Push",0,IF(AN247="Kazandı",IF(AM247="Ev",Oranlar!P247,Oranlar!Q247)-1,-1)))</f>
        <v>-1.0</v>
      </c>
      <c r="AP247" s="17" t="str">
        <f>IF(L247&gt;U247,"Üst",IF(L247&lt;U247,"Alt",""))</f>
        <v>Alt</v>
      </c>
      <c r="AQ247" s="17" t="str">
        <f>IF(AP247="","",IF(F247=U247,"Push",IF((F247&gt;U247)=(AP247="Üst"),"Kazandı","Kaybetti")))</f>
        <v>Kaybetti</v>
      </c>
      <c r="AR247" s="30">
        <f>IF(AP247="","",IF(AQ247="Push",0,IF(AQ247="Kazandı",IF(AP247="Üst",Oranlar!W247,Oranlar!X247)-1,-1)))</f>
        <v>-1.0</v>
      </c>
      <c r="AS247" s="17" t="str">
        <f>IF(G247*Oranlar!R247&gt;1,"Ev",IF((1-G247)*Oranlar!S247&gt;1,"Dep",""))</f>
        <v>Ev</v>
      </c>
      <c r="AT247" s="30">
        <f>IF(AS247="","",IF((AS247="Ev")=(E247&gt;0),IF(AS247="Ev",Oranlar!R247,Oranlar!S247)-1,-1))</f>
        <v>-1.0</v>
      </c>
      <c r="AU247" s="16">
        <f>IF(OR(H247=T247,S247=T247),"",IF((H247&gt;T247)=(S247&gt;T247),1,0))</f>
        <v>1</v>
      </c>
      <c r="AV247" s="16">
        <f>IF(OR(L247=V247,U247=V247),"",IF((L247&gt;V247)=(U247&gt;V247),1,0))</f>
        <v>1</v>
      </c>
      <c r="AW247" s="16">
        <f>IF(AND(E247&gt;=J247,E247&lt;=K247),1,0)</f>
        <v>1</v>
      </c>
      <c r="AX247" s="16">
        <f>IF(AND(F247&gt;=N247,F247&lt;=O247),1,0)</f>
        <v>1</v>
      </c>
    </row>
    <row r="248" spans="1:50">
      <c r="A248" s="21">
        <f>Oranlar!A248</f>
        <v>46117</v>
      </c>
      <c r="B248" s="22" t="str">
        <f>Oranlar!C248&amp;" @ "&amp;Oranlar!D248</f>
        <v>ORL @ NOP</v>
      </c>
      <c r="C248" s="23">
        <f>Oranlar!F248</f>
        <v>108</v>
      </c>
      <c r="D248" s="23">
        <f>Oranlar!E248</f>
        <v>112</v>
      </c>
      <c r="E248" s="15">
        <f>C248-D248</f>
        <v>-4</v>
      </c>
      <c r="F248" s="16">
        <f>C248+D248</f>
        <v>220</v>
      </c>
      <c r="G248" s="24">
        <v>0.38</v>
      </c>
      <c r="H248" s="10">
        <v>-2.78</v>
      </c>
      <c r="I248" s="10">
        <v>-1</v>
      </c>
      <c r="J248" s="10">
        <v>-19</v>
      </c>
      <c r="K248" s="10">
        <v>18</v>
      </c>
      <c r="L248" s="11">
        <v>230.71</v>
      </c>
      <c r="M248" s="11">
        <v>233</v>
      </c>
      <c r="N248" s="11">
        <v>205</v>
      </c>
      <c r="O248" s="11">
        <v>260</v>
      </c>
      <c r="P248" s="11">
        <v>116.08</v>
      </c>
      <c r="Q248" s="11">
        <v>117.36</v>
      </c>
      <c r="R248" s="25">
        <f>Oranlar!Y248</f>
        <v>0.3146067415730337</v>
      </c>
      <c r="S248" s="26">
        <f>-Oranlar!O248</f>
        <v>-6.5</v>
      </c>
      <c r="T248" s="26">
        <f>-Oranlar!I248</f>
        <v>-3.5</v>
      </c>
      <c r="U248" s="27">
        <f>Oranlar!V248</f>
        <v>236.5</v>
      </c>
      <c r="V248" s="27">
        <f>Oranlar!L248</f>
        <v>234.5</v>
      </c>
      <c r="W248" s="28">
        <f>(U248+S248)/2</f>
        <v>115.0</v>
      </c>
      <c r="X248" s="28">
        <f>(U248-S248)/2</f>
        <v>121.5</v>
      </c>
      <c r="Y248" s="16">
        <f>IF(G248=0.5,"",IF((G248&gt;0.5)=(E248&gt;0),1,0))</f>
        <v>1</v>
      </c>
      <c r="Z248" s="16">
        <f>IF(R248=0.5,"",IF((R248&gt;0.5)=(E248&gt;0),1,0))</f>
        <v>1</v>
      </c>
      <c r="AA248" s="29">
        <f>(G248-IF(E248&gt;0,1,0))^2</f>
        <v>0.1444</v>
      </c>
      <c r="AB248" s="29">
        <f>(R248-IF(E248&gt;0,1,0))^2</f>
        <v>0.09897740184320161</v>
      </c>
      <c r="AC248" s="28">
        <f>ABS(H248-E248)</f>
        <v>1.2200000000000002</v>
      </c>
      <c r="AD248" s="28">
        <f>ABS(I248-E248)</f>
        <v>3.0</v>
      </c>
      <c r="AE248" s="28">
        <f>ABS(S248-E248)</f>
        <v>2.5</v>
      </c>
      <c r="AF248" s="28">
        <f>ABS(L248-F248)</f>
        <v>10.710000000000008</v>
      </c>
      <c r="AG248" s="28">
        <f>ABS(M248-F248)</f>
        <v>13.0</v>
      </c>
      <c r="AH248" s="28">
        <f>ABS(U248-F248)</f>
        <v>16.5</v>
      </c>
      <c r="AI248" s="28">
        <f>ABS(P248-C248)</f>
        <v>8.079999999999998</v>
      </c>
      <c r="AJ248" s="28">
        <f>ABS(W248-C248)</f>
        <v>7.0</v>
      </c>
      <c r="AK248" s="28">
        <f>ABS(Q248-D248)</f>
        <v>5.359999999999999</v>
      </c>
      <c r="AL248" s="28">
        <f>ABS(X248-D248)</f>
        <v>9.5</v>
      </c>
      <c r="AM248" s="17" t="str">
        <f>IF(H248&gt;S248,"Ev",IF(H248&lt;S248,"Dep",""))</f>
        <v>Ev</v>
      </c>
      <c r="AN248" s="17" t="str">
        <f>IF(AM248="","",IF(E248=S248,"Push",IF((E248&gt;S248)=(AM248="Ev"),"Kazandı","Kaybetti")))</f>
        <v>Kazandı</v>
      </c>
      <c r="AO248" s="30">
        <f>IF(AM248="","",IF(AN248="Push",0,IF(AN248="Kazandı",IF(AM248="Ev",Oranlar!P248,Oranlar!Q248)-1,-1)))</f>
        <v>0.9090909090909092</v>
      </c>
      <c r="AP248" s="17" t="str">
        <f>IF(L248&gt;U248,"Üst",IF(L248&lt;U248,"Alt",""))</f>
        <v>Alt</v>
      </c>
      <c r="AQ248" s="17" t="str">
        <f>IF(AP248="","",IF(F248=U248,"Push",IF((F248&gt;U248)=(AP248="Üst"),"Kazandı","Kaybetti")))</f>
        <v>Kazandı</v>
      </c>
      <c r="AR248" s="30">
        <f>IF(AP248="","",IF(AQ248="Push",0,IF(AQ248="Kazandı",IF(AP248="Üst",Oranlar!W248,Oranlar!X248)-1,-1)))</f>
        <v>0.8695652173913042</v>
      </c>
      <c r="AS248" s="17" t="str">
        <f>IF(G248*Oranlar!R248&gt;1,"Ev",IF((1-G248)*Oranlar!S248&gt;1,"Dep",""))</f>
        <v>Ev</v>
      </c>
      <c r="AT248" s="30">
        <f>IF(AS248="","",IF((AS248="Ev")=(E248&gt;0),IF(AS248="Ev",Oranlar!R248,Oranlar!S248)-1,-1))</f>
        <v>-1.0</v>
      </c>
      <c r="AU248" s="16">
        <f>IF(OR(H248=T248,S248=T248),"",IF((H248&gt;T248)=(S248&gt;T248),1,0))</f>
        <v>0</v>
      </c>
      <c r="AV248" s="16">
        <f>IF(OR(L248=V248,U248=V248),"",IF((L248&gt;V248)=(U248&gt;V248),1,0))</f>
        <v>0</v>
      </c>
      <c r="AW248" s="16">
        <f>IF(AND(E248&gt;=J248,E248&lt;=K248),1,0)</f>
        <v>1</v>
      </c>
      <c r="AX248" s="16">
        <f>IF(AND(F248&gt;=N248,F248&lt;=O248),1,0)</f>
        <v>1</v>
      </c>
    </row>
    <row r="249" spans="1:50">
      <c r="A249" s="21">
        <f>Oranlar!A249</f>
        <v>46117</v>
      </c>
      <c r="B249" s="22" t="str">
        <f>Oranlar!C249&amp;" @ "&amp;Oranlar!D249</f>
        <v>UTA @ OKC</v>
      </c>
      <c r="C249" s="23">
        <f>Oranlar!F249</f>
        <v>146</v>
      </c>
      <c r="D249" s="23">
        <f>Oranlar!E249</f>
        <v>111</v>
      </c>
      <c r="E249" s="15">
        <f>C249-D249</f>
        <v>35</v>
      </c>
      <c r="F249" s="16">
        <f>C249+D249</f>
        <v>257</v>
      </c>
      <c r="G249" s="24">
        <v>0.841</v>
      </c>
      <c r="H249" s="10">
        <v>22.08</v>
      </c>
      <c r="I249" s="10">
        <v>16.4</v>
      </c>
      <c r="J249" s="10">
        <v>-2</v>
      </c>
      <c r="K249" s="10">
        <v>35</v>
      </c>
      <c r="L249" s="11">
        <v>232.52</v>
      </c>
      <c r="M249" s="11">
        <v>232.1</v>
      </c>
      <c r="N249" s="11">
        <v>205</v>
      </c>
      <c r="O249" s="11">
        <v>259</v>
      </c>
      <c r="P249" s="11">
        <v>126.74</v>
      </c>
      <c r="Q249" s="11">
        <v>108.22</v>
      </c>
      <c r="R249" s="25">
        <f>Oranlar!Y249</f>
        <v>0.9625668449197861</v>
      </c>
      <c r="S249" s="26">
        <f>-Oranlar!O249</f>
        <v>24.5</v>
      </c>
      <c r="T249" s="26">
        <f>-Oranlar!I249</f>
        <v>21.5</v>
      </c>
      <c r="U249" s="27">
        <f>Oranlar!V249</f>
        <v>239.5</v>
      </c>
      <c r="V249" s="27">
        <f>Oranlar!L249</f>
        <v>239.5</v>
      </c>
      <c r="W249" s="28">
        <f>(U249+S249)/2</f>
        <v>132.0</v>
      </c>
      <c r="X249" s="28">
        <f>(U249-S249)/2</f>
        <v>107.5</v>
      </c>
      <c r="Y249" s="16">
        <f>IF(G249=0.5,"",IF((G249&gt;0.5)=(E249&gt;0),1,0))</f>
        <v>1</v>
      </c>
      <c r="Z249" s="16">
        <f>IF(R249=0.5,"",IF((R249&gt;0.5)=(E249&gt;0),1,0))</f>
        <v>1</v>
      </c>
      <c r="AA249" s="29">
        <f>(G249-IF(E249&gt;0,1,0))^2</f>
        <v>0.02528100000000001</v>
      </c>
      <c r="AB249" s="29">
        <f>(R249-IF(E249&gt;0,1,0))^2</f>
        <v>0.001401241099259347</v>
      </c>
      <c r="AC249" s="28">
        <f>ABS(H249-E249)</f>
        <v>12.920000000000002</v>
      </c>
      <c r="AD249" s="28">
        <f>ABS(I249-E249)</f>
        <v>18.6</v>
      </c>
      <c r="AE249" s="28">
        <f>ABS(S249-E249)</f>
        <v>10.5</v>
      </c>
      <c r="AF249" s="28">
        <f>ABS(L249-F249)</f>
        <v>24.47999999999999</v>
      </c>
      <c r="AG249" s="28">
        <f>ABS(M249-F249)</f>
        <v>24.900000000000006</v>
      </c>
      <c r="AH249" s="28">
        <f>ABS(U249-F249)</f>
        <v>17.5</v>
      </c>
      <c r="AI249" s="28">
        <f>ABS(P249-C249)</f>
        <v>19.260000000000005</v>
      </c>
      <c r="AJ249" s="28">
        <f>ABS(W249-C249)</f>
        <v>14.0</v>
      </c>
      <c r="AK249" s="28">
        <f>ABS(Q249-D249)</f>
        <v>2.780000000000001</v>
      </c>
      <c r="AL249" s="28">
        <f>ABS(X249-D249)</f>
        <v>3.5</v>
      </c>
      <c r="AM249" s="17" t="str">
        <f>IF(H249&gt;S249,"Ev",IF(H249&lt;S249,"Dep",""))</f>
        <v>Dep</v>
      </c>
      <c r="AN249" s="17" t="str">
        <f>IF(AM249="","",IF(E249=S249,"Push",IF((E249&gt;S249)=(AM249="Ev"),"Kazandı","Kaybetti")))</f>
        <v>Kaybetti</v>
      </c>
      <c r="AO249" s="30">
        <f>IF(AM249="","",IF(AN249="Push",0,IF(AN249="Kazandı",IF(AM249="Ev",Oranlar!P249,Oranlar!Q249)-1,-1)))</f>
        <v>-1.0</v>
      </c>
      <c r="AP249" s="17" t="str">
        <f>IF(L249&gt;U249,"Üst",IF(L249&lt;U249,"Alt",""))</f>
        <v>Alt</v>
      </c>
      <c r="AQ249" s="17" t="str">
        <f>IF(AP249="","",IF(F249=U249,"Push",IF((F249&gt;U249)=(AP249="Üst"),"Kazandı","Kaybetti")))</f>
        <v>Kaybetti</v>
      </c>
      <c r="AR249" s="30">
        <f>IF(AP249="","",IF(AQ249="Push",0,IF(AQ249="Kazandı",IF(AP249="Üst",Oranlar!W249,Oranlar!X249)-1,-1)))</f>
        <v>-1.0</v>
      </c>
      <c r="AS249" s="17" t="str">
        <f>IF(G249*Oranlar!R249&gt;1,"Ev",IF((1-G249)*Oranlar!S249&gt;1,"Dep",""))</f>
        <v>Dep</v>
      </c>
      <c r="AT249" s="30">
        <f>IF(AS249="","",IF((AS249="Ev")=(E249&gt;0),IF(AS249="Ev",Oranlar!R249,Oranlar!S249)-1,-1))</f>
        <v>-1.0</v>
      </c>
      <c r="AU249" s="16">
        <f>IF(OR(H249=T249,S249=T249),"",IF((H249&gt;T249)=(S249&gt;T249),1,0))</f>
        <v>1</v>
      </c>
      <c r="AV249" s="16">
        <f>IF(OR(L249=V249,U249=V249),"",IF((L249&gt;V249)=(U249&gt;V249),1,0))</f>
        <v/>
      </c>
      <c r="AW249" s="16">
        <f>IF(AND(E249&gt;=J249,E249&lt;=K249),1,0)</f>
        <v>1</v>
      </c>
      <c r="AX249" s="16">
        <f>IF(AND(F249&gt;=N249,F249&lt;=O249),1,0)</f>
        <v>1</v>
      </c>
    </row>
    <row r="250" spans="1:50">
      <c r="A250" s="21">
        <f>Oranlar!A250</f>
        <v>46117</v>
      </c>
      <c r="B250" s="22" t="str">
        <f>Oranlar!C250&amp;" @ "&amp;Oranlar!D250</f>
        <v>LAL @ DAL</v>
      </c>
      <c r="C250" s="23">
        <f>Oranlar!F250</f>
        <v>134</v>
      </c>
      <c r="D250" s="23">
        <f>Oranlar!E250</f>
        <v>128</v>
      </c>
      <c r="E250" s="15">
        <f>C250-D250</f>
        <v>6</v>
      </c>
      <c r="F250" s="16">
        <f>C250+D250</f>
        <v>262</v>
      </c>
      <c r="G250" s="24">
        <v>0.354</v>
      </c>
      <c r="H250" s="10">
        <v>-6.05</v>
      </c>
      <c r="I250" s="10">
        <v>-6</v>
      </c>
      <c r="J250" s="10">
        <v>-25</v>
      </c>
      <c r="K250" s="10">
        <v>13</v>
      </c>
      <c r="L250" s="11">
        <v>234.05</v>
      </c>
      <c r="M250" s="11">
        <v>234.8</v>
      </c>
      <c r="N250" s="11">
        <v>207</v>
      </c>
      <c r="O250" s="11">
        <v>262</v>
      </c>
      <c r="P250" s="11">
        <v>116.42</v>
      </c>
      <c r="Q250" s="11">
        <v>120.52</v>
      </c>
      <c r="R250" s="25">
        <f>Oranlar!Y250</f>
        <v>0.4675324675324676</v>
      </c>
      <c r="S250" s="26">
        <f>-Oranlar!O250</f>
        <v>-1.5</v>
      </c>
      <c r="T250" s="26">
        <f>-Oranlar!I250</f>
        <v>-6.5</v>
      </c>
      <c r="U250" s="27">
        <f>Oranlar!V250</f>
        <v>234.5</v>
      </c>
      <c r="V250" s="27">
        <f>Oranlar!L250</f>
        <v>235.5</v>
      </c>
      <c r="W250" s="28">
        <f>(U250+S250)/2</f>
        <v>116.5</v>
      </c>
      <c r="X250" s="28">
        <f>(U250-S250)/2</f>
        <v>118.0</v>
      </c>
      <c r="Y250" s="16">
        <f>IF(G250=0.5,"",IF((G250&gt;0.5)=(E250&gt;0),1,0))</f>
        <v>0</v>
      </c>
      <c r="Z250" s="16">
        <f>IF(R250=0.5,"",IF((R250&gt;0.5)=(E250&gt;0),1,0))</f>
        <v>0</v>
      </c>
      <c r="AA250" s="29">
        <f>(G250-IF(E250&gt;0,1,0))^2</f>
        <v>0.417316</v>
      </c>
      <c r="AB250" s="29">
        <f>(R250-IF(E250&gt;0,1,0))^2</f>
        <v>0.28352167313206267</v>
      </c>
      <c r="AC250" s="28">
        <f>ABS(H250-E250)</f>
        <v>12.05</v>
      </c>
      <c r="AD250" s="28">
        <f>ABS(I250-E250)</f>
        <v>12.0</v>
      </c>
      <c r="AE250" s="28">
        <f>ABS(S250-E250)</f>
        <v>7.5</v>
      </c>
      <c r="AF250" s="28">
        <f>ABS(L250-F250)</f>
        <v>27.94999999999999</v>
      </c>
      <c r="AG250" s="28">
        <f>ABS(M250-F250)</f>
        <v>27.19999999999999</v>
      </c>
      <c r="AH250" s="28">
        <f>ABS(U250-F250)</f>
        <v>27.5</v>
      </c>
      <c r="AI250" s="28">
        <f>ABS(P250-C250)</f>
        <v>17.58</v>
      </c>
      <c r="AJ250" s="28">
        <f>ABS(W250-C250)</f>
        <v>17.5</v>
      </c>
      <c r="AK250" s="28">
        <f>ABS(Q250-D250)</f>
        <v>7.480000000000004</v>
      </c>
      <c r="AL250" s="28">
        <f>ABS(X250-D250)</f>
        <v>10.0</v>
      </c>
      <c r="AM250" s="17" t="str">
        <f>IF(H250&gt;S250,"Ev",IF(H250&lt;S250,"Dep",""))</f>
        <v>Dep</v>
      </c>
      <c r="AN250" s="17" t="str">
        <f>IF(AM250="","",IF(E250=S250,"Push",IF((E250&gt;S250)=(AM250="Ev"),"Kazandı","Kaybetti")))</f>
        <v>Kaybetti</v>
      </c>
      <c r="AO250" s="30">
        <f>IF(AM250="","",IF(AN250="Push",0,IF(AN250="Kazandı",IF(AM250="Ev",Oranlar!P250,Oranlar!Q250)-1,-1)))</f>
        <v>-1.0</v>
      </c>
      <c r="AP250" s="17" t="str">
        <f>IF(L250&gt;U250,"Üst",IF(L250&lt;U250,"Alt",""))</f>
        <v>Alt</v>
      </c>
      <c r="AQ250" s="17" t="str">
        <f>IF(AP250="","",IF(F250=U250,"Push",IF((F250&gt;U250)=(AP250="Üst"),"Kazandı","Kaybetti")))</f>
        <v>Kaybetti</v>
      </c>
      <c r="AR250" s="30">
        <f>IF(AP250="","",IF(AQ250="Push",0,IF(AQ250="Kazandı",IF(AP250="Üst",Oranlar!W250,Oranlar!X250)-1,-1)))</f>
        <v>-1.0</v>
      </c>
      <c r="AS250" s="17" t="str">
        <f>IF(G250*Oranlar!R250&gt;1,"Ev",IF((1-G250)*Oranlar!S250&gt;1,"Dep",""))</f>
        <v>Dep</v>
      </c>
      <c r="AT250" s="30">
        <f>IF(AS250="","",IF((AS250="Ev")=(E250&gt;0),IF(AS250="Ev",Oranlar!R250,Oranlar!S250)-1,-1))</f>
        <v>-1.0</v>
      </c>
      <c r="AU250" s="16">
        <f>IF(OR(H250=T250,S250=T250),"",IF((H250&gt;T250)=(S250&gt;T250),1,0))</f>
        <v>1</v>
      </c>
      <c r="AV250" s="16">
        <f>IF(OR(L250=V250,U250=V250),"",IF((L250&gt;V250)=(U250&gt;V250),1,0))</f>
        <v>1</v>
      </c>
      <c r="AW250" s="16">
        <f>IF(AND(E250&gt;=J250,E250&lt;=K250),1,0)</f>
        <v>1</v>
      </c>
      <c r="AX250" s="16">
        <f>IF(AND(F250&gt;=N250,F250&lt;=O250),1,0)</f>
        <v>1</v>
      </c>
    </row>
    <row r="251" spans="1:50">
      <c r="A251" s="21">
        <f>Oranlar!A251</f>
        <v>46117</v>
      </c>
      <c r="B251" s="22" t="str">
        <f>Oranlar!C251&amp;" @ "&amp;Oranlar!D251</f>
        <v>LAC @ SAC</v>
      </c>
      <c r="C251" s="23">
        <f>Oranlar!F251</f>
        <v>109</v>
      </c>
      <c r="D251" s="23">
        <f>Oranlar!E251</f>
        <v>138</v>
      </c>
      <c r="E251" s="15">
        <f>C251-D251</f>
        <v>-29</v>
      </c>
      <c r="F251" s="16">
        <f>C251+D251</f>
        <v>247</v>
      </c>
      <c r="G251" s="24">
        <v>0.345</v>
      </c>
      <c r="H251" s="10">
        <v>-10.11</v>
      </c>
      <c r="I251" s="10">
        <v>-5.1</v>
      </c>
      <c r="J251" s="10">
        <v>-23</v>
      </c>
      <c r="K251" s="10">
        <v>14</v>
      </c>
      <c r="L251" s="11">
        <v>231.37</v>
      </c>
      <c r="M251" s="11">
        <v>231.6</v>
      </c>
      <c r="N251" s="11">
        <v>204</v>
      </c>
      <c r="O251" s="11">
        <v>259</v>
      </c>
      <c r="P251" s="11">
        <v>112.14</v>
      </c>
      <c r="Q251" s="11">
        <v>120.76</v>
      </c>
      <c r="R251" s="25">
        <f>Oranlar!Y251</f>
        <v>0.13698630136986303</v>
      </c>
      <c r="S251" s="26">
        <f>-Oranlar!O251</f>
        <v>-13.5</v>
      </c>
      <c r="T251" s="26">
        <f>-Oranlar!I251</f>
        <v>-11.5</v>
      </c>
      <c r="U251" s="27">
        <f>Oranlar!V251</f>
        <v>228.5</v>
      </c>
      <c r="V251" s="27">
        <f>Oranlar!L251</f>
        <v>231.5</v>
      </c>
      <c r="W251" s="28">
        <f>(U251+S251)/2</f>
        <v>107.5</v>
      </c>
      <c r="X251" s="28">
        <f>(U251-S251)/2</f>
        <v>121.0</v>
      </c>
      <c r="Y251" s="16">
        <f>IF(G251=0.5,"",IF((G251&gt;0.5)=(E251&gt;0),1,0))</f>
        <v>1</v>
      </c>
      <c r="Z251" s="16">
        <f>IF(R251=0.5,"",IF((R251&gt;0.5)=(E251&gt;0),1,0))</f>
        <v>1</v>
      </c>
      <c r="AA251" s="29">
        <f>(G251-IF(E251&gt;0,1,0))^2</f>
        <v>0.11902499999999998</v>
      </c>
      <c r="AB251" s="29">
        <f>(R251-IF(E251&gt;0,1,0))^2</f>
        <v>0.018765246762994937</v>
      </c>
      <c r="AC251" s="28">
        <f>ABS(H251-E251)</f>
        <v>18.89</v>
      </c>
      <c r="AD251" s="28">
        <f>ABS(I251-E251)</f>
        <v>23.9</v>
      </c>
      <c r="AE251" s="28">
        <f>ABS(S251-E251)</f>
        <v>15.5</v>
      </c>
      <c r="AF251" s="28">
        <f>ABS(L251-F251)</f>
        <v>15.629999999999995</v>
      </c>
      <c r="AG251" s="28">
        <f>ABS(M251-F251)</f>
        <v>15.400000000000006</v>
      </c>
      <c r="AH251" s="28">
        <f>ABS(U251-F251)</f>
        <v>18.5</v>
      </c>
      <c r="AI251" s="28">
        <f>ABS(P251-C251)</f>
        <v>3.1400000000000006</v>
      </c>
      <c r="AJ251" s="28">
        <f>ABS(W251-C251)</f>
        <v>1.5</v>
      </c>
      <c r="AK251" s="28">
        <f>ABS(Q251-D251)</f>
        <v>17.239999999999995</v>
      </c>
      <c r="AL251" s="28">
        <f>ABS(X251-D251)</f>
        <v>17.0</v>
      </c>
      <c r="AM251" s="17" t="str">
        <f>IF(H251&gt;S251,"Ev",IF(H251&lt;S251,"Dep",""))</f>
        <v>Ev</v>
      </c>
      <c r="AN251" s="17" t="str">
        <f>IF(AM251="","",IF(E251=S251,"Push",IF((E251&gt;S251)=(AM251="Ev"),"Kazandı","Kaybetti")))</f>
        <v>Kaybetti</v>
      </c>
      <c r="AO251" s="30">
        <f>IF(AM251="","",IF(AN251="Push",0,IF(AN251="Kazandı",IF(AM251="Ev",Oranlar!P251,Oranlar!Q251)-1,-1)))</f>
        <v>-1.0</v>
      </c>
      <c r="AP251" s="17" t="str">
        <f>IF(L251&gt;U251,"Üst",IF(L251&lt;U251,"Alt",""))</f>
        <v>Üst</v>
      </c>
      <c r="AQ251" s="17" t="str">
        <f>IF(AP251="","",IF(F251=U251,"Push",IF((F251&gt;U251)=(AP251="Üst"),"Kazandı","Kaybetti")))</f>
        <v>Kazandı</v>
      </c>
      <c r="AR251" s="30">
        <f>IF(AP251="","",IF(AQ251="Push",0,IF(AQ251="Kazandı",IF(AP251="Üst",Oranlar!W251,Oranlar!X251)-1,-1)))</f>
        <v>0.925925925925926</v>
      </c>
      <c r="AS251" s="17" t="str">
        <f>IF(G251*Oranlar!R251&gt;1,"Ev",IF((1-G251)*Oranlar!S251&gt;1,"Dep",""))</f>
        <v>Ev</v>
      </c>
      <c r="AT251" s="30">
        <f>IF(AS251="","",IF((AS251="Ev")=(E251&gt;0),IF(AS251="Ev",Oranlar!R251,Oranlar!S251)-1,-1))</f>
        <v>-1.0</v>
      </c>
      <c r="AU251" s="16">
        <f>IF(OR(H251=T251,S251=T251),"",IF((H251&gt;T251)=(S251&gt;T251),1,0))</f>
        <v>0</v>
      </c>
      <c r="AV251" s="16">
        <f>IF(OR(L251=V251,U251=V251),"",IF((L251&gt;V251)=(U251&gt;V251),1,0))</f>
        <v>1</v>
      </c>
      <c r="AW251" s="16">
        <f>IF(AND(E251&gt;=J251,E251&lt;=K251),1,0)</f>
        <v>0</v>
      </c>
      <c r="AX251" s="16">
        <f>IF(AND(F251&gt;=N251,F251&lt;=O251),1,0)</f>
        <v>1</v>
      </c>
    </row>
    <row r="252" spans="1:50">
      <c r="A252" s="21">
        <f>Oranlar!A252</f>
        <v>46117</v>
      </c>
      <c r="B252" s="22" t="str">
        <f>Oranlar!C252&amp;" @ "&amp;Oranlar!D252</f>
        <v>HOU @ GSW</v>
      </c>
      <c r="C252" s="23">
        <f>Oranlar!F252</f>
        <v>116</v>
      </c>
      <c r="D252" s="23">
        <f>Oranlar!E252</f>
        <v>117</v>
      </c>
      <c r="E252" s="15">
        <f>C252-D252</f>
        <v>-1</v>
      </c>
      <c r="F252" s="16">
        <f>C252+D252</f>
        <v>233</v>
      </c>
      <c r="G252" s="24">
        <v>0.415</v>
      </c>
      <c r="H252" s="10">
        <v>-2.82</v>
      </c>
      <c r="I252" s="10">
        <v>-5.3</v>
      </c>
      <c r="J252" s="10">
        <v>-24</v>
      </c>
      <c r="K252" s="10">
        <v>13</v>
      </c>
      <c r="L252" s="11">
        <v>230.09</v>
      </c>
      <c r="M252" s="11">
        <v>231.5</v>
      </c>
      <c r="N252" s="11">
        <v>204</v>
      </c>
      <c r="O252" s="11">
        <v>259</v>
      </c>
      <c r="P252" s="11">
        <v>114.18</v>
      </c>
      <c r="Q252" s="11">
        <v>117.01</v>
      </c>
      <c r="R252" s="25">
        <f>Oranlar!Y252</f>
        <v>0.38356164383561653</v>
      </c>
      <c r="S252" s="26">
        <f>-Oranlar!O252</f>
        <v>-3.5</v>
      </c>
      <c r="T252" s="26">
        <f>-Oranlar!I252</f>
        <v>-3.5</v>
      </c>
      <c r="U252" s="27">
        <f>Oranlar!V252</f>
        <v>227.5</v>
      </c>
      <c r="V252" s="27">
        <f>Oranlar!L252</f>
        <v>223.5</v>
      </c>
      <c r="W252" s="28">
        <f>(U252+S252)/2</f>
        <v>112.0</v>
      </c>
      <c r="X252" s="28">
        <f>(U252-S252)/2</f>
        <v>115.5</v>
      </c>
      <c r="Y252" s="16">
        <f>IF(G252=0.5,"",IF((G252&gt;0.5)=(E252&gt;0),1,0))</f>
        <v>1</v>
      </c>
      <c r="Z252" s="16">
        <f>IF(R252=0.5,"",IF((R252&gt;0.5)=(E252&gt;0),1,0))</f>
        <v>1</v>
      </c>
      <c r="AA252" s="29">
        <f>(G252-IF(E252&gt;0,1,0))^2</f>
        <v>0.172225</v>
      </c>
      <c r="AB252" s="29">
        <f>(R252-IF(E252&gt;0,1,0))^2</f>
        <v>0.14711953462188035</v>
      </c>
      <c r="AC252" s="28">
        <f>ABS(H252-E252)</f>
        <v>1.8199999999999998</v>
      </c>
      <c r="AD252" s="28">
        <f>ABS(I252-E252)</f>
        <v>4.3</v>
      </c>
      <c r="AE252" s="28">
        <f>ABS(S252-E252)</f>
        <v>2.5</v>
      </c>
      <c r="AF252" s="28">
        <f>ABS(L252-F252)</f>
        <v>2.9099999999999966</v>
      </c>
      <c r="AG252" s="28">
        <f>ABS(M252-F252)</f>
        <v>1.5</v>
      </c>
      <c r="AH252" s="28">
        <f>ABS(U252-F252)</f>
        <v>5.5</v>
      </c>
      <c r="AI252" s="28">
        <f>ABS(P252-C252)</f>
        <v>1.8199999999999932</v>
      </c>
      <c r="AJ252" s="28">
        <f>ABS(W252-C252)</f>
        <v>4.0</v>
      </c>
      <c r="AK252" s="28">
        <f>ABS(Q252-D252)</f>
        <v>0.010000000000005116</v>
      </c>
      <c r="AL252" s="28">
        <f>ABS(X252-D252)</f>
        <v>1.5</v>
      </c>
      <c r="AM252" s="17" t="str">
        <f>IF(H252&gt;S252,"Ev",IF(H252&lt;S252,"Dep",""))</f>
        <v>Ev</v>
      </c>
      <c r="AN252" s="17" t="str">
        <f>IF(AM252="","",IF(E252=S252,"Push",IF((E252&gt;S252)=(AM252="Ev"),"Kazandı","Kaybetti")))</f>
        <v>Kazandı</v>
      </c>
      <c r="AO252" s="30">
        <f>IF(AM252="","",IF(AN252="Push",0,IF(AN252="Kazandı",IF(AM252="Ev",Oranlar!P252,Oranlar!Q252)-1,-1)))</f>
        <v>0.925925925925926</v>
      </c>
      <c r="AP252" s="17" t="str">
        <f>IF(L252&gt;U252,"Üst",IF(L252&lt;U252,"Alt",""))</f>
        <v>Üst</v>
      </c>
      <c r="AQ252" s="17" t="str">
        <f>IF(AP252="","",IF(F252=U252,"Push",IF((F252&gt;U252)=(AP252="Üst"),"Kazandı","Kaybetti")))</f>
        <v>Kazandı</v>
      </c>
      <c r="AR252" s="30">
        <f>IF(AP252="","",IF(AQ252="Push",0,IF(AQ252="Kazandı",IF(AP252="Üst",Oranlar!W252,Oranlar!X252)-1,-1)))</f>
        <v>0.8928571428571428</v>
      </c>
      <c r="AS252" s="17" t="str">
        <f>IF(G252*Oranlar!R252&gt;1,"Ev",IF((1-G252)*Oranlar!S252&gt;1,"Dep",""))</f>
        <v>Ev</v>
      </c>
      <c r="AT252" s="30">
        <f>IF(AS252="","",IF((AS252="Ev")=(E252&gt;0),IF(AS252="Ev",Oranlar!R252,Oranlar!S252)-1,-1))</f>
        <v>-1.0</v>
      </c>
      <c r="AU252" s="16">
        <f>IF(OR(H252=T252,S252=T252),"",IF((H252&gt;T252)=(S252&gt;T252),1,0))</f>
        <v/>
      </c>
      <c r="AV252" s="16">
        <f>IF(OR(L252=V252,U252=V252),"",IF((L252&gt;V252)=(U252&gt;V252),1,0))</f>
        <v>1</v>
      </c>
      <c r="AW252" s="16">
        <f>IF(AND(E252&gt;=J252,E252&lt;=K252),1,0)</f>
        <v>1</v>
      </c>
      <c r="AX252" s="16">
        <f>IF(AND(F252&gt;=N252,F252&lt;=O252),1,0)</f>
        <v>1</v>
      </c>
    </row>
    <row r="253" spans="1:50">
      <c r="A253" s="21">
        <f>Oranlar!A253</f>
        <v>46118</v>
      </c>
      <c r="B253" s="22" t="str">
        <f>Oranlar!C253&amp;" @ "&amp;Oranlar!D253</f>
        <v>NYK @ ATL</v>
      </c>
      <c r="C253" s="23">
        <f>Oranlar!F253</f>
        <v>105</v>
      </c>
      <c r="D253" s="23">
        <f>Oranlar!E253</f>
        <v>108</v>
      </c>
      <c r="E253" s="15">
        <f>C253-D253</f>
        <v>-3</v>
      </c>
      <c r="F253" s="16">
        <f>C253+D253</f>
        <v>213</v>
      </c>
      <c r="G253" s="24">
        <v>0.47</v>
      </c>
      <c r="H253" s="10">
        <v>-0.39</v>
      </c>
      <c r="I253" s="10">
        <v>1.5</v>
      </c>
      <c r="J253" s="10">
        <v>-17</v>
      </c>
      <c r="K253" s="10">
        <v>20</v>
      </c>
      <c r="L253" s="11">
        <v>225.9</v>
      </c>
      <c r="M253" s="11">
        <v>227.2</v>
      </c>
      <c r="N253" s="11">
        <v>200</v>
      </c>
      <c r="O253" s="11">
        <v>254</v>
      </c>
      <c r="P253" s="11">
        <v>113.81</v>
      </c>
      <c r="Q253" s="11">
        <v>114.98</v>
      </c>
      <c r="R253" s="25">
        <f>Oranlar!Y253</f>
        <v>0.5260865852617197</v>
      </c>
      <c r="S253" s="26">
        <f>-Oranlar!O253</f>
        <v>1.5</v>
      </c>
      <c r="T253" s="26">
        <f>-Oranlar!I253</f>
        <v>1.5</v>
      </c>
      <c r="U253" s="27">
        <f>Oranlar!V253</f>
        <v>226.5</v>
      </c>
      <c r="V253" s="27">
        <f>Oranlar!L253</f>
        <v>230.5</v>
      </c>
      <c r="W253" s="28">
        <f>(U253+S253)/2</f>
        <v>114.0</v>
      </c>
      <c r="X253" s="28">
        <f>(U253-S253)/2</f>
        <v>112.5</v>
      </c>
      <c r="Y253" s="16">
        <f>IF(G253=0.5,"",IF((G253&gt;0.5)=(E253&gt;0),1,0))</f>
        <v>1</v>
      </c>
      <c r="Z253" s="16">
        <f>IF(R253=0.5,"",IF((R253&gt;0.5)=(E253&gt;0),1,0))</f>
        <v>0</v>
      </c>
      <c r="AA253" s="29">
        <f>(G253-IF(E253&gt;0,1,0))^2</f>
        <v>0.22089999999999999</v>
      </c>
      <c r="AB253" s="29">
        <f>(R253-IF(E253&gt;0,1,0))^2</f>
        <v>0.27676709519233667</v>
      </c>
      <c r="AC253" s="28">
        <f>ABS(H253-E253)</f>
        <v>2.61</v>
      </c>
      <c r="AD253" s="28">
        <f>ABS(I253-E253)</f>
        <v>4.5</v>
      </c>
      <c r="AE253" s="28">
        <f>ABS(S253-E253)</f>
        <v>4.5</v>
      </c>
      <c r="AF253" s="28">
        <f>ABS(L253-F253)</f>
        <v>12.900000000000006</v>
      </c>
      <c r="AG253" s="28">
        <f>ABS(M253-F253)</f>
        <v>14.199999999999989</v>
      </c>
      <c r="AH253" s="28">
        <f>ABS(U253-F253)</f>
        <v>13.5</v>
      </c>
      <c r="AI253" s="28">
        <f>ABS(P253-C253)</f>
        <v>8.810000000000002</v>
      </c>
      <c r="AJ253" s="28">
        <f>ABS(W253-C253)</f>
        <v>9.0</v>
      </c>
      <c r="AK253" s="28">
        <f>ABS(Q253-D253)</f>
        <v>6.980000000000004</v>
      </c>
      <c r="AL253" s="28">
        <f>ABS(X253-D253)</f>
        <v>4.5</v>
      </c>
      <c r="AM253" s="17" t="str">
        <f>IF(H253&gt;S253,"Ev",IF(H253&lt;S253,"Dep",""))</f>
        <v>Dep</v>
      </c>
      <c r="AN253" s="17" t="str">
        <f>IF(AM253="","",IF(E253=S253,"Push",IF((E253&gt;S253)=(AM253="Ev"),"Kazandı","Kaybetti")))</f>
        <v>Kazandı</v>
      </c>
      <c r="AO253" s="30">
        <f>IF(AM253="","",IF(AN253="Push",0,IF(AN253="Kazandı",IF(AM253="Ev",Oranlar!P253,Oranlar!Q253)-1,-1)))</f>
        <v>0.9090909090909092</v>
      </c>
      <c r="AP253" s="17" t="str">
        <f>IF(L253&gt;U253,"Üst",IF(L253&lt;U253,"Alt",""))</f>
        <v>Alt</v>
      </c>
      <c r="AQ253" s="17" t="str">
        <f>IF(AP253="","",IF(F253=U253,"Push",IF((F253&gt;U253)=(AP253="Üst"),"Kazandı","Kaybetti")))</f>
        <v>Kazandı</v>
      </c>
      <c r="AR253" s="30">
        <f>IF(AP253="","",IF(AQ253="Push",0,IF(AQ253="Kazandı",IF(AP253="Üst",Oranlar!W253,Oranlar!X253)-1,-1)))</f>
        <v>0.8695652173913042</v>
      </c>
      <c r="AS253" s="17" t="str">
        <f>IF(G253*Oranlar!R253&gt;1,"Ev",IF((1-G253)*Oranlar!S253&gt;1,"Dep",""))</f>
        <v>Dep</v>
      </c>
      <c r="AT253" s="30">
        <f>IF(AS253="","",IF((AS253="Ev")=(E253&gt;0),IF(AS253="Ev",Oranlar!R253,Oranlar!S253)-1,-1))</f>
        <v>1.02</v>
      </c>
      <c r="AU253" s="16">
        <f>IF(OR(H253=T253,S253=T253),"",IF((H253&gt;T253)=(S253&gt;T253),1,0))</f>
        <v/>
      </c>
      <c r="AV253" s="16">
        <f>IF(OR(L253=V253,U253=V253),"",IF((L253&gt;V253)=(U253&gt;V253),1,0))</f>
        <v>1</v>
      </c>
      <c r="AW253" s="16">
        <f>IF(AND(E253&gt;=J253,E253&lt;=K253),1,0)</f>
        <v>1</v>
      </c>
      <c r="AX253" s="16">
        <f>IF(AND(F253&gt;=N253,F253&lt;=O253),1,0)</f>
        <v>1</v>
      </c>
    </row>
    <row r="254" spans="1:50">
      <c r="A254" s="21">
        <f>Oranlar!A254</f>
        <v>46118</v>
      </c>
      <c r="B254" s="22" t="str">
        <f>Oranlar!C254&amp;" @ "&amp;Oranlar!D254</f>
        <v>DET @ ORL</v>
      </c>
      <c r="C254" s="23">
        <f>Oranlar!F254</f>
        <v>123</v>
      </c>
      <c r="D254" s="23">
        <f>Oranlar!E254</f>
        <v>107</v>
      </c>
      <c r="E254" s="15">
        <f>C254-D254</f>
        <v>16</v>
      </c>
      <c r="F254" s="16">
        <f>C254+D254</f>
        <v>230</v>
      </c>
      <c r="G254" s="24">
        <v>0.365</v>
      </c>
      <c r="H254" s="10">
        <v>-7.02</v>
      </c>
      <c r="I254" s="10">
        <v>-4.8</v>
      </c>
      <c r="J254" s="10">
        <v>-23</v>
      </c>
      <c r="K254" s="10">
        <v>13</v>
      </c>
      <c r="L254" s="11">
        <v>225.53</v>
      </c>
      <c r="M254" s="11">
        <v>224.3</v>
      </c>
      <c r="N254" s="11">
        <v>197</v>
      </c>
      <c r="O254" s="11">
        <v>251</v>
      </c>
      <c r="P254" s="11">
        <v>110.46</v>
      </c>
      <c r="Q254" s="11">
        <v>115.27</v>
      </c>
      <c r="R254" s="25">
        <f>Oranlar!Y254</f>
        <v>0.4826358742837298</v>
      </c>
      <c r="S254" s="26">
        <f>-Oranlar!O254</f>
        <v>-1.5</v>
      </c>
      <c r="T254" s="26">
        <f>-Oranlar!I254</f>
        <v>-2.5</v>
      </c>
      <c r="U254" s="27">
        <f>Oranlar!V254</f>
        <v>222.5</v>
      </c>
      <c r="V254" s="27">
        <f>Oranlar!L254</f>
        <v>226.5</v>
      </c>
      <c r="W254" s="28">
        <f>(U254+S254)/2</f>
        <v>110.5</v>
      </c>
      <c r="X254" s="28">
        <f>(U254-S254)/2</f>
        <v>112.0</v>
      </c>
      <c r="Y254" s="16">
        <f>IF(G254=0.5,"",IF((G254&gt;0.5)=(E254&gt;0),1,0))</f>
        <v>0</v>
      </c>
      <c r="Z254" s="16">
        <f>IF(R254=0.5,"",IF((R254&gt;0.5)=(E254&gt;0),1,0))</f>
        <v>0</v>
      </c>
      <c r="AA254" s="29">
        <f>(G254-IF(E254&gt;0,1,0))^2</f>
        <v>0.403225</v>
      </c>
      <c r="AB254" s="29">
        <f>(R254-IF(E254&gt;0,1,0))^2</f>
        <v>0.26766563857816067</v>
      </c>
      <c r="AC254" s="28">
        <f>ABS(H254-E254)</f>
        <v>23.02</v>
      </c>
      <c r="AD254" s="28">
        <f>ABS(I254-E254)</f>
        <v>20.8</v>
      </c>
      <c r="AE254" s="28">
        <f>ABS(S254-E254)</f>
        <v>17.5</v>
      </c>
      <c r="AF254" s="28">
        <f>ABS(L254-F254)</f>
        <v>4.469999999999999</v>
      </c>
      <c r="AG254" s="28">
        <f>ABS(M254-F254)</f>
        <v>5.699999999999989</v>
      </c>
      <c r="AH254" s="28">
        <f>ABS(U254-F254)</f>
        <v>7.5</v>
      </c>
      <c r="AI254" s="28">
        <f>ABS(P254-C254)</f>
        <v>12.540000000000006</v>
      </c>
      <c r="AJ254" s="28">
        <f>ABS(W254-C254)</f>
        <v>12.5</v>
      </c>
      <c r="AK254" s="28">
        <f>ABS(Q254-D254)</f>
        <v>8.269999999999996</v>
      </c>
      <c r="AL254" s="28">
        <f>ABS(X254-D254)</f>
        <v>5.0</v>
      </c>
      <c r="AM254" s="17" t="str">
        <f>IF(H254&gt;S254,"Ev",IF(H254&lt;S254,"Dep",""))</f>
        <v>Dep</v>
      </c>
      <c r="AN254" s="17" t="str">
        <f>IF(AM254="","",IF(E254=S254,"Push",IF((E254&gt;S254)=(AM254="Ev"),"Kazandı","Kaybetti")))</f>
        <v>Kaybetti</v>
      </c>
      <c r="AO254" s="30">
        <f>IF(AM254="","",IF(AN254="Push",0,IF(AN254="Kazandı",IF(AM254="Ev",Oranlar!P254,Oranlar!Q254)-1,-1)))</f>
        <v>-1.0</v>
      </c>
      <c r="AP254" s="17" t="str">
        <f>IF(L254&gt;U254,"Üst",IF(L254&lt;U254,"Alt",""))</f>
        <v>Üst</v>
      </c>
      <c r="AQ254" s="17" t="str">
        <f>IF(AP254="","",IF(F254=U254,"Push",IF((F254&gt;U254)=(AP254="Üst"),"Kazandı","Kaybetti")))</f>
        <v>Kazandı</v>
      </c>
      <c r="AR254" s="30">
        <f>IF(AP254="","",IF(AQ254="Push",0,IF(AQ254="Kazandı",IF(AP254="Üst",Oranlar!W254,Oranlar!X254)-1,-1)))</f>
        <v>0.9090909090909092</v>
      </c>
      <c r="AS254" s="17" t="str">
        <f>IF(G254*Oranlar!R254&gt;1,"Ev",IF((1-G254)*Oranlar!S254&gt;1,"Dep",""))</f>
        <v>Dep</v>
      </c>
      <c r="AT254" s="30">
        <f>IF(AS254="","",IF((AS254="Ev")=(E254&gt;0),IF(AS254="Ev",Oranlar!R254,Oranlar!S254)-1,-1))</f>
        <v>-1.0</v>
      </c>
      <c r="AU254" s="16">
        <f>IF(OR(H254=T254,S254=T254),"",IF((H254&gt;T254)=(S254&gt;T254),1,0))</f>
        <v>0</v>
      </c>
      <c r="AV254" s="16">
        <f>IF(OR(L254=V254,U254=V254),"",IF((L254&gt;V254)=(U254&gt;V254),1,0))</f>
        <v>1</v>
      </c>
      <c r="AW254" s="16">
        <f>IF(AND(E254&gt;=J254,E254&lt;=K254),1,0)</f>
        <v>0</v>
      </c>
      <c r="AX254" s="16">
        <f>IF(AND(F254&gt;=N254,F254&lt;=O254),1,0)</f>
        <v>1</v>
      </c>
    </row>
    <row r="255" spans="1:50">
      <c r="A255" s="21">
        <f>Oranlar!A255</f>
        <v>46118</v>
      </c>
      <c r="B255" s="22" t="str">
        <f>Oranlar!C255&amp;" @ "&amp;Oranlar!D255</f>
        <v>CLE @ MEM</v>
      </c>
      <c r="C255" s="23">
        <f>Oranlar!F255</f>
        <v>126</v>
      </c>
      <c r="D255" s="23">
        <f>Oranlar!E255</f>
        <v>142</v>
      </c>
      <c r="E255" s="15">
        <f>C255-D255</f>
        <v>-16</v>
      </c>
      <c r="F255" s="16">
        <f>C255+D255</f>
        <v>268</v>
      </c>
      <c r="G255" s="24">
        <v>0.3</v>
      </c>
      <c r="H255" s="10">
        <v>-6.66</v>
      </c>
      <c r="I255" s="10">
        <v>-7.3</v>
      </c>
      <c r="J255" s="10">
        <v>-26</v>
      </c>
      <c r="K255" s="10">
        <v>11</v>
      </c>
      <c r="L255" s="11">
        <v>232.45</v>
      </c>
      <c r="M255" s="11">
        <v>232.3</v>
      </c>
      <c r="N255" s="11">
        <v>205</v>
      </c>
      <c r="O255" s="11">
        <v>260</v>
      </c>
      <c r="P255" s="11">
        <v>112.51</v>
      </c>
      <c r="Q255" s="11">
        <v>120.91</v>
      </c>
      <c r="R255" s="25">
        <f>Oranlar!Y255</f>
        <v>0.12</v>
      </c>
      <c r="S255" s="26">
        <f>-Oranlar!O255</f>
        <v>-13.5</v>
      </c>
      <c r="T255" s="26">
        <f>-Oranlar!I255</f>
        <v>-14.5</v>
      </c>
      <c r="U255" s="27">
        <f>Oranlar!V255</f>
        <v>231.5</v>
      </c>
      <c r="V255" s="27">
        <f>Oranlar!L255</f>
        <v>238.5</v>
      </c>
      <c r="W255" s="28">
        <f>(U255+S255)/2</f>
        <v>109.0</v>
      </c>
      <c r="X255" s="28">
        <f>(U255-S255)/2</f>
        <v>122.5</v>
      </c>
      <c r="Y255" s="16">
        <f>IF(G255=0.5,"",IF((G255&gt;0.5)=(E255&gt;0),1,0))</f>
        <v>1</v>
      </c>
      <c r="Z255" s="16">
        <f>IF(R255=0.5,"",IF((R255&gt;0.5)=(E255&gt;0),1,0))</f>
        <v>1</v>
      </c>
      <c r="AA255" s="29">
        <f>(G255-IF(E255&gt;0,1,0))^2</f>
        <v>0.09</v>
      </c>
      <c r="AB255" s="29">
        <f>(R255-IF(E255&gt;0,1,0))^2</f>
        <v>0.0144</v>
      </c>
      <c r="AC255" s="28">
        <f>ABS(H255-E255)</f>
        <v>9.34</v>
      </c>
      <c r="AD255" s="28">
        <f>ABS(I255-E255)</f>
        <v>8.7</v>
      </c>
      <c r="AE255" s="28">
        <f>ABS(S255-E255)</f>
        <v>2.5</v>
      </c>
      <c r="AF255" s="28">
        <f>ABS(L255-F255)</f>
        <v>35.55000000000001</v>
      </c>
      <c r="AG255" s="28">
        <f>ABS(M255-F255)</f>
        <v>35.69999999999999</v>
      </c>
      <c r="AH255" s="28">
        <f>ABS(U255-F255)</f>
        <v>36.5</v>
      </c>
      <c r="AI255" s="28">
        <f>ABS(P255-C255)</f>
        <v>13.489999999999995</v>
      </c>
      <c r="AJ255" s="28">
        <f>ABS(W255-C255)</f>
        <v>17.0</v>
      </c>
      <c r="AK255" s="28">
        <f>ABS(Q255-D255)</f>
        <v>21.090000000000003</v>
      </c>
      <c r="AL255" s="28">
        <f>ABS(X255-D255)</f>
        <v>19.5</v>
      </c>
      <c r="AM255" s="17" t="str">
        <f>IF(H255&gt;S255,"Ev",IF(H255&lt;S255,"Dep",""))</f>
        <v>Ev</v>
      </c>
      <c r="AN255" s="17" t="str">
        <f>IF(AM255="","",IF(E255=S255,"Push",IF((E255&gt;S255)=(AM255="Ev"),"Kazandı","Kaybetti")))</f>
        <v>Kaybetti</v>
      </c>
      <c r="AO255" s="30">
        <f>IF(AM255="","",IF(AN255="Push",0,IF(AN255="Kazandı",IF(AM255="Ev",Oranlar!P255,Oranlar!Q255)-1,-1)))</f>
        <v>-1.0</v>
      </c>
      <c r="AP255" s="17" t="str">
        <f>IF(L255&gt;U255,"Üst",IF(L255&lt;U255,"Alt",""))</f>
        <v>Üst</v>
      </c>
      <c r="AQ255" s="17" t="str">
        <f>IF(AP255="","",IF(F255=U255,"Push",IF((F255&gt;U255)=(AP255="Üst"),"Kazandı","Kaybetti")))</f>
        <v>Kazandı</v>
      </c>
      <c r="AR255" s="30">
        <f>IF(AP255="","",IF(AQ255="Push",0,IF(AQ255="Kazandı",IF(AP255="Üst",Oranlar!W255,Oranlar!X255)-1,-1)))</f>
        <v>0.9090909090909092</v>
      </c>
      <c r="AS255" s="17" t="str">
        <f>IF(G255*Oranlar!R255&gt;1,"Ev",IF((1-G255)*Oranlar!S255&gt;1,"Dep",""))</f>
        <v>Ev</v>
      </c>
      <c r="AT255" s="30">
        <f>IF(AS255="","",IF((AS255="Ev")=(E255&gt;0),IF(AS255="Ev",Oranlar!R255,Oranlar!S255)-1,-1))</f>
        <v>-1.0</v>
      </c>
      <c r="AU255" s="16">
        <f>IF(OR(H255=T255,S255=T255),"",IF((H255&gt;T255)=(S255&gt;T255),1,0))</f>
        <v>1</v>
      </c>
      <c r="AV255" s="16">
        <f>IF(OR(L255=V255,U255=V255),"",IF((L255&gt;V255)=(U255&gt;V255),1,0))</f>
        <v>1</v>
      </c>
      <c r="AW255" s="16">
        <f>IF(AND(E255&gt;=J255,E255&lt;=K255),1,0)</f>
        <v>1</v>
      </c>
      <c r="AX255" s="16">
        <f>IF(AND(F255&gt;=N255,F255&lt;=O255),1,0)</f>
        <v>0</v>
      </c>
    </row>
    <row r="256" spans="1:50">
      <c r="A256" s="21">
        <f>Oranlar!A256</f>
        <v>46118</v>
      </c>
      <c r="B256" s="22" t="str">
        <f>Oranlar!C256&amp;" @ "&amp;Oranlar!D256</f>
        <v>PHI @ SAS</v>
      </c>
      <c r="C256" s="23">
        <f>Oranlar!F256</f>
        <v>115</v>
      </c>
      <c r="D256" s="23">
        <f>Oranlar!E256</f>
        <v>102</v>
      </c>
      <c r="E256" s="15">
        <f>C256-D256</f>
        <v>13</v>
      </c>
      <c r="F256" s="16">
        <f>C256+D256</f>
        <v>217</v>
      </c>
      <c r="G256" s="24">
        <v>0.6899999999999999</v>
      </c>
      <c r="H256" s="10">
        <v>9.31</v>
      </c>
      <c r="I256" s="10">
        <v>5.4</v>
      </c>
      <c r="J256" s="10">
        <v>-13</v>
      </c>
      <c r="K256" s="10">
        <v>24</v>
      </c>
      <c r="L256" s="11">
        <v>234.4</v>
      </c>
      <c r="M256" s="11">
        <v>238.1</v>
      </c>
      <c r="N256" s="11">
        <v>210</v>
      </c>
      <c r="O256" s="11">
        <v>266</v>
      </c>
      <c r="P256" s="11">
        <v>121.27</v>
      </c>
      <c r="Q256" s="11">
        <v>115.69</v>
      </c>
      <c r="R256" s="25">
        <f>Oranlar!Y256</f>
        <v>0.7571884984025559</v>
      </c>
      <c r="S256" s="26">
        <f>-Oranlar!O256</f>
        <v>8.5</v>
      </c>
      <c r="T256" s="26">
        <f>-Oranlar!I256</f>
        <v>8.5</v>
      </c>
      <c r="U256" s="27">
        <f>Oranlar!V256</f>
        <v>237.5</v>
      </c>
      <c r="V256" s="27">
        <f>Oranlar!L256</f>
        <v>234.5</v>
      </c>
      <c r="W256" s="28">
        <f>(U256+S256)/2</f>
        <v>123.0</v>
      </c>
      <c r="X256" s="28">
        <f>(U256-S256)/2</f>
        <v>114.5</v>
      </c>
      <c r="Y256" s="16">
        <f>IF(G256=0.5,"",IF((G256&gt;0.5)=(E256&gt;0),1,0))</f>
        <v>1</v>
      </c>
      <c r="Z256" s="16">
        <f>IF(R256=0.5,"",IF((R256&gt;0.5)=(E256&gt;0),1,0))</f>
        <v>1</v>
      </c>
      <c r="AA256" s="29">
        <f>(G256-IF(E256&gt;0,1,0))^2</f>
        <v>0.09610000000000003</v>
      </c>
      <c r="AB256" s="29">
        <f>(R256-IF(E256&gt;0,1,0))^2</f>
        <v>0.058957425308005615</v>
      </c>
      <c r="AC256" s="28">
        <f>ABS(H256-E256)</f>
        <v>3.6899999999999995</v>
      </c>
      <c r="AD256" s="28">
        <f>ABS(I256-E256)</f>
        <v>7.6</v>
      </c>
      <c r="AE256" s="28">
        <f>ABS(S256-E256)</f>
        <v>4.5</v>
      </c>
      <c r="AF256" s="28">
        <f>ABS(L256-F256)</f>
        <v>17.400000000000006</v>
      </c>
      <c r="AG256" s="28">
        <f>ABS(M256-F256)</f>
        <v>21.099999999999994</v>
      </c>
      <c r="AH256" s="28">
        <f>ABS(U256-F256)</f>
        <v>20.5</v>
      </c>
      <c r="AI256" s="28">
        <f>ABS(P256-C256)</f>
        <v>6.269999999999996</v>
      </c>
      <c r="AJ256" s="28">
        <f>ABS(W256-C256)</f>
        <v>8.0</v>
      </c>
      <c r="AK256" s="28">
        <f>ABS(Q256-D256)</f>
        <v>13.689999999999998</v>
      </c>
      <c r="AL256" s="28">
        <f>ABS(X256-D256)</f>
        <v>12.5</v>
      </c>
      <c r="AM256" s="17" t="str">
        <f>IF(H256&gt;S256,"Ev",IF(H256&lt;S256,"Dep",""))</f>
        <v>Ev</v>
      </c>
      <c r="AN256" s="17" t="str">
        <f>IF(AM256="","",IF(E256=S256,"Push",IF((E256&gt;S256)=(AM256="Ev"),"Kazandı","Kaybetti")))</f>
        <v>Kazandı</v>
      </c>
      <c r="AO256" s="30">
        <f>IF(AM256="","",IF(AN256="Push",0,IF(AN256="Kazandı",IF(AM256="Ev",Oranlar!P256,Oranlar!Q256)-1,-1)))</f>
        <v>0.8928571428571428</v>
      </c>
      <c r="AP256" s="17" t="str">
        <f>IF(L256&gt;U256,"Üst",IF(L256&lt;U256,"Alt",""))</f>
        <v>Alt</v>
      </c>
      <c r="AQ256" s="17" t="str">
        <f>IF(AP256="","",IF(F256=U256,"Push",IF((F256&gt;U256)=(AP256="Üst"),"Kazandı","Kaybetti")))</f>
        <v>Kazandı</v>
      </c>
      <c r="AR256" s="30">
        <f>IF(AP256="","",IF(AQ256="Push",0,IF(AQ256="Kazandı",IF(AP256="Üst",Oranlar!W256,Oranlar!X256)-1,-1)))</f>
        <v>0.8695652173913042</v>
      </c>
      <c r="AS256" s="17" t="str">
        <f>IF(G256*Oranlar!R256&gt;1,"Ev",IF((1-G256)*Oranlar!S256&gt;1,"Dep",""))</f>
        <v>Dep</v>
      </c>
      <c r="AT256" s="30">
        <f>IF(AS256="","",IF((AS256="Ev")=(E256&gt;0),IF(AS256="Ev",Oranlar!R256,Oranlar!S256)-1,-1))</f>
        <v>-1.0</v>
      </c>
      <c r="AU256" s="16">
        <f>IF(OR(H256=T256,S256=T256),"",IF((H256&gt;T256)=(S256&gt;T256),1,0))</f>
        <v/>
      </c>
      <c r="AV256" s="16">
        <f>IF(OR(L256=V256,U256=V256),"",IF((L256&gt;V256)=(U256&gt;V256),1,0))</f>
        <v>0</v>
      </c>
      <c r="AW256" s="16">
        <f>IF(AND(E256&gt;=J256,E256&lt;=K256),1,0)</f>
        <v>1</v>
      </c>
      <c r="AX256" s="16">
        <f>IF(AND(F256&gt;=N256,F256&lt;=O256),1,0)</f>
        <v>1</v>
      </c>
    </row>
    <row r="257" spans="1:50">
      <c r="A257" s="21">
        <f>Oranlar!A257</f>
        <v>46118</v>
      </c>
      <c r="B257" s="22" t="str">
        <f>Oranlar!C257&amp;" @ "&amp;Oranlar!D257</f>
        <v>POR @ DEN</v>
      </c>
      <c r="C257" s="23">
        <f>Oranlar!F257</f>
        <v>137</v>
      </c>
      <c r="D257" s="23">
        <f>Oranlar!E257</f>
        <v>132</v>
      </c>
      <c r="E257" s="15">
        <f>C257-D257</f>
        <v>5</v>
      </c>
      <c r="F257" s="16">
        <f>C257+D257</f>
        <v>269</v>
      </c>
      <c r="G257" s="24">
        <v>0.624</v>
      </c>
      <c r="H257" s="10">
        <v>1.21</v>
      </c>
      <c r="I257" s="10">
        <v>6.8</v>
      </c>
      <c r="J257" s="10">
        <v>-11</v>
      </c>
      <c r="K257" s="10">
        <v>26</v>
      </c>
      <c r="L257" s="11">
        <v>233.45</v>
      </c>
      <c r="M257" s="11">
        <v>230.7</v>
      </c>
      <c r="N257" s="11">
        <v>203</v>
      </c>
      <c r="O257" s="11">
        <v>258</v>
      </c>
      <c r="P257" s="11">
        <v>119.33</v>
      </c>
      <c r="Q257" s="11">
        <v>117.46</v>
      </c>
      <c r="R257" s="25">
        <f>Oranlar!Y257</f>
        <v>0.7135512302607419</v>
      </c>
      <c r="S257" s="26">
        <f>-Oranlar!O257</f>
        <v>6.5</v>
      </c>
      <c r="T257" s="26">
        <f>-Oranlar!I257</f>
        <v>9.5</v>
      </c>
      <c r="U257" s="27">
        <f>Oranlar!V257</f>
        <v>235.5</v>
      </c>
      <c r="V257" s="27">
        <f>Oranlar!L257</f>
        <v>239.5</v>
      </c>
      <c r="W257" s="28">
        <f>(U257+S257)/2</f>
        <v>121.0</v>
      </c>
      <c r="X257" s="28">
        <f>(U257-S257)/2</f>
        <v>114.5</v>
      </c>
      <c r="Y257" s="16">
        <f>IF(G257=0.5,"",IF((G257&gt;0.5)=(E257&gt;0),1,0))</f>
        <v>1</v>
      </c>
      <c r="Z257" s="16">
        <f>IF(R257=0.5,"",IF((R257&gt;0.5)=(E257&gt;0),1,0))</f>
        <v>1</v>
      </c>
      <c r="AA257" s="29">
        <f>(G257-IF(E257&gt;0,1,0))^2</f>
        <v>0.141376</v>
      </c>
      <c r="AB257" s="29">
        <f>(R257-IF(E257&gt;0,1,0))^2</f>
        <v>0.08205289768513453</v>
      </c>
      <c r="AC257" s="28">
        <f>ABS(H257-E257)</f>
        <v>3.79</v>
      </c>
      <c r="AD257" s="28">
        <f>ABS(I257-E257)</f>
        <v>1.7999999999999998</v>
      </c>
      <c r="AE257" s="28">
        <f>ABS(S257-E257)</f>
        <v>1.5</v>
      </c>
      <c r="AF257" s="28">
        <f>ABS(L257-F257)</f>
        <v>35.55000000000001</v>
      </c>
      <c r="AG257" s="28">
        <f>ABS(M257-F257)</f>
        <v>38.30000000000001</v>
      </c>
      <c r="AH257" s="28">
        <f>ABS(U257-F257)</f>
        <v>33.5</v>
      </c>
      <c r="AI257" s="28">
        <f>ABS(P257-C257)</f>
        <v>17.67</v>
      </c>
      <c r="AJ257" s="28">
        <f>ABS(W257-C257)</f>
        <v>16.0</v>
      </c>
      <c r="AK257" s="28">
        <f>ABS(Q257-D257)</f>
        <v>14.540000000000006</v>
      </c>
      <c r="AL257" s="28">
        <f>ABS(X257-D257)</f>
        <v>17.5</v>
      </c>
      <c r="AM257" s="17" t="str">
        <f>IF(H257&gt;S257,"Ev",IF(H257&lt;S257,"Dep",""))</f>
        <v>Dep</v>
      </c>
      <c r="AN257" s="17" t="str">
        <f>IF(AM257="","",IF(E257=S257,"Push",IF((E257&gt;S257)=(AM257="Ev"),"Kazandı","Kaybetti")))</f>
        <v>Kazandı</v>
      </c>
      <c r="AO257" s="30">
        <f>IF(AM257="","",IF(AN257="Push",0,IF(AN257="Kazandı",IF(AM257="Ev",Oranlar!P257,Oranlar!Q257)-1,-1)))</f>
        <v>0.9523809523809523</v>
      </c>
      <c r="AP257" s="17" t="str">
        <f>IF(L257&gt;U257,"Üst",IF(L257&lt;U257,"Alt",""))</f>
        <v>Alt</v>
      </c>
      <c r="AQ257" s="17" t="str">
        <f>IF(AP257="","",IF(F257=U257,"Push",IF((F257&gt;U257)=(AP257="Üst"),"Kazandı","Kaybetti")))</f>
        <v>Kaybetti</v>
      </c>
      <c r="AR257" s="30">
        <f>IF(AP257="","",IF(AQ257="Push",0,IF(AQ257="Kazandı",IF(AP257="Üst",Oranlar!W257,Oranlar!X257)-1,-1)))</f>
        <v>-1.0</v>
      </c>
      <c r="AS257" s="17" t="str">
        <f>IF(G257*Oranlar!R257&gt;1,"Ev",IF((1-G257)*Oranlar!S257&gt;1,"Dep",""))</f>
        <v>Dep</v>
      </c>
      <c r="AT257" s="30">
        <f>IF(AS257="","",IF((AS257="Ev")=(E257&gt;0),IF(AS257="Ev",Oranlar!R257,Oranlar!S257)-1,-1))</f>
        <v>-1.0</v>
      </c>
      <c r="AU257" s="16">
        <f>IF(OR(H257=T257,S257=T257),"",IF((H257&gt;T257)=(S257&gt;T257),1,0))</f>
        <v>1</v>
      </c>
      <c r="AV257" s="16">
        <f>IF(OR(L257=V257,U257=V257),"",IF((L257&gt;V257)=(U257&gt;V257),1,0))</f>
        <v>1</v>
      </c>
      <c r="AW257" s="16">
        <f>IF(AND(E257&gt;=J257,E257&lt;=K257),1,0)</f>
        <v>1</v>
      </c>
      <c r="AX257" s="16">
        <f>IF(AND(F257&gt;=N257,F257&lt;=O257),1,0)</f>
        <v>0</v>
      </c>
    </row>
    <row r="258" spans="1:50">
      <c r="A258" s="21">
        <f>Oranlar!A258</f>
        <v>46119</v>
      </c>
      <c r="B258" s="22" t="str">
        <f>Oranlar!C258&amp;" @ "&amp;Oranlar!D258</f>
        <v>CHI @ WAS</v>
      </c>
      <c r="C258" s="23">
        <f>Oranlar!F258</f>
        <v>98</v>
      </c>
      <c r="D258" s="23">
        <f>Oranlar!E258</f>
        <v>129</v>
      </c>
      <c r="E258" s="15">
        <f>C258-D258</f>
        <v>-31</v>
      </c>
      <c r="F258" s="16">
        <f>C258+D258</f>
        <v>227</v>
      </c>
      <c r="G258" s="24">
        <v>0.379</v>
      </c>
      <c r="H258" s="10">
        <v>-3.53</v>
      </c>
      <c r="I258" s="10">
        <v>-5.7</v>
      </c>
      <c r="J258" s="10">
        <v>-24</v>
      </c>
      <c r="K258" s="10">
        <v>13</v>
      </c>
      <c r="L258" s="11">
        <v>241.02</v>
      </c>
      <c r="M258" s="11">
        <v>237.1</v>
      </c>
      <c r="N258" s="11">
        <v>209</v>
      </c>
      <c r="O258" s="11">
        <v>265</v>
      </c>
      <c r="P258" s="11">
        <v>117</v>
      </c>
      <c r="Q258" s="11">
        <v>121.15</v>
      </c>
      <c r="R258" s="25">
        <f>Oranlar!Y258</f>
        <v>0.33635187580853815</v>
      </c>
      <c r="S258" s="26">
        <f>-Oranlar!O258</f>
        <v>-5.5</v>
      </c>
      <c r="T258" s="26">
        <f>-Oranlar!I258</f>
        <v>-5.5</v>
      </c>
      <c r="U258" s="27">
        <f>Oranlar!V258</f>
        <v>249.5</v>
      </c>
      <c r="V258" s="27">
        <f>Oranlar!L258</f>
        <v>248.5</v>
      </c>
      <c r="W258" s="28">
        <f>(U258+S258)/2</f>
        <v>122.0</v>
      </c>
      <c r="X258" s="28">
        <f>(U258-S258)/2</f>
        <v>127.5</v>
      </c>
      <c r="Y258" s="16">
        <f>IF(G258=0.5,"",IF((G258&gt;0.5)=(E258&gt;0),1,0))</f>
        <v>1</v>
      </c>
      <c r="Z258" s="16">
        <f>IF(R258=0.5,"",IF((R258&gt;0.5)=(E258&gt;0),1,0))</f>
        <v>1</v>
      </c>
      <c r="AA258" s="29">
        <f>(G258-IF(E258&gt;0,1,0))^2</f>
        <v>0.143641</v>
      </c>
      <c r="AB258" s="29">
        <f>(R258-IF(E258&gt;0,1,0))^2</f>
        <v>0.11313258435992227</v>
      </c>
      <c r="AC258" s="28">
        <f>ABS(H258-E258)</f>
        <v>27.47</v>
      </c>
      <c r="AD258" s="28">
        <f>ABS(I258-E258)</f>
        <v>25.3</v>
      </c>
      <c r="AE258" s="28">
        <f>ABS(S258-E258)</f>
        <v>25.5</v>
      </c>
      <c r="AF258" s="28">
        <f>ABS(L258-F258)</f>
        <v>14.02000000000001</v>
      </c>
      <c r="AG258" s="28">
        <f>ABS(M258-F258)</f>
        <v>10.099999999999994</v>
      </c>
      <c r="AH258" s="28">
        <f>ABS(U258-F258)</f>
        <v>22.5</v>
      </c>
      <c r="AI258" s="28">
        <f>ABS(P258-C258)</f>
        <v>19.0</v>
      </c>
      <c r="AJ258" s="28">
        <f>ABS(W258-C258)</f>
        <v>24.0</v>
      </c>
      <c r="AK258" s="28">
        <f>ABS(Q258-D258)</f>
        <v>7.849999999999994</v>
      </c>
      <c r="AL258" s="28">
        <f>ABS(X258-D258)</f>
        <v>1.5</v>
      </c>
      <c r="AM258" s="17" t="str">
        <f>IF(H258&gt;S258,"Ev",IF(H258&lt;S258,"Dep",""))</f>
        <v>Ev</v>
      </c>
      <c r="AN258" s="17" t="str">
        <f>IF(AM258="","",IF(E258=S258,"Push",IF((E258&gt;S258)=(AM258="Ev"),"Kazandı","Kaybetti")))</f>
        <v>Kaybetti</v>
      </c>
      <c r="AO258" s="30">
        <f>IF(AM258="","",IF(AN258="Push",0,IF(AN258="Kazandı",IF(AM258="Ev",Oranlar!P258,Oranlar!Q258)-1,-1)))</f>
        <v>-1.0</v>
      </c>
      <c r="AP258" s="17" t="str">
        <f>IF(L258&gt;U258,"Üst",IF(L258&lt;U258,"Alt",""))</f>
        <v>Alt</v>
      </c>
      <c r="AQ258" s="17" t="str">
        <f>IF(AP258="","",IF(F258=U258,"Push",IF((F258&gt;U258)=(AP258="Üst"),"Kazandı","Kaybetti")))</f>
        <v>Kazandı</v>
      </c>
      <c r="AR258" s="30">
        <f>IF(AP258="","",IF(AQ258="Push",0,IF(AQ258="Kazandı",IF(AP258="Üst",Oranlar!W258,Oranlar!X258)-1,-1)))</f>
        <v>0.9090909090909092</v>
      </c>
      <c r="AS258" s="17" t="str">
        <f>IF(G258*Oranlar!R258&gt;1,"Ev",IF((1-G258)*Oranlar!S258&gt;1,"Dep",""))</f>
        <v>Ev</v>
      </c>
      <c r="AT258" s="30">
        <f>IF(AS258="","",IF((AS258="Ev")=(E258&gt;0),IF(AS258="Ev",Oranlar!R258,Oranlar!S258)-1,-1))</f>
        <v>-1.0</v>
      </c>
      <c r="AU258" s="16">
        <f>IF(OR(H258=T258,S258=T258),"",IF((H258&gt;T258)=(S258&gt;T258),1,0))</f>
        <v/>
      </c>
      <c r="AV258" s="16">
        <f>IF(OR(L258=V258,U258=V258),"",IF((L258&gt;V258)=(U258&gt;V258),1,0))</f>
        <v>0</v>
      </c>
      <c r="AW258" s="16">
        <f>IF(AND(E258&gt;=J258,E258&lt;=K258),1,0)</f>
        <v>0</v>
      </c>
      <c r="AX258" s="16">
        <f>IF(AND(F258&gt;=N258,F258&lt;=O258),1,0)</f>
        <v>1</v>
      </c>
    </row>
    <row r="259" spans="1:50">
      <c r="A259" s="21">
        <f>Oranlar!A259</f>
        <v>46119</v>
      </c>
      <c r="B259" s="22" t="str">
        <f>Oranlar!C259&amp;" @ "&amp;Oranlar!D259</f>
        <v>CHA @ BOS</v>
      </c>
      <c r="C259" s="23">
        <f>Oranlar!F259</f>
        <v>113</v>
      </c>
      <c r="D259" s="23">
        <f>Oranlar!E259</f>
        <v>102</v>
      </c>
      <c r="E259" s="15">
        <f>C259-D259</f>
        <v>11</v>
      </c>
      <c r="F259" s="16">
        <f>C259+D259</f>
        <v>215</v>
      </c>
      <c r="G259" s="24">
        <v>0.649</v>
      </c>
      <c r="H259" s="10">
        <v>3.96</v>
      </c>
      <c r="I259" s="10">
        <v>2.7</v>
      </c>
      <c r="J259" s="10">
        <v>-15</v>
      </c>
      <c r="K259" s="10">
        <v>21</v>
      </c>
      <c r="L259" s="11">
        <v>226.14</v>
      </c>
      <c r="M259" s="11">
        <v>225.9</v>
      </c>
      <c r="N259" s="11">
        <v>199</v>
      </c>
      <c r="O259" s="11">
        <v>253</v>
      </c>
      <c r="P259" s="11">
        <v>114.43</v>
      </c>
      <c r="Q259" s="11">
        <v>112.51</v>
      </c>
      <c r="R259" s="25">
        <f>Oranlar!Y259</f>
        <v>0.6369041816941222</v>
      </c>
      <c r="S259" s="26">
        <f>-Oranlar!O259</f>
        <v>4.5</v>
      </c>
      <c r="T259" s="26">
        <f>-Oranlar!I259</f>
        <v>6.5</v>
      </c>
      <c r="U259" s="27">
        <f>Oranlar!V259</f>
        <v>221.5</v>
      </c>
      <c r="V259" s="27">
        <f>Oranlar!L259</f>
        <v>219.5</v>
      </c>
      <c r="W259" s="28">
        <f>(U259+S259)/2</f>
        <v>113.0</v>
      </c>
      <c r="X259" s="28">
        <f>(U259-S259)/2</f>
        <v>108.5</v>
      </c>
      <c r="Y259" s="16">
        <f>IF(G259=0.5,"",IF((G259&gt;0.5)=(E259&gt;0),1,0))</f>
        <v>1</v>
      </c>
      <c r="Z259" s="16">
        <f>IF(R259=0.5,"",IF((R259&gt;0.5)=(E259&gt;0),1,0))</f>
        <v>1</v>
      </c>
      <c r="AA259" s="29">
        <f>(G259-IF(E259&gt;0,1,0))^2</f>
        <v>0.12320099999999999</v>
      </c>
      <c r="AB259" s="29">
        <f>(R259-IF(E259&gt;0,1,0))^2</f>
        <v>0.131838573271215</v>
      </c>
      <c r="AC259" s="28">
        <f>ABS(H259-E259)</f>
        <v>7.04</v>
      </c>
      <c r="AD259" s="28">
        <f>ABS(I259-E259)</f>
        <v>8.3</v>
      </c>
      <c r="AE259" s="28">
        <f>ABS(S259-E259)</f>
        <v>6.5</v>
      </c>
      <c r="AF259" s="28">
        <f>ABS(L259-F259)</f>
        <v>11.139999999999986</v>
      </c>
      <c r="AG259" s="28">
        <f>ABS(M259-F259)</f>
        <v>10.900000000000006</v>
      </c>
      <c r="AH259" s="28">
        <f>ABS(U259-F259)</f>
        <v>6.5</v>
      </c>
      <c r="AI259" s="28">
        <f>ABS(P259-C259)</f>
        <v>1.4300000000000068</v>
      </c>
      <c r="AJ259" s="28">
        <f>ABS(W259-C259)</f>
        <v>0.0</v>
      </c>
      <c r="AK259" s="28">
        <f>ABS(Q259-D259)</f>
        <v>10.510000000000005</v>
      </c>
      <c r="AL259" s="28">
        <f>ABS(X259-D259)</f>
        <v>6.5</v>
      </c>
      <c r="AM259" s="17" t="str">
        <f>IF(H259&gt;S259,"Ev",IF(H259&lt;S259,"Dep",""))</f>
        <v>Dep</v>
      </c>
      <c r="AN259" s="17" t="str">
        <f>IF(AM259="","",IF(E259=S259,"Push",IF((E259&gt;S259)=(AM259="Ev"),"Kazandı","Kaybetti")))</f>
        <v>Kaybetti</v>
      </c>
      <c r="AO259" s="30">
        <f>IF(AM259="","",IF(AN259="Push",0,IF(AN259="Kazandı",IF(AM259="Ev",Oranlar!P259,Oranlar!Q259)-1,-1)))</f>
        <v>-1.0</v>
      </c>
      <c r="AP259" s="17" t="str">
        <f>IF(L259&gt;U259,"Üst",IF(L259&lt;U259,"Alt",""))</f>
        <v>Üst</v>
      </c>
      <c r="AQ259" s="17" t="str">
        <f>IF(AP259="","",IF(F259=U259,"Push",IF((F259&gt;U259)=(AP259="Üst"),"Kazandı","Kaybetti")))</f>
        <v>Kaybetti</v>
      </c>
      <c r="AR259" s="30">
        <f>IF(AP259="","",IF(AQ259="Push",0,IF(AQ259="Kazandı",IF(AP259="Üst",Oranlar!W259,Oranlar!X259)-1,-1)))</f>
        <v>-1.0</v>
      </c>
      <c r="AS259" s="17">
        <f>IF(G259*Oranlar!R259&gt;1,"Ev",IF((1-G259)*Oranlar!S259&gt;1,"Dep",""))</f>
        <v/>
      </c>
      <c r="AT259" s="30">
        <f>IF(AS259="","",IF((AS259="Ev")=(E259&gt;0),IF(AS259="Ev",Oranlar!R259,Oranlar!S259)-1,-1))</f>
        <v/>
      </c>
      <c r="AU259" s="16">
        <f>IF(OR(H259=T259,S259=T259),"",IF((H259&gt;T259)=(S259&gt;T259),1,0))</f>
        <v>1</v>
      </c>
      <c r="AV259" s="16">
        <f>IF(OR(L259=V259,U259=V259),"",IF((L259&gt;V259)=(U259&gt;V259),1,0))</f>
        <v>1</v>
      </c>
      <c r="AW259" s="16">
        <f>IF(AND(E259&gt;=J259,E259&lt;=K259),1,0)</f>
        <v>1</v>
      </c>
      <c r="AX259" s="16">
        <f>IF(AND(F259&gt;=N259,F259&lt;=O259),1,0)</f>
        <v>1</v>
      </c>
    </row>
    <row r="260" spans="1:50">
      <c r="A260" s="21">
        <f>Oranlar!A260</f>
        <v>46119</v>
      </c>
      <c r="B260" s="22" t="str">
        <f>Oranlar!C260&amp;" @ "&amp;Oranlar!D260</f>
        <v>MIL @ BKN</v>
      </c>
      <c r="C260" s="23">
        <f>Oranlar!F260</f>
        <v>96</v>
      </c>
      <c r="D260" s="23">
        <f>Oranlar!E260</f>
        <v>90</v>
      </c>
      <c r="E260" s="15">
        <f>C260-D260</f>
        <v>6</v>
      </c>
      <c r="F260" s="16">
        <f>C260+D260</f>
        <v>186</v>
      </c>
      <c r="G260" s="24">
        <v>0.475</v>
      </c>
      <c r="H260" s="10">
        <v>-0.37</v>
      </c>
      <c r="I260" s="10">
        <v>-5.3</v>
      </c>
      <c r="J260" s="10">
        <v>-23</v>
      </c>
      <c r="K260" s="10">
        <v>13</v>
      </c>
      <c r="L260" s="11">
        <v>225.02</v>
      </c>
      <c r="M260" s="11">
        <v>222.6</v>
      </c>
      <c r="N260" s="11">
        <v>196</v>
      </c>
      <c r="O260" s="11">
        <v>249</v>
      </c>
      <c r="P260" s="11">
        <v>108.45</v>
      </c>
      <c r="Q260" s="11">
        <v>110.18</v>
      </c>
      <c r="R260" s="25">
        <f>Oranlar!Y260</f>
        <v>0.4782608695652174</v>
      </c>
      <c r="S260" s="26">
        <f>-Oranlar!O260</f>
        <v>-1.5</v>
      </c>
      <c r="T260" s="26">
        <f>-Oranlar!I260</f>
        <v>-2.5</v>
      </c>
      <c r="U260" s="27">
        <f>Oranlar!V260</f>
        <v>218.5</v>
      </c>
      <c r="V260" s="27">
        <f>Oranlar!L260</f>
        <v>219.5</v>
      </c>
      <c r="W260" s="28">
        <f>(U260+S260)/2</f>
        <v>108.5</v>
      </c>
      <c r="X260" s="28">
        <f>(U260-S260)/2</f>
        <v>110.0</v>
      </c>
      <c r="Y260" s="16">
        <f>IF(G260=0.5,"",IF((G260&gt;0.5)=(E260&gt;0),1,0))</f>
        <v>0</v>
      </c>
      <c r="Z260" s="16">
        <f>IF(R260=0.5,"",IF((R260&gt;0.5)=(E260&gt;0),1,0))</f>
        <v>0</v>
      </c>
      <c r="AA260" s="29">
        <f>(G260-IF(E260&gt;0,1,0))^2</f>
        <v>0.275625</v>
      </c>
      <c r="AB260" s="29">
        <f>(R260-IF(E260&gt;0,1,0))^2</f>
        <v>0.2722117202268431</v>
      </c>
      <c r="AC260" s="28">
        <f>ABS(H260-E260)</f>
        <v>6.37</v>
      </c>
      <c r="AD260" s="28">
        <f>ABS(I260-E260)</f>
        <v>11.3</v>
      </c>
      <c r="AE260" s="28">
        <f>ABS(S260-E260)</f>
        <v>7.5</v>
      </c>
      <c r="AF260" s="28">
        <f>ABS(L260-F260)</f>
        <v>39.02000000000001</v>
      </c>
      <c r="AG260" s="28">
        <f>ABS(M260-F260)</f>
        <v>36.599999999999994</v>
      </c>
      <c r="AH260" s="28">
        <f>ABS(U260-F260)</f>
        <v>32.5</v>
      </c>
      <c r="AI260" s="28">
        <f>ABS(P260-C260)</f>
        <v>12.450000000000003</v>
      </c>
      <c r="AJ260" s="28">
        <f>ABS(W260-C260)</f>
        <v>12.5</v>
      </c>
      <c r="AK260" s="28">
        <f>ABS(Q260-D260)</f>
        <v>20.180000000000007</v>
      </c>
      <c r="AL260" s="28">
        <f>ABS(X260-D260)</f>
        <v>20.0</v>
      </c>
      <c r="AM260" s="17" t="str">
        <f>IF(H260&gt;S260,"Ev",IF(H260&lt;S260,"Dep",""))</f>
        <v>Ev</v>
      </c>
      <c r="AN260" s="17" t="str">
        <f>IF(AM260="","",IF(E260=S260,"Push",IF((E260&gt;S260)=(AM260="Ev"),"Kazandı","Kaybetti")))</f>
        <v>Kazandı</v>
      </c>
      <c r="AO260" s="30">
        <f>IF(AM260="","",IF(AN260="Push",0,IF(AN260="Kazandı",IF(AM260="Ev",Oranlar!P260,Oranlar!Q260)-1,-1)))</f>
        <v>0.9090909090909092</v>
      </c>
      <c r="AP260" s="17" t="str">
        <f>IF(L260&gt;U260,"Üst",IF(L260&lt;U260,"Alt",""))</f>
        <v>Üst</v>
      </c>
      <c r="AQ260" s="17" t="str">
        <f>IF(AP260="","",IF(F260=U260,"Push",IF((F260&gt;U260)=(AP260="Üst"),"Kazandı","Kaybetti")))</f>
        <v>Kaybetti</v>
      </c>
      <c r="AR260" s="30">
        <f>IF(AP260="","",IF(AQ260="Push",0,IF(AQ260="Kazandı",IF(AP260="Üst",Oranlar!W260,Oranlar!X260)-1,-1)))</f>
        <v>-1.0</v>
      </c>
      <c r="AS260" s="17">
        <f>IF(G260*Oranlar!R260&gt;1,"Ev",IF((1-G260)*Oranlar!S260&gt;1,"Dep",""))</f>
        <v/>
      </c>
      <c r="AT260" s="30">
        <f>IF(AS260="","",IF((AS260="Ev")=(E260&gt;0),IF(AS260="Ev",Oranlar!R260,Oranlar!S260)-1,-1))</f>
        <v/>
      </c>
      <c r="AU260" s="16">
        <f>IF(OR(H260=T260,S260=T260),"",IF((H260&gt;T260)=(S260&gt;T260),1,0))</f>
        <v>1</v>
      </c>
      <c r="AV260" s="16">
        <f>IF(OR(L260=V260,U260=V260),"",IF((L260&gt;V260)=(U260&gt;V260),1,0))</f>
        <v>0</v>
      </c>
      <c r="AW260" s="16">
        <f>IF(AND(E260&gt;=J260,E260&lt;=K260),1,0)</f>
        <v>1</v>
      </c>
      <c r="AX260" s="16">
        <f>IF(AND(F260&gt;=N260,F260&lt;=O260),1,0)</f>
        <v>0</v>
      </c>
    </row>
    <row r="261" spans="1:50">
      <c r="A261" s="21">
        <f>Oranlar!A261</f>
        <v>46119</v>
      </c>
      <c r="B261" s="22" t="str">
        <f>Oranlar!C261&amp;" @ "&amp;Oranlar!D261</f>
        <v>MIA @ TOR</v>
      </c>
      <c r="C261" s="23">
        <f>Oranlar!F261</f>
        <v>121</v>
      </c>
      <c r="D261" s="23">
        <f>Oranlar!E261</f>
        <v>95</v>
      </c>
      <c r="E261" s="15">
        <f>C261-D261</f>
        <v>26</v>
      </c>
      <c r="F261" s="16">
        <f>C261+D261</f>
        <v>216</v>
      </c>
      <c r="G261" s="24">
        <v>0.6840000000000001</v>
      </c>
      <c r="H261" s="10">
        <v>8.66</v>
      </c>
      <c r="I261" s="10">
        <v>12.4</v>
      </c>
      <c r="J261" s="10">
        <v>-7</v>
      </c>
      <c r="K261" s="10">
        <v>32</v>
      </c>
      <c r="L261" s="11">
        <v>238.24</v>
      </c>
      <c r="M261" s="11">
        <v>243</v>
      </c>
      <c r="N261" s="11">
        <v>215</v>
      </c>
      <c r="O261" s="11">
        <v>271</v>
      </c>
      <c r="P261" s="11">
        <v>123.73</v>
      </c>
      <c r="Q261" s="11">
        <v>117.18</v>
      </c>
      <c r="R261" s="25">
        <f>Oranlar!Y261</f>
        <v>0.5634920634920635</v>
      </c>
      <c r="S261" s="26">
        <f>-Oranlar!O261</f>
        <v>2.5</v>
      </c>
      <c r="T261" s="26">
        <f>-Oranlar!I261</f>
        <v>-1.5</v>
      </c>
      <c r="U261" s="27">
        <f>Oranlar!V261</f>
        <v>240.5</v>
      </c>
      <c r="V261" s="27">
        <f>Oranlar!L261</f>
        <v>238.5</v>
      </c>
      <c r="W261" s="28">
        <f>(U261+S261)/2</f>
        <v>121.5</v>
      </c>
      <c r="X261" s="28">
        <f>(U261-S261)/2</f>
        <v>119.0</v>
      </c>
      <c r="Y261" s="16">
        <f>IF(G261=0.5,"",IF((G261&gt;0.5)=(E261&gt;0),1,0))</f>
        <v>1</v>
      </c>
      <c r="Z261" s="16">
        <f>IF(R261=0.5,"",IF((R261&gt;0.5)=(E261&gt;0),1,0))</f>
        <v>1</v>
      </c>
      <c r="AA261" s="29">
        <f>(G261-IF(E261&gt;0,1,0))^2</f>
        <v>0.09985599999999997</v>
      </c>
      <c r="AB261" s="29">
        <f>(R261-IF(E261&gt;0,1,0))^2</f>
        <v>0.19053917863441674</v>
      </c>
      <c r="AC261" s="28">
        <f>ABS(H261-E261)</f>
        <v>17.34</v>
      </c>
      <c r="AD261" s="28">
        <f>ABS(I261-E261)</f>
        <v>13.6</v>
      </c>
      <c r="AE261" s="28">
        <f>ABS(S261-E261)</f>
        <v>23.5</v>
      </c>
      <c r="AF261" s="28">
        <f>ABS(L261-F261)</f>
        <v>22.24000000000001</v>
      </c>
      <c r="AG261" s="28">
        <f>ABS(M261-F261)</f>
        <v>27.0</v>
      </c>
      <c r="AH261" s="28">
        <f>ABS(U261-F261)</f>
        <v>24.5</v>
      </c>
      <c r="AI261" s="28">
        <f>ABS(P261-C261)</f>
        <v>2.730000000000004</v>
      </c>
      <c r="AJ261" s="28">
        <f>ABS(W261-C261)</f>
        <v>0.5</v>
      </c>
      <c r="AK261" s="28">
        <f>ABS(Q261-D261)</f>
        <v>22.180000000000007</v>
      </c>
      <c r="AL261" s="28">
        <f>ABS(X261-D261)</f>
        <v>24.0</v>
      </c>
      <c r="AM261" s="17" t="str">
        <f>IF(H261&gt;S261,"Ev",IF(H261&lt;S261,"Dep",""))</f>
        <v>Ev</v>
      </c>
      <c r="AN261" s="17" t="str">
        <f>IF(AM261="","",IF(E261=S261,"Push",IF((E261&gt;S261)=(AM261="Ev"),"Kazandı","Kaybetti")))</f>
        <v>Kazandı</v>
      </c>
      <c r="AO261" s="30">
        <f>IF(AM261="","",IF(AN261="Push",0,IF(AN261="Kazandı",IF(AM261="Ev",Oranlar!P261,Oranlar!Q261)-1,-1)))</f>
        <v>0.8928571428571428</v>
      </c>
      <c r="AP261" s="17" t="str">
        <f>IF(L261&gt;U261,"Üst",IF(L261&lt;U261,"Alt",""))</f>
        <v>Alt</v>
      </c>
      <c r="AQ261" s="17" t="str">
        <f>IF(AP261="","",IF(F261=U261,"Push",IF((F261&gt;U261)=(AP261="Üst"),"Kazandı","Kaybetti")))</f>
        <v>Kazandı</v>
      </c>
      <c r="AR261" s="30">
        <f>IF(AP261="","",IF(AQ261="Push",0,IF(AQ261="Kazandı",IF(AP261="Üst",Oranlar!W261,Oranlar!X261)-1,-1)))</f>
        <v>0.9523809523809523</v>
      </c>
      <c r="AS261" s="17" t="str">
        <f>IF(G261*Oranlar!R261&gt;1,"Ev",IF((1-G261)*Oranlar!S261&gt;1,"Dep",""))</f>
        <v>Ev</v>
      </c>
      <c r="AT261" s="30">
        <f>IF(AS261="","",IF((AS261="Ev")=(E261&gt;0),IF(AS261="Ev",Oranlar!R261,Oranlar!S261)-1,-1))</f>
        <v>0.704225352112676</v>
      </c>
      <c r="AU261" s="16">
        <f>IF(OR(H261=T261,S261=T261),"",IF((H261&gt;T261)=(S261&gt;T261),1,0))</f>
        <v>1</v>
      </c>
      <c r="AV261" s="16">
        <f>IF(OR(L261=V261,U261=V261),"",IF((L261&gt;V261)=(U261&gt;V261),1,0))</f>
        <v>0</v>
      </c>
      <c r="AW261" s="16">
        <f>IF(AND(E261&gt;=J261,E261&lt;=K261),1,0)</f>
        <v>1</v>
      </c>
      <c r="AX261" s="16">
        <f>IF(AND(F261&gt;=N261,F261&lt;=O261),1,0)</f>
        <v>1</v>
      </c>
    </row>
    <row r="262" spans="1:50">
      <c r="A262" s="21">
        <f>Oranlar!A262</f>
        <v>46119</v>
      </c>
      <c r="B262" s="22" t="str">
        <f>Oranlar!C262&amp;" @ "&amp;Oranlar!D262</f>
        <v>MIN @ IND</v>
      </c>
      <c r="C262" s="23">
        <f>Oranlar!F262</f>
        <v>104</v>
      </c>
      <c r="D262" s="23">
        <f>Oranlar!E262</f>
        <v>124</v>
      </c>
      <c r="E262" s="15">
        <f>C262-D262</f>
        <v>-20</v>
      </c>
      <c r="F262" s="16">
        <f>C262+D262</f>
        <v>228</v>
      </c>
      <c r="G262" s="24">
        <v>0.244</v>
      </c>
      <c r="H262" s="10">
        <v>-14.15</v>
      </c>
      <c r="I262" s="10">
        <v>-10</v>
      </c>
      <c r="J262" s="10">
        <v>-28</v>
      </c>
      <c r="K262" s="10">
        <v>9</v>
      </c>
      <c r="L262" s="11">
        <v>237.22</v>
      </c>
      <c r="M262" s="11">
        <v>231.2</v>
      </c>
      <c r="N262" s="11">
        <v>204</v>
      </c>
      <c r="O262" s="11">
        <v>259</v>
      </c>
      <c r="P262" s="11">
        <v>113.47</v>
      </c>
      <c r="Q262" s="11">
        <v>125.11</v>
      </c>
      <c r="R262" s="25">
        <f>Oranlar!Y262</f>
        <v>0.15349887133182846</v>
      </c>
      <c r="S262" s="26">
        <f>-Oranlar!O262</f>
        <v>-12.5</v>
      </c>
      <c r="T262" s="26">
        <f>-Oranlar!I262</f>
        <v>-12.5</v>
      </c>
      <c r="U262" s="27">
        <f>Oranlar!V262</f>
        <v>234.5</v>
      </c>
      <c r="V262" s="27">
        <f>Oranlar!L262</f>
        <v>229.5</v>
      </c>
      <c r="W262" s="28">
        <f>(U262+S262)/2</f>
        <v>111.0</v>
      </c>
      <c r="X262" s="28">
        <f>(U262-S262)/2</f>
        <v>123.5</v>
      </c>
      <c r="Y262" s="16">
        <f>IF(G262=0.5,"",IF((G262&gt;0.5)=(E262&gt;0),1,0))</f>
        <v>1</v>
      </c>
      <c r="Z262" s="16">
        <f>IF(R262=0.5,"",IF((R262&gt;0.5)=(E262&gt;0),1,0))</f>
        <v>1</v>
      </c>
      <c r="AA262" s="29">
        <f>(G262-IF(E262&gt;0,1,0))^2</f>
        <v>0.059536</v>
      </c>
      <c r="AB262" s="29">
        <f>(R262-IF(E262&gt;0,1,0))^2</f>
        <v>0.02356190350014523</v>
      </c>
      <c r="AC262" s="28">
        <f>ABS(H262-E262)</f>
        <v>5.85</v>
      </c>
      <c r="AD262" s="28">
        <f>ABS(I262-E262)</f>
        <v>10.0</v>
      </c>
      <c r="AE262" s="28">
        <f>ABS(S262-E262)</f>
        <v>7.5</v>
      </c>
      <c r="AF262" s="28">
        <f>ABS(L262-F262)</f>
        <v>9.219999999999999</v>
      </c>
      <c r="AG262" s="28">
        <f>ABS(M262-F262)</f>
        <v>3.1999999999999886</v>
      </c>
      <c r="AH262" s="28">
        <f>ABS(U262-F262)</f>
        <v>6.5</v>
      </c>
      <c r="AI262" s="28">
        <f>ABS(P262-C262)</f>
        <v>9.469999999999999</v>
      </c>
      <c r="AJ262" s="28">
        <f>ABS(W262-C262)</f>
        <v>7.0</v>
      </c>
      <c r="AK262" s="28">
        <f>ABS(Q262-D262)</f>
        <v>1.1099999999999994</v>
      </c>
      <c r="AL262" s="28">
        <f>ABS(X262-D262)</f>
        <v>0.5</v>
      </c>
      <c r="AM262" s="17" t="str">
        <f>IF(H262&gt;S262,"Ev",IF(H262&lt;S262,"Dep",""))</f>
        <v>Dep</v>
      </c>
      <c r="AN262" s="17" t="str">
        <f>IF(AM262="","",IF(E262=S262,"Push",IF((E262&gt;S262)=(AM262="Ev"),"Kazandı","Kaybetti")))</f>
        <v>Kazandı</v>
      </c>
      <c r="AO262" s="30">
        <f>IF(AM262="","",IF(AN262="Push",0,IF(AN262="Kazandı",IF(AM262="Ev",Oranlar!P262,Oranlar!Q262)-1,-1)))</f>
        <v>0.8695652173913042</v>
      </c>
      <c r="AP262" s="17" t="str">
        <f>IF(L262&gt;U262,"Üst",IF(L262&lt;U262,"Alt",""))</f>
        <v>Üst</v>
      </c>
      <c r="AQ262" s="17" t="str">
        <f>IF(AP262="","",IF(F262=U262,"Push",IF((F262&gt;U262)=(AP262="Üst"),"Kazandı","Kaybetti")))</f>
        <v>Kaybetti</v>
      </c>
      <c r="AR262" s="30">
        <f>IF(AP262="","",IF(AQ262="Push",0,IF(AQ262="Kazandı",IF(AP262="Üst",Oranlar!W262,Oranlar!X262)-1,-1)))</f>
        <v>-1.0</v>
      </c>
      <c r="AS262" s="17" t="str">
        <f>IF(G262*Oranlar!R262&gt;1,"Ev",IF((1-G262)*Oranlar!S262&gt;1,"Dep",""))</f>
        <v>Ev</v>
      </c>
      <c r="AT262" s="30">
        <f>IF(AS262="","",IF((AS262="Ev")=(E262&gt;0),IF(AS262="Ev",Oranlar!R262,Oranlar!S262)-1,-1))</f>
        <v>-1.0</v>
      </c>
      <c r="AU262" s="16">
        <f>IF(OR(H262=T262,S262=T262),"",IF((H262&gt;T262)=(S262&gt;T262),1,0))</f>
        <v/>
      </c>
      <c r="AV262" s="16">
        <f>IF(OR(L262=V262,U262=V262),"",IF((L262&gt;V262)=(U262&gt;V262),1,0))</f>
        <v>1</v>
      </c>
      <c r="AW262" s="16">
        <f>IF(AND(E262&gt;=J262,E262&lt;=K262),1,0)</f>
        <v>1</v>
      </c>
      <c r="AX262" s="16">
        <f>IF(AND(F262&gt;=N262,F262&lt;=O262),1,0)</f>
        <v>1</v>
      </c>
    </row>
    <row r="263" spans="1:50">
      <c r="A263" s="21">
        <f>Oranlar!A263</f>
        <v>46119</v>
      </c>
      <c r="B263" s="22" t="str">
        <f>Oranlar!C263&amp;" @ "&amp;Oranlar!D263</f>
        <v>UTA @ NOP</v>
      </c>
      <c r="C263" s="23">
        <f>Oranlar!F263</f>
        <v>156</v>
      </c>
      <c r="D263" s="23">
        <f>Oranlar!E263</f>
        <v>137</v>
      </c>
      <c r="E263" s="15">
        <f>C263-D263</f>
        <v>19</v>
      </c>
      <c r="F263" s="16">
        <f>C263+D263</f>
        <v>293</v>
      </c>
      <c r="G263" s="24">
        <v>0.502</v>
      </c>
      <c r="H263" s="10">
        <v>1.34</v>
      </c>
      <c r="I263" s="10">
        <v>-1.6</v>
      </c>
      <c r="J263" s="10">
        <v>-20</v>
      </c>
      <c r="K263" s="10">
        <v>17</v>
      </c>
      <c r="L263" s="11">
        <v>229.51</v>
      </c>
      <c r="M263" s="11">
        <v>226.7</v>
      </c>
      <c r="N263" s="11">
        <v>199</v>
      </c>
      <c r="O263" s="11">
        <v>254</v>
      </c>
      <c r="P263" s="11">
        <v>115.25</v>
      </c>
      <c r="Q263" s="11">
        <v>117.32</v>
      </c>
      <c r="R263" s="25">
        <f>Oranlar!Y263</f>
        <v>0.6805555555555556</v>
      </c>
      <c r="S263" s="26">
        <f>-Oranlar!O263</f>
        <v>6.5</v>
      </c>
      <c r="T263" s="26">
        <f>-Oranlar!I263</f>
        <v>11.5</v>
      </c>
      <c r="U263" s="27">
        <f>Oranlar!V263</f>
        <v>242.5</v>
      </c>
      <c r="V263" s="27">
        <f>Oranlar!L263</f>
        <v>242.5</v>
      </c>
      <c r="W263" s="28">
        <f>(U263+S263)/2</f>
        <v>124.5</v>
      </c>
      <c r="X263" s="28">
        <f>(U263-S263)/2</f>
        <v>118.0</v>
      </c>
      <c r="Y263" s="16">
        <f>IF(G263=0.5,"",IF((G263&gt;0.5)=(E263&gt;0),1,0))</f>
        <v>1</v>
      </c>
      <c r="Z263" s="16">
        <f>IF(R263=0.5,"",IF((R263&gt;0.5)=(E263&gt;0),1,0))</f>
        <v>1</v>
      </c>
      <c r="AA263" s="29">
        <f>(G263-IF(E263&gt;0,1,0))^2</f>
        <v>0.248004</v>
      </c>
      <c r="AB263" s="29">
        <f>(R263-IF(E263&gt;0,1,0))^2</f>
        <v>0.10204475308641973</v>
      </c>
      <c r="AC263" s="28">
        <f>ABS(H263-E263)</f>
        <v>17.66</v>
      </c>
      <c r="AD263" s="28">
        <f>ABS(I263-E263)</f>
        <v>20.6</v>
      </c>
      <c r="AE263" s="28">
        <f>ABS(S263-E263)</f>
        <v>12.5</v>
      </c>
      <c r="AF263" s="28">
        <f>ABS(L263-F263)</f>
        <v>63.49000000000001</v>
      </c>
      <c r="AG263" s="28">
        <f>ABS(M263-F263)</f>
        <v>66.30000000000001</v>
      </c>
      <c r="AH263" s="28">
        <f>ABS(U263-F263)</f>
        <v>50.5</v>
      </c>
      <c r="AI263" s="28">
        <f>ABS(P263-C263)</f>
        <v>40.75</v>
      </c>
      <c r="AJ263" s="28">
        <f>ABS(W263-C263)</f>
        <v>31.5</v>
      </c>
      <c r="AK263" s="28">
        <f>ABS(Q263-D263)</f>
        <v>19.680000000000007</v>
      </c>
      <c r="AL263" s="28">
        <f>ABS(X263-D263)</f>
        <v>19.0</v>
      </c>
      <c r="AM263" s="17" t="str">
        <f>IF(H263&gt;S263,"Ev",IF(H263&lt;S263,"Dep",""))</f>
        <v>Dep</v>
      </c>
      <c r="AN263" s="17" t="str">
        <f>IF(AM263="","",IF(E263=S263,"Push",IF((E263&gt;S263)=(AM263="Ev"),"Kazandı","Kaybetti")))</f>
        <v>Kaybetti</v>
      </c>
      <c r="AO263" s="30">
        <f>IF(AM263="","",IF(AN263="Push",0,IF(AN263="Kazandı",IF(AM263="Ev",Oranlar!P263,Oranlar!Q263)-1,-1)))</f>
        <v>-1.0</v>
      </c>
      <c r="AP263" s="17" t="str">
        <f>IF(L263&gt;U263,"Üst",IF(L263&lt;U263,"Alt",""))</f>
        <v>Alt</v>
      </c>
      <c r="AQ263" s="17" t="str">
        <f>IF(AP263="","",IF(F263=U263,"Push",IF((F263&gt;U263)=(AP263="Üst"),"Kazandı","Kaybetti")))</f>
        <v>Kaybetti</v>
      </c>
      <c r="AR263" s="30">
        <f>IF(AP263="","",IF(AQ263="Push",0,IF(AQ263="Kazandı",IF(AP263="Üst",Oranlar!W263,Oranlar!X263)-1,-1)))</f>
        <v>-1.0</v>
      </c>
      <c r="AS263" s="17" t="str">
        <f>IF(G263*Oranlar!R263&gt;1,"Ev",IF((1-G263)*Oranlar!S263&gt;1,"Dep",""))</f>
        <v>Dep</v>
      </c>
      <c r="AT263" s="30">
        <f>IF(AS263="","",IF((AS263="Ev")=(E263&gt;0),IF(AS263="Ev",Oranlar!R263,Oranlar!S263)-1,-1))</f>
        <v>-1.0</v>
      </c>
      <c r="AU263" s="16">
        <f>IF(OR(H263=T263,S263=T263),"",IF((H263&gt;T263)=(S263&gt;T263),1,0))</f>
        <v>1</v>
      </c>
      <c r="AV263" s="16">
        <f>IF(OR(L263=V263,U263=V263),"",IF((L263&gt;V263)=(U263&gt;V263),1,0))</f>
        <v/>
      </c>
      <c r="AW263" s="16">
        <f>IF(AND(E263&gt;=J263,E263&lt;=K263),1,0)</f>
        <v>0</v>
      </c>
      <c r="AX263" s="16">
        <f>IF(AND(F263&gt;=N263,F263&lt;=O263),1,0)</f>
        <v>0</v>
      </c>
    </row>
    <row r="264" spans="1:50">
      <c r="A264" s="21">
        <f>Oranlar!A264</f>
        <v>46119</v>
      </c>
      <c r="B264" s="22" t="str">
        <f>Oranlar!C264&amp;" @ "&amp;Oranlar!D264</f>
        <v>SAC @ GSW</v>
      </c>
      <c r="C264" s="23">
        <f>Oranlar!F264</f>
        <v>110</v>
      </c>
      <c r="D264" s="23">
        <f>Oranlar!E264</f>
        <v>105</v>
      </c>
      <c r="E264" s="15">
        <f>C264-D264</f>
        <v>5</v>
      </c>
      <c r="F264" s="16">
        <f>C264+D264</f>
        <v>215</v>
      </c>
      <c r="G264" s="24">
        <v>0.639</v>
      </c>
      <c r="H264" s="10">
        <v>5.11</v>
      </c>
      <c r="I264" s="10">
        <v>5.1</v>
      </c>
      <c r="J264" s="10">
        <v>-13</v>
      </c>
      <c r="K264" s="10">
        <v>24</v>
      </c>
      <c r="L264" s="11">
        <v>233.43</v>
      </c>
      <c r="M264" s="11">
        <v>233.4</v>
      </c>
      <c r="N264" s="11">
        <v>206</v>
      </c>
      <c r="O264" s="11">
        <v>261</v>
      </c>
      <c r="P264" s="11">
        <v>117.95</v>
      </c>
      <c r="Q264" s="11">
        <v>112.97</v>
      </c>
      <c r="R264" s="25">
        <f>Oranlar!Y264</f>
        <v>0.88</v>
      </c>
      <c r="S264" s="26">
        <f>-Oranlar!O264</f>
        <v>14.5</v>
      </c>
      <c r="T264" s="26">
        <f>-Oranlar!I264</f>
        <v>15.5</v>
      </c>
      <c r="U264" s="27">
        <f>Oranlar!V264</f>
        <v>233.5</v>
      </c>
      <c r="V264" s="27">
        <f>Oranlar!L264</f>
        <v>233.5</v>
      </c>
      <c r="W264" s="28">
        <f>(U264+S264)/2</f>
        <v>124.0</v>
      </c>
      <c r="X264" s="28">
        <f>(U264-S264)/2</f>
        <v>109.5</v>
      </c>
      <c r="Y264" s="16">
        <f>IF(G264=0.5,"",IF((G264&gt;0.5)=(E264&gt;0),1,0))</f>
        <v>1</v>
      </c>
      <c r="Z264" s="16">
        <f>IF(R264=0.5,"",IF((R264&gt;0.5)=(E264&gt;0),1,0))</f>
        <v>1</v>
      </c>
      <c r="AA264" s="29">
        <f>(G264-IF(E264&gt;0,1,0))^2</f>
        <v>0.130321</v>
      </c>
      <c r="AB264" s="29">
        <f>(R264-IF(E264&gt;0,1,0))^2</f>
        <v>0.0144</v>
      </c>
      <c r="AC264" s="28">
        <f>ABS(H264-E264)</f>
        <v>0.11000000000000032</v>
      </c>
      <c r="AD264" s="28">
        <f>ABS(I264-E264)</f>
        <v>0.09999999999999964</v>
      </c>
      <c r="AE264" s="28">
        <f>ABS(S264-E264)</f>
        <v>9.5</v>
      </c>
      <c r="AF264" s="28">
        <f>ABS(L264-F264)</f>
        <v>18.430000000000007</v>
      </c>
      <c r="AG264" s="28">
        <f>ABS(M264-F264)</f>
        <v>18.400000000000006</v>
      </c>
      <c r="AH264" s="28">
        <f>ABS(U264-F264)</f>
        <v>18.5</v>
      </c>
      <c r="AI264" s="28">
        <f>ABS(P264-C264)</f>
        <v>7.950000000000003</v>
      </c>
      <c r="AJ264" s="28">
        <f>ABS(W264-C264)</f>
        <v>14.0</v>
      </c>
      <c r="AK264" s="28">
        <f>ABS(Q264-D264)</f>
        <v>7.969999999999999</v>
      </c>
      <c r="AL264" s="28">
        <f>ABS(X264-D264)</f>
        <v>4.5</v>
      </c>
      <c r="AM264" s="17" t="str">
        <f>IF(H264&gt;S264,"Ev",IF(H264&lt;S264,"Dep",""))</f>
        <v>Dep</v>
      </c>
      <c r="AN264" s="17" t="str">
        <f>IF(AM264="","",IF(E264=S264,"Push",IF((E264&gt;S264)=(AM264="Ev"),"Kazandı","Kaybetti")))</f>
        <v>Kazandı</v>
      </c>
      <c r="AO264" s="30">
        <f>IF(AM264="","",IF(AN264="Push",0,IF(AN264="Kazandı",IF(AM264="Ev",Oranlar!P264,Oranlar!Q264)-1,-1)))</f>
        <v>0.925925925925926</v>
      </c>
      <c r="AP264" s="17" t="str">
        <f>IF(L264&gt;U264,"Üst",IF(L264&lt;U264,"Alt",""))</f>
        <v>Alt</v>
      </c>
      <c r="AQ264" s="17" t="str">
        <f>IF(AP264="","",IF(F264=U264,"Push",IF((F264&gt;U264)=(AP264="Üst"),"Kazandı","Kaybetti")))</f>
        <v>Kazandı</v>
      </c>
      <c r="AR264" s="30">
        <f>IF(AP264="","",IF(AQ264="Push",0,IF(AQ264="Kazandı",IF(AP264="Üst",Oranlar!W264,Oranlar!X264)-1,-1)))</f>
        <v>0.8695652173913042</v>
      </c>
      <c r="AS264" s="17" t="str">
        <f>IF(G264*Oranlar!R264&gt;1,"Ev",IF((1-G264)*Oranlar!S264&gt;1,"Dep",""))</f>
        <v>Dep</v>
      </c>
      <c r="AT264" s="30">
        <f>IF(AS264="","",IF((AS264="Ev")=(E264&gt;0),IF(AS264="Ev",Oranlar!R264,Oranlar!S264)-1,-1))</f>
        <v>-1.0</v>
      </c>
      <c r="AU264" s="16">
        <f>IF(OR(H264=T264,S264=T264),"",IF((H264&gt;T264)=(S264&gt;T264),1,0))</f>
        <v>1</v>
      </c>
      <c r="AV264" s="16">
        <f>IF(OR(L264=V264,U264=V264),"",IF((L264&gt;V264)=(U264&gt;V264),1,0))</f>
        <v/>
      </c>
      <c r="AW264" s="16">
        <f>IF(AND(E264&gt;=J264,E264&lt;=K264),1,0)</f>
        <v>1</v>
      </c>
      <c r="AX264" s="16">
        <f>IF(AND(F264&gt;=N264,F264&lt;=O264),1,0)</f>
        <v>1</v>
      </c>
    </row>
    <row r="265" spans="1:50">
      <c r="A265" s="21">
        <f>Oranlar!A265</f>
        <v>46119</v>
      </c>
      <c r="B265" s="22" t="str">
        <f>Oranlar!C265&amp;" @ "&amp;Oranlar!D265</f>
        <v>OKC @ LAL</v>
      </c>
      <c r="C265" s="23">
        <f>Oranlar!F265</f>
        <v>87</v>
      </c>
      <c r="D265" s="23">
        <f>Oranlar!E265</f>
        <v>123</v>
      </c>
      <c r="E265" s="15">
        <f>C265-D265</f>
        <v>-36</v>
      </c>
      <c r="F265" s="16">
        <f>C265+D265</f>
        <v>210</v>
      </c>
      <c r="G265" s="24">
        <v>0.2</v>
      </c>
      <c r="H265" s="10">
        <v>-24.89</v>
      </c>
      <c r="I265" s="10">
        <v>-5.2</v>
      </c>
      <c r="J265" s="10">
        <v>-23</v>
      </c>
      <c r="K265" s="10">
        <v>13</v>
      </c>
      <c r="L265" s="11">
        <v>230.42</v>
      </c>
      <c r="M265" s="11">
        <v>228.1</v>
      </c>
      <c r="N265" s="11">
        <v>201</v>
      </c>
      <c r="O265" s="11">
        <v>255</v>
      </c>
      <c r="P265" s="11">
        <v>109.49</v>
      </c>
      <c r="Q265" s="11">
        <v>121.63</v>
      </c>
      <c r="R265" s="25">
        <f>Oranlar!Y265</f>
        <v>0.08029197080291971</v>
      </c>
      <c r="S265" s="26">
        <f>-Oranlar!O265</f>
        <v>-17.5</v>
      </c>
      <c r="T265" s="26">
        <f>-Oranlar!I265</f>
        <v>-13.5</v>
      </c>
      <c r="U265" s="27">
        <f>Oranlar!V265</f>
        <v>221.5</v>
      </c>
      <c r="V265" s="27">
        <f>Oranlar!L265</f>
        <v>225.5</v>
      </c>
      <c r="W265" s="28">
        <f>(U265+S265)/2</f>
        <v>102.0</v>
      </c>
      <c r="X265" s="28">
        <f>(U265-S265)/2</f>
        <v>119.5</v>
      </c>
      <c r="Y265" s="16">
        <f>IF(G265=0.5,"",IF((G265&gt;0.5)=(E265&gt;0),1,0))</f>
        <v>1</v>
      </c>
      <c r="Z265" s="16">
        <f>IF(R265=0.5,"",IF((R265&gt;0.5)=(E265&gt;0),1,0))</f>
        <v>1</v>
      </c>
      <c r="AA265" s="29">
        <f>(G265-IF(E265&gt;0,1,0))^2</f>
        <v>0.04000000000000001</v>
      </c>
      <c r="AB265" s="29">
        <f>(R265-IF(E265&gt;0,1,0))^2</f>
        <v>0.006446800575416911</v>
      </c>
      <c r="AC265" s="28">
        <f>ABS(H265-E265)</f>
        <v>11.11</v>
      </c>
      <c r="AD265" s="28">
        <f>ABS(I265-E265)</f>
        <v>30.8</v>
      </c>
      <c r="AE265" s="28">
        <f>ABS(S265-E265)</f>
        <v>18.5</v>
      </c>
      <c r="AF265" s="28">
        <f>ABS(L265-F265)</f>
        <v>20.419999999999987</v>
      </c>
      <c r="AG265" s="28">
        <f>ABS(M265-F265)</f>
        <v>18.099999999999994</v>
      </c>
      <c r="AH265" s="28">
        <f>ABS(U265-F265)</f>
        <v>11.5</v>
      </c>
      <c r="AI265" s="28">
        <f>ABS(P265-C265)</f>
        <v>22.489999999999995</v>
      </c>
      <c r="AJ265" s="28">
        <f>ABS(W265-C265)</f>
        <v>15.0</v>
      </c>
      <c r="AK265" s="28">
        <f>ABS(Q265-D265)</f>
        <v>1.3700000000000045</v>
      </c>
      <c r="AL265" s="28">
        <f>ABS(X265-D265)</f>
        <v>3.5</v>
      </c>
      <c r="AM265" s="17" t="str">
        <f>IF(H265&gt;S265,"Ev",IF(H265&lt;S265,"Dep",""))</f>
        <v>Dep</v>
      </c>
      <c r="AN265" s="17" t="str">
        <f>IF(AM265="","",IF(E265=S265,"Push",IF((E265&gt;S265)=(AM265="Ev"),"Kazandı","Kaybetti")))</f>
        <v>Kazandı</v>
      </c>
      <c r="AO265" s="30">
        <f>IF(AM265="","",IF(AN265="Push",0,IF(AN265="Kazandı",IF(AM265="Ev",Oranlar!P265,Oranlar!Q265)-1,-1)))</f>
        <v>0.8928571428571428</v>
      </c>
      <c r="AP265" s="17" t="str">
        <f>IF(L265&gt;U265,"Üst",IF(L265&lt;U265,"Alt",""))</f>
        <v>Üst</v>
      </c>
      <c r="AQ265" s="17" t="str">
        <f>IF(AP265="","",IF(F265=U265,"Push",IF((F265&gt;U265)=(AP265="Üst"),"Kazandı","Kaybetti")))</f>
        <v>Kaybetti</v>
      </c>
      <c r="AR265" s="30">
        <f>IF(AP265="","",IF(AQ265="Push",0,IF(AQ265="Kazandı",IF(AP265="Üst",Oranlar!W265,Oranlar!X265)-1,-1)))</f>
        <v>-1.0</v>
      </c>
      <c r="AS265" s="17" t="str">
        <f>IF(G265*Oranlar!R265&gt;1,"Ev",IF((1-G265)*Oranlar!S265&gt;1,"Dep",""))</f>
        <v>Ev</v>
      </c>
      <c r="AT265" s="30">
        <f>IF(AS265="","",IF((AS265="Ev")=(E265&gt;0),IF(AS265="Ev",Oranlar!R265,Oranlar!S265)-1,-1))</f>
        <v>-1.0</v>
      </c>
      <c r="AU265" s="16">
        <f>IF(OR(H265=T265,S265=T265),"",IF((H265&gt;T265)=(S265&gt;T265),1,0))</f>
        <v>1</v>
      </c>
      <c r="AV265" s="16">
        <f>IF(OR(L265=V265,U265=V265),"",IF((L265&gt;V265)=(U265&gt;V265),1,0))</f>
        <v>0</v>
      </c>
      <c r="AW265" s="16">
        <f>IF(AND(E265&gt;=J265,E265&lt;=K265),1,0)</f>
        <v>0</v>
      </c>
      <c r="AX265" s="16">
        <f>IF(AND(F265&gt;=N265,F265&lt;=O265),1,0)</f>
        <v>1</v>
      </c>
    </row>
    <row r="266" spans="1:50">
      <c r="A266" s="21">
        <f>Oranlar!A266</f>
        <v>46119</v>
      </c>
      <c r="B266" s="22" t="str">
        <f>Oranlar!C266&amp;" @ "&amp;Oranlar!D266</f>
        <v>DAL @ LAC</v>
      </c>
      <c r="C266" s="23">
        <f>Oranlar!F266</f>
        <v>116</v>
      </c>
      <c r="D266" s="23">
        <f>Oranlar!E266</f>
        <v>103</v>
      </c>
      <c r="E266" s="15">
        <f>C266-D266</f>
        <v>13</v>
      </c>
      <c r="F266" s="16">
        <f>C266+D266</f>
        <v>219</v>
      </c>
      <c r="G266" s="24">
        <v>0.843</v>
      </c>
      <c r="H266" s="10">
        <v>18.87</v>
      </c>
      <c r="I266" s="10">
        <v>14.1</v>
      </c>
      <c r="J266" s="10">
        <v>-4</v>
      </c>
      <c r="K266" s="10">
        <v>33</v>
      </c>
      <c r="L266" s="11">
        <v>229.06</v>
      </c>
      <c r="M266" s="11">
        <v>234.3</v>
      </c>
      <c r="N266" s="11">
        <v>207</v>
      </c>
      <c r="O266" s="11">
        <v>262</v>
      </c>
      <c r="P266" s="11">
        <v>122.69</v>
      </c>
      <c r="Q266" s="11">
        <v>106.34</v>
      </c>
      <c r="R266" s="25">
        <f>Oranlar!Y266</f>
        <v>0.8316498316498315</v>
      </c>
      <c r="S266" s="26">
        <f>-Oranlar!O266</f>
        <v>11.5</v>
      </c>
      <c r="T266" s="26">
        <f>-Oranlar!I266</f>
        <v>11.5</v>
      </c>
      <c r="U266" s="27">
        <f>Oranlar!V266</f>
        <v>235.5</v>
      </c>
      <c r="V266" s="27">
        <f>Oranlar!L266</f>
        <v>235.5</v>
      </c>
      <c r="W266" s="28">
        <f>(U266+S266)/2</f>
        <v>123.5</v>
      </c>
      <c r="X266" s="28">
        <f>(U266-S266)/2</f>
        <v>112.0</v>
      </c>
      <c r="Y266" s="16">
        <f>IF(G266=0.5,"",IF((G266&gt;0.5)=(E266&gt;0),1,0))</f>
        <v>1</v>
      </c>
      <c r="Z266" s="16">
        <f>IF(R266=0.5,"",IF((R266&gt;0.5)=(E266&gt;0),1,0))</f>
        <v>1</v>
      </c>
      <c r="AA266" s="29">
        <f>(G266-IF(E266&gt;0,1,0))^2</f>
        <v>0.024649000000000008</v>
      </c>
      <c r="AB266" s="29">
        <f>(R266-IF(E266&gt;0,1,0))^2</f>
        <v>0.028341779183530067</v>
      </c>
      <c r="AC266" s="28">
        <f>ABS(H266-E266)</f>
        <v>5.870000000000001</v>
      </c>
      <c r="AD266" s="28">
        <f>ABS(I266-E266)</f>
        <v>1.0999999999999996</v>
      </c>
      <c r="AE266" s="28">
        <f>ABS(S266-E266)</f>
        <v>1.5</v>
      </c>
      <c r="AF266" s="28">
        <f>ABS(L266-F266)</f>
        <v>10.060000000000002</v>
      </c>
      <c r="AG266" s="28">
        <f>ABS(M266-F266)</f>
        <v>15.300000000000011</v>
      </c>
      <c r="AH266" s="28">
        <f>ABS(U266-F266)</f>
        <v>16.5</v>
      </c>
      <c r="AI266" s="28">
        <f>ABS(P266-C266)</f>
        <v>6.689999999999998</v>
      </c>
      <c r="AJ266" s="28">
        <f>ABS(W266-C266)</f>
        <v>7.5</v>
      </c>
      <c r="AK266" s="28">
        <f>ABS(Q266-D266)</f>
        <v>3.3400000000000034</v>
      </c>
      <c r="AL266" s="28">
        <f>ABS(X266-D266)</f>
        <v>9.0</v>
      </c>
      <c r="AM266" s="17" t="str">
        <f>IF(H266&gt;S266,"Ev",IF(H266&lt;S266,"Dep",""))</f>
        <v>Ev</v>
      </c>
      <c r="AN266" s="17" t="str">
        <f>IF(AM266="","",IF(E266=S266,"Push",IF((E266&gt;S266)=(AM266="Ev"),"Kazandı","Kaybetti")))</f>
        <v>Kazandı</v>
      </c>
      <c r="AO266" s="30">
        <f>IF(AM266="","",IF(AN266="Push",0,IF(AN266="Kazandı",IF(AM266="Ev",Oranlar!P266,Oranlar!Q266)-1,-1)))</f>
        <v>0.847457627118644</v>
      </c>
      <c r="AP266" s="17" t="str">
        <f>IF(L266&gt;U266,"Üst",IF(L266&lt;U266,"Alt",""))</f>
        <v>Alt</v>
      </c>
      <c r="AQ266" s="17" t="str">
        <f>IF(AP266="","",IF(F266=U266,"Push",IF((F266&gt;U266)=(AP266="Üst"),"Kazandı","Kaybetti")))</f>
        <v>Kazandı</v>
      </c>
      <c r="AR266" s="30">
        <f>IF(AP266="","",IF(AQ266="Push",0,IF(AQ266="Kazandı",IF(AP266="Üst",Oranlar!W266,Oranlar!X266)-1,-1)))</f>
        <v>0.925925925925926</v>
      </c>
      <c r="AS266" s="17">
        <f>IF(G266*Oranlar!R266&gt;1,"Ev",IF((1-G266)*Oranlar!S266&gt;1,"Dep",""))</f>
        <v/>
      </c>
      <c r="AT266" s="30">
        <f>IF(AS266="","",IF((AS266="Ev")=(E266&gt;0),IF(AS266="Ev",Oranlar!R266,Oranlar!S266)-1,-1))</f>
        <v/>
      </c>
      <c r="AU266" s="16">
        <f>IF(OR(H266=T266,S266=T266),"",IF((H266&gt;T266)=(S266&gt;T266),1,0))</f>
        <v/>
      </c>
      <c r="AV266" s="16">
        <f>IF(OR(L266=V266,U266=V266),"",IF((L266&gt;V266)=(U266&gt;V266),1,0))</f>
        <v/>
      </c>
      <c r="AW266" s="16">
        <f>IF(AND(E266&gt;=J266,E266&lt;=K266),1,0)</f>
        <v>1</v>
      </c>
      <c r="AX266" s="16">
        <f>IF(AND(F266&gt;=N266,F266&lt;=O266),1,0)</f>
        <v>1</v>
      </c>
    </row>
    <row r="267" spans="1:50">
      <c r="A267" s="21">
        <f>Oranlar!A267</f>
        <v>46119</v>
      </c>
      <c r="B267" s="22" t="str">
        <f>Oranlar!C267&amp;" @ "&amp;Oranlar!D267</f>
        <v>HOU @ PHX</v>
      </c>
      <c r="C267" s="23">
        <f>Oranlar!F267</f>
        <v>105</v>
      </c>
      <c r="D267" s="23">
        <f>Oranlar!E267</f>
        <v>119</v>
      </c>
      <c r="E267" s="15">
        <f>C267-D267</f>
        <v>-14</v>
      </c>
      <c r="F267" s="16">
        <f>C267+D267</f>
        <v>224</v>
      </c>
      <c r="G267" s="24">
        <v>0.442</v>
      </c>
      <c r="H267" s="10">
        <v>-1.35</v>
      </c>
      <c r="I267" s="10">
        <v>-0.8</v>
      </c>
      <c r="J267" s="10">
        <v>-19</v>
      </c>
      <c r="K267" s="10">
        <v>18</v>
      </c>
      <c r="L267" s="11">
        <v>226.61</v>
      </c>
      <c r="M267" s="11">
        <v>230.6</v>
      </c>
      <c r="N267" s="11">
        <v>203</v>
      </c>
      <c r="O267" s="11">
        <v>258</v>
      </c>
      <c r="P267" s="11">
        <v>114.45</v>
      </c>
      <c r="Q267" s="11">
        <v>115.18</v>
      </c>
      <c r="R267" s="25">
        <f>Oranlar!Y267</f>
        <v>0.4826358742837298</v>
      </c>
      <c r="S267" s="26">
        <f>-Oranlar!O267</f>
        <v>-1.5</v>
      </c>
      <c r="T267" s="26">
        <f>-Oranlar!I267</f>
        <v>-1.5</v>
      </c>
      <c r="U267" s="27">
        <f>Oranlar!V267</f>
        <v>221.5</v>
      </c>
      <c r="V267" s="27">
        <f>Oranlar!L267</f>
        <v>217.5</v>
      </c>
      <c r="W267" s="28">
        <f>(U267+S267)/2</f>
        <v>110.0</v>
      </c>
      <c r="X267" s="28">
        <f>(U267-S267)/2</f>
        <v>111.5</v>
      </c>
      <c r="Y267" s="16">
        <f>IF(G267=0.5,"",IF((G267&gt;0.5)=(E267&gt;0),1,0))</f>
        <v>1</v>
      </c>
      <c r="Z267" s="16">
        <f>IF(R267=0.5,"",IF((R267&gt;0.5)=(E267&gt;0),1,0))</f>
        <v>1</v>
      </c>
      <c r="AA267" s="29">
        <f>(G267-IF(E267&gt;0,1,0))^2</f>
        <v>0.195364</v>
      </c>
      <c r="AB267" s="29">
        <f>(R267-IF(E267&gt;0,1,0))^2</f>
        <v>0.2329373871456202</v>
      </c>
      <c r="AC267" s="28">
        <f>ABS(H267-E267)</f>
        <v>12.65</v>
      </c>
      <c r="AD267" s="28">
        <f>ABS(I267-E267)</f>
        <v>13.2</v>
      </c>
      <c r="AE267" s="28">
        <f>ABS(S267-E267)</f>
        <v>12.5</v>
      </c>
      <c r="AF267" s="28">
        <f>ABS(L267-F267)</f>
        <v>2.6100000000000136</v>
      </c>
      <c r="AG267" s="28">
        <f>ABS(M267-F267)</f>
        <v>6.599999999999994</v>
      </c>
      <c r="AH267" s="28">
        <f>ABS(U267-F267)</f>
        <v>2.5</v>
      </c>
      <c r="AI267" s="28">
        <f>ABS(P267-C267)</f>
        <v>9.450000000000003</v>
      </c>
      <c r="AJ267" s="28">
        <f>ABS(W267-C267)</f>
        <v>5.0</v>
      </c>
      <c r="AK267" s="28">
        <f>ABS(Q267-D267)</f>
        <v>3.819999999999993</v>
      </c>
      <c r="AL267" s="28">
        <f>ABS(X267-D267)</f>
        <v>7.5</v>
      </c>
      <c r="AM267" s="17" t="str">
        <f>IF(H267&gt;S267,"Ev",IF(H267&lt;S267,"Dep",""))</f>
        <v>Ev</v>
      </c>
      <c r="AN267" s="17" t="str">
        <f>IF(AM267="","",IF(E267=S267,"Push",IF((E267&gt;S267)=(AM267="Ev"),"Kazandı","Kaybetti")))</f>
        <v>Kaybetti</v>
      </c>
      <c r="AO267" s="30">
        <f>IF(AM267="","",IF(AN267="Push",0,IF(AN267="Kazandı",IF(AM267="Ev",Oranlar!P267,Oranlar!Q267)-1,-1)))</f>
        <v>-1.0</v>
      </c>
      <c r="AP267" s="17" t="str">
        <f>IF(L267&gt;U267,"Üst",IF(L267&lt;U267,"Alt",""))</f>
        <v>Üst</v>
      </c>
      <c r="AQ267" s="17" t="str">
        <f>IF(AP267="","",IF(F267=U267,"Push",IF((F267&gt;U267)=(AP267="Üst"),"Kazandı","Kaybetti")))</f>
        <v>Kazandı</v>
      </c>
      <c r="AR267" s="30">
        <f>IF(AP267="","",IF(AQ267="Push",0,IF(AQ267="Kazandı",IF(AP267="Üst",Oranlar!W267,Oranlar!X267)-1,-1)))</f>
        <v>0.8695652173913042</v>
      </c>
      <c r="AS267" s="17" t="str">
        <f>IF(G267*Oranlar!R267&gt;1,"Ev",IF((1-G267)*Oranlar!S267&gt;1,"Dep",""))</f>
        <v>Dep</v>
      </c>
      <c r="AT267" s="30">
        <f>IF(AS267="","",IF((AS267="Ev")=(E267&gt;0),IF(AS267="Ev",Oranlar!R267,Oranlar!S267)-1,-1))</f>
        <v>0.847457627118644</v>
      </c>
      <c r="AU267" s="16">
        <f>IF(OR(H267=T267,S267=T267),"",IF((H267&gt;T267)=(S267&gt;T267),1,0))</f>
        <v/>
      </c>
      <c r="AV267" s="16">
        <f>IF(OR(L267=V267,U267=V267),"",IF((L267&gt;V267)=(U267&gt;V267),1,0))</f>
        <v>1</v>
      </c>
      <c r="AW267" s="16">
        <f>IF(AND(E267&gt;=J267,E267&lt;=K267),1,0)</f>
        <v>1</v>
      </c>
      <c r="AX267" s="16">
        <f>IF(AND(F267&gt;=N267,F267&lt;=O267),1,0)</f>
        <v>1</v>
      </c>
    </row>
    <row r="268" spans="1:50">
      <c r="A268" s="21">
        <f>Oranlar!A268</f>
        <v>46120</v>
      </c>
      <c r="B268" s="22" t="str">
        <f>Oranlar!C268&amp;" @ "&amp;Oranlar!D268</f>
        <v>ATL @ CLE</v>
      </c>
      <c r="C268" s="23">
        <f>Oranlar!F268</f>
        <v>122</v>
      </c>
      <c r="D268" s="23">
        <f>Oranlar!E268</f>
        <v>116</v>
      </c>
      <c r="E268" s="15">
        <f>C268-D268</f>
        <v>6</v>
      </c>
      <c r="F268" s="16">
        <f>C268+D268</f>
        <v>238</v>
      </c>
      <c r="G268" s="24">
        <v>0.545</v>
      </c>
      <c r="H268" s="10">
        <v>0.6</v>
      </c>
      <c r="I268" s="10">
        <v>1.4</v>
      </c>
      <c r="J268" s="10">
        <v>-17</v>
      </c>
      <c r="K268" s="10">
        <v>20</v>
      </c>
      <c r="L268" s="11">
        <v>237.25</v>
      </c>
      <c r="M268" s="11">
        <v>239.6</v>
      </c>
      <c r="N268" s="11">
        <v>211</v>
      </c>
      <c r="O268" s="11">
        <v>268</v>
      </c>
      <c r="P268" s="11">
        <v>118.05</v>
      </c>
      <c r="Q268" s="11">
        <v>118.49</v>
      </c>
      <c r="R268" s="25">
        <f>Oranlar!Y268</f>
        <v>0.6092362344582594</v>
      </c>
      <c r="S268" s="26">
        <f>-Oranlar!O268</f>
        <v>4.5</v>
      </c>
      <c r="T268" s="26">
        <f>-Oranlar!I268</f>
        <v>2.5</v>
      </c>
      <c r="U268" s="27">
        <f>Oranlar!V268</f>
        <v>237.5</v>
      </c>
      <c r="V268" s="27">
        <f>Oranlar!L268</f>
        <v>236.5</v>
      </c>
      <c r="W268" s="28">
        <f>(U268+S268)/2</f>
        <v>121.0</v>
      </c>
      <c r="X268" s="28">
        <f>(U268-S268)/2</f>
        <v>116.5</v>
      </c>
      <c r="Y268" s="16">
        <f>IF(G268=0.5,"",IF((G268&gt;0.5)=(E268&gt;0),1,0))</f>
        <v>1</v>
      </c>
      <c r="Z268" s="16">
        <f>IF(R268=0.5,"",IF((R268&gt;0.5)=(E268&gt;0),1,0))</f>
        <v>1</v>
      </c>
      <c r="AA268" s="29">
        <f>(G268-IF(E268&gt;0,1,0))^2</f>
        <v>0.20702499999999996</v>
      </c>
      <c r="AB268" s="29">
        <f>(R268-IF(E268&gt;0,1,0))^2</f>
        <v>0.15269632046036044</v>
      </c>
      <c r="AC268" s="28">
        <f>ABS(H268-E268)</f>
        <v>5.4</v>
      </c>
      <c r="AD268" s="28">
        <f>ABS(I268-E268)</f>
        <v>4.6</v>
      </c>
      <c r="AE268" s="28">
        <f>ABS(S268-E268)</f>
        <v>1.5</v>
      </c>
      <c r="AF268" s="28">
        <f>ABS(L268-F268)</f>
        <v>0.75</v>
      </c>
      <c r="AG268" s="28">
        <f>ABS(M268-F268)</f>
        <v>1.5999999999999943</v>
      </c>
      <c r="AH268" s="28">
        <f>ABS(U268-F268)</f>
        <v>0.5</v>
      </c>
      <c r="AI268" s="28">
        <f>ABS(P268-C268)</f>
        <v>3.950000000000003</v>
      </c>
      <c r="AJ268" s="28">
        <f>ABS(W268-C268)</f>
        <v>1.0</v>
      </c>
      <c r="AK268" s="28">
        <f>ABS(Q268-D268)</f>
        <v>2.489999999999995</v>
      </c>
      <c r="AL268" s="28">
        <f>ABS(X268-D268)</f>
        <v>0.5</v>
      </c>
      <c r="AM268" s="17" t="str">
        <f>IF(H268&gt;S268,"Ev",IF(H268&lt;S268,"Dep",""))</f>
        <v>Dep</v>
      </c>
      <c r="AN268" s="17" t="str">
        <f>IF(AM268="","",IF(E268=S268,"Push",IF((E268&gt;S268)=(AM268="Ev"),"Kazandı","Kaybetti")))</f>
        <v>Kaybetti</v>
      </c>
      <c r="AO268" s="30">
        <f>IF(AM268="","",IF(AN268="Push",0,IF(AN268="Kazandı",IF(AM268="Ev",Oranlar!P268,Oranlar!Q268)-1,-1)))</f>
        <v>-1.0</v>
      </c>
      <c r="AP268" s="17" t="str">
        <f>IF(L268&gt;U268,"Üst",IF(L268&lt;U268,"Alt",""))</f>
        <v>Alt</v>
      </c>
      <c r="AQ268" s="17" t="str">
        <f>IF(AP268="","",IF(F268=U268,"Push",IF((F268&gt;U268)=(AP268="Üst"),"Kazandı","Kaybetti")))</f>
        <v>Kaybetti</v>
      </c>
      <c r="AR268" s="30">
        <f>IF(AP268="","",IF(AQ268="Push",0,IF(AQ268="Kazandı",IF(AP268="Üst",Oranlar!W268,Oranlar!X268)-1,-1)))</f>
        <v>-1.0</v>
      </c>
      <c r="AS268" s="17" t="str">
        <f>IF(G268*Oranlar!R268&gt;1,"Ev",IF((1-G268)*Oranlar!S268&gt;1,"Dep",""))</f>
        <v>Dep</v>
      </c>
      <c r="AT268" s="30">
        <f>IF(AS268="","",IF((AS268="Ev")=(E268&gt;0),IF(AS268="Ev",Oranlar!R268,Oranlar!S268)-1,-1))</f>
        <v>-1.0</v>
      </c>
      <c r="AU268" s="16">
        <f>IF(OR(H268=T268,S268=T268),"",IF((H268&gt;T268)=(S268&gt;T268),1,0))</f>
        <v>0</v>
      </c>
      <c r="AV268" s="16">
        <f>IF(OR(L268=V268,U268=V268),"",IF((L268&gt;V268)=(U268&gt;V268),1,0))</f>
        <v>1</v>
      </c>
      <c r="AW268" s="16">
        <f>IF(AND(E268&gt;=J268,E268&lt;=K268),1,0)</f>
        <v>1</v>
      </c>
      <c r="AX268" s="16">
        <f>IF(AND(F268&gt;=N268,F268&lt;=O268),1,0)</f>
        <v>1</v>
      </c>
    </row>
    <row r="269" spans="1:50">
      <c r="A269" s="21">
        <f>Oranlar!A269</f>
        <v>46120</v>
      </c>
      <c r="B269" s="22" t="str">
        <f>Oranlar!C269&amp;" @ "&amp;Oranlar!D269</f>
        <v>MIN @ ORL</v>
      </c>
      <c r="C269" s="23">
        <f>Oranlar!F269</f>
        <v>132</v>
      </c>
      <c r="D269" s="23">
        <f>Oranlar!E269</f>
        <v>120</v>
      </c>
      <c r="E269" s="15">
        <f>C269-D269</f>
        <v>12</v>
      </c>
      <c r="F269" s="16">
        <f>C269+D269</f>
        <v>252</v>
      </c>
      <c r="G269" s="24">
        <v>0.666</v>
      </c>
      <c r="H269" s="10">
        <v>7.62</v>
      </c>
      <c r="I269" s="10">
        <v>1.4</v>
      </c>
      <c r="J269" s="10">
        <v>-17</v>
      </c>
      <c r="K269" s="10">
        <v>20</v>
      </c>
      <c r="L269" s="11">
        <v>231.8</v>
      </c>
      <c r="M269" s="11">
        <v>234.3</v>
      </c>
      <c r="N269" s="11">
        <v>206</v>
      </c>
      <c r="O269" s="11">
        <v>262</v>
      </c>
      <c r="P269" s="11">
        <v>119.97</v>
      </c>
      <c r="Q269" s="11">
        <v>113.6</v>
      </c>
      <c r="R269" s="25">
        <f>Oranlar!Y269</f>
        <v>0.7913616398243044</v>
      </c>
      <c r="S269" s="26">
        <f>-Oranlar!O269</f>
        <v>11.5</v>
      </c>
      <c r="T269" s="26">
        <f>-Oranlar!I269</f>
        <v>5.5</v>
      </c>
      <c r="U269" s="27">
        <f>Oranlar!V269</f>
        <v>233.5</v>
      </c>
      <c r="V269" s="27">
        <f>Oranlar!L269</f>
        <v>225.5</v>
      </c>
      <c r="W269" s="28">
        <f>(U269+S269)/2</f>
        <v>122.5</v>
      </c>
      <c r="X269" s="28">
        <f>(U269-S269)/2</f>
        <v>111.0</v>
      </c>
      <c r="Y269" s="16">
        <f>IF(G269=0.5,"",IF((G269&gt;0.5)=(E269&gt;0),1,0))</f>
        <v>1</v>
      </c>
      <c r="Z269" s="16">
        <f>IF(R269=0.5,"",IF((R269&gt;0.5)=(E269&gt;0),1,0))</f>
        <v>1</v>
      </c>
      <c r="AA269" s="29">
        <f>(G269-IF(E269&gt;0,1,0))^2</f>
        <v>0.11155599999999997</v>
      </c>
      <c r="AB269" s="29">
        <f>(R269-IF(E269&gt;0,1,0))^2</f>
        <v>0.043529965336803284</v>
      </c>
      <c r="AC269" s="28">
        <f>ABS(H269-E269)</f>
        <v>4.38</v>
      </c>
      <c r="AD269" s="28">
        <f>ABS(I269-E269)</f>
        <v>10.6</v>
      </c>
      <c r="AE269" s="28">
        <f>ABS(S269-E269)</f>
        <v>0.5</v>
      </c>
      <c r="AF269" s="28">
        <f>ABS(L269-F269)</f>
        <v>20.19999999999999</v>
      </c>
      <c r="AG269" s="28">
        <f>ABS(M269-F269)</f>
        <v>17.69999999999999</v>
      </c>
      <c r="AH269" s="28">
        <f>ABS(U269-F269)</f>
        <v>18.5</v>
      </c>
      <c r="AI269" s="28">
        <f>ABS(P269-C269)</f>
        <v>12.030000000000001</v>
      </c>
      <c r="AJ269" s="28">
        <f>ABS(W269-C269)</f>
        <v>9.5</v>
      </c>
      <c r="AK269" s="28">
        <f>ABS(Q269-D269)</f>
        <v>6.400000000000006</v>
      </c>
      <c r="AL269" s="28">
        <f>ABS(X269-D269)</f>
        <v>9.0</v>
      </c>
      <c r="AM269" s="17" t="str">
        <f>IF(H269&gt;S269,"Ev",IF(H269&lt;S269,"Dep",""))</f>
        <v>Dep</v>
      </c>
      <c r="AN269" s="17" t="str">
        <f>IF(AM269="","",IF(E269=S269,"Push",IF((E269&gt;S269)=(AM269="Ev"),"Kazandı","Kaybetti")))</f>
        <v>Kaybetti</v>
      </c>
      <c r="AO269" s="30">
        <f>IF(AM269="","",IF(AN269="Push",0,IF(AN269="Kazandı",IF(AM269="Ev",Oranlar!P269,Oranlar!Q269)-1,-1)))</f>
        <v>-1.0</v>
      </c>
      <c r="AP269" s="17" t="str">
        <f>IF(L269&gt;U269,"Üst",IF(L269&lt;U269,"Alt",""))</f>
        <v>Alt</v>
      </c>
      <c r="AQ269" s="17" t="str">
        <f>IF(AP269="","",IF(F269=U269,"Push",IF((F269&gt;U269)=(AP269="Üst"),"Kazandı","Kaybetti")))</f>
        <v>Kaybetti</v>
      </c>
      <c r="AR269" s="30">
        <f>IF(AP269="","",IF(AQ269="Push",0,IF(AQ269="Kazandı",IF(AP269="Üst",Oranlar!W269,Oranlar!X269)-1,-1)))</f>
        <v>-1.0</v>
      </c>
      <c r="AS269" s="17" t="str">
        <f>IF(G269*Oranlar!R269&gt;1,"Ev",IF((1-G269)*Oranlar!S269&gt;1,"Dep",""))</f>
        <v>Dep</v>
      </c>
      <c r="AT269" s="30">
        <f>IF(AS269="","",IF((AS269="Ev")=(E269&gt;0),IF(AS269="Ev",Oranlar!R269,Oranlar!S269)-1,-1))</f>
        <v>-1.0</v>
      </c>
      <c r="AU269" s="16">
        <f>IF(OR(H269=T269,S269=T269),"",IF((H269&gt;T269)=(S269&gt;T269),1,0))</f>
        <v>1</v>
      </c>
      <c r="AV269" s="16">
        <f>IF(OR(L269=V269,U269=V269),"",IF((L269&gt;V269)=(U269&gt;V269),1,0))</f>
        <v>1</v>
      </c>
      <c r="AW269" s="16">
        <f>IF(AND(E269&gt;=J269,E269&lt;=K269),1,0)</f>
        <v>1</v>
      </c>
      <c r="AX269" s="16">
        <f>IF(AND(F269&gt;=N269,F269&lt;=O269),1,0)</f>
        <v>1</v>
      </c>
    </row>
    <row r="270" spans="1:50">
      <c r="A270" s="21">
        <f>Oranlar!A270</f>
        <v>46120</v>
      </c>
      <c r="B270" s="22" t="str">
        <f>Oranlar!C270&amp;" @ "&amp;Oranlar!D270</f>
        <v>MIL @ DET</v>
      </c>
      <c r="C270" s="23">
        <f>Oranlar!F270</f>
        <v>137</v>
      </c>
      <c r="D270" s="23">
        <f>Oranlar!E270</f>
        <v>111</v>
      </c>
      <c r="E270" s="15">
        <f>C270-D270</f>
        <v>26</v>
      </c>
      <c r="F270" s="16">
        <f>C270+D270</f>
        <v>248</v>
      </c>
      <c r="G270" s="24">
        <v>0.843</v>
      </c>
      <c r="H270" s="10">
        <v>13.69</v>
      </c>
      <c r="I270" s="10">
        <v>13.8</v>
      </c>
      <c r="J270" s="10">
        <v>-4</v>
      </c>
      <c r="K270" s="10">
        <v>32</v>
      </c>
      <c r="L270" s="11">
        <v>227.08</v>
      </c>
      <c r="M270" s="11">
        <v>225.8</v>
      </c>
      <c r="N270" s="11">
        <v>199</v>
      </c>
      <c r="O270" s="11">
        <v>253</v>
      </c>
      <c r="P270" s="11">
        <v>121.01</v>
      </c>
      <c r="Q270" s="11">
        <v>105.39</v>
      </c>
      <c r="R270" s="25">
        <f>Oranlar!Y270</f>
        <v>0.9356725146198831</v>
      </c>
      <c r="S270" s="26">
        <f>-Oranlar!O270</f>
        <v>22.5</v>
      </c>
      <c r="T270" s="26">
        <f>-Oranlar!I270</f>
        <v>18.5</v>
      </c>
      <c r="U270" s="27">
        <f>Oranlar!V270</f>
        <v>222.5</v>
      </c>
      <c r="V270" s="27">
        <f>Oranlar!L270</f>
        <v>220.5</v>
      </c>
      <c r="W270" s="28">
        <f>(U270+S270)/2</f>
        <v>122.5</v>
      </c>
      <c r="X270" s="28">
        <f>(U270-S270)/2</f>
        <v>100.0</v>
      </c>
      <c r="Y270" s="16">
        <f>IF(G270=0.5,"",IF((G270&gt;0.5)=(E270&gt;0),1,0))</f>
        <v>1</v>
      </c>
      <c r="Z270" s="16">
        <f>IF(R270=0.5,"",IF((R270&gt;0.5)=(E270&gt;0),1,0))</f>
        <v>1</v>
      </c>
      <c r="AA270" s="29">
        <f>(G270-IF(E270&gt;0,1,0))^2</f>
        <v>0.024649000000000008</v>
      </c>
      <c r="AB270" s="29">
        <f>(R270-IF(E270&gt;0,1,0))^2</f>
        <v>0.004138025375329153</v>
      </c>
      <c r="AC270" s="28">
        <f>ABS(H270-E270)</f>
        <v>12.31</v>
      </c>
      <c r="AD270" s="28">
        <f>ABS(I270-E270)</f>
        <v>12.2</v>
      </c>
      <c r="AE270" s="28">
        <f>ABS(S270-E270)</f>
        <v>3.5</v>
      </c>
      <c r="AF270" s="28">
        <f>ABS(L270-F270)</f>
        <v>20.919999999999987</v>
      </c>
      <c r="AG270" s="28">
        <f>ABS(M270-F270)</f>
        <v>22.19999999999999</v>
      </c>
      <c r="AH270" s="28">
        <f>ABS(U270-F270)</f>
        <v>25.5</v>
      </c>
      <c r="AI270" s="28">
        <f>ABS(P270-C270)</f>
        <v>15.989999999999995</v>
      </c>
      <c r="AJ270" s="28">
        <f>ABS(W270-C270)</f>
        <v>14.5</v>
      </c>
      <c r="AK270" s="28">
        <f>ABS(Q270-D270)</f>
        <v>5.609999999999999</v>
      </c>
      <c r="AL270" s="28">
        <f>ABS(X270-D270)</f>
        <v>11.0</v>
      </c>
      <c r="AM270" s="17" t="str">
        <f>IF(H270&gt;S270,"Ev",IF(H270&lt;S270,"Dep",""))</f>
        <v>Dep</v>
      </c>
      <c r="AN270" s="17" t="str">
        <f>IF(AM270="","",IF(E270=S270,"Push",IF((E270&gt;S270)=(AM270="Ev"),"Kazandı","Kaybetti")))</f>
        <v>Kaybetti</v>
      </c>
      <c r="AO270" s="30">
        <f>IF(AM270="","",IF(AN270="Push",0,IF(AN270="Kazandı",IF(AM270="Ev",Oranlar!P270,Oranlar!Q270)-1,-1)))</f>
        <v>-1.0</v>
      </c>
      <c r="AP270" s="17" t="str">
        <f>IF(L270&gt;U270,"Üst",IF(L270&lt;U270,"Alt",""))</f>
        <v>Üst</v>
      </c>
      <c r="AQ270" s="17" t="str">
        <f>IF(AP270="","",IF(F270=U270,"Push",IF((F270&gt;U270)=(AP270="Üst"),"Kazandı","Kaybetti")))</f>
        <v>Kazandı</v>
      </c>
      <c r="AR270" s="30">
        <f>IF(AP270="","",IF(AQ270="Push",0,IF(AQ270="Kazandı",IF(AP270="Üst",Oranlar!W270,Oranlar!X270)-1,-1)))</f>
        <v>0.847457627118644</v>
      </c>
      <c r="AS270" s="17" t="str">
        <f>IF(G270*Oranlar!R270&gt;1,"Ev",IF((1-G270)*Oranlar!S270&gt;1,"Dep",""))</f>
        <v>Dep</v>
      </c>
      <c r="AT270" s="30">
        <f>IF(AS270="","",IF((AS270="Ev")=(E270&gt;0),IF(AS270="Ev",Oranlar!R270,Oranlar!S270)-1,-1))</f>
        <v>-1.0</v>
      </c>
      <c r="AU270" s="16">
        <f>IF(OR(H270=T270,S270=T270),"",IF((H270&gt;T270)=(S270&gt;T270),1,0))</f>
        <v>0</v>
      </c>
      <c r="AV270" s="16">
        <f>IF(OR(L270=V270,U270=V270),"",IF((L270&gt;V270)=(U270&gt;V270),1,0))</f>
        <v>1</v>
      </c>
      <c r="AW270" s="16">
        <f>IF(AND(E270&gt;=J270,E270&lt;=K270),1,0)</f>
        <v>1</v>
      </c>
      <c r="AX270" s="16">
        <f>IF(AND(F270&gt;=N270,F270&lt;=O270),1,0)</f>
        <v>1</v>
      </c>
    </row>
    <row r="271" spans="1:50">
      <c r="A271" s="21">
        <f>Oranlar!A271</f>
        <v>46120</v>
      </c>
      <c r="B271" s="22" t="str">
        <f>Oranlar!C271&amp;" @ "&amp;Oranlar!D271</f>
        <v>POR @ SAS</v>
      </c>
      <c r="C271" s="23">
        <f>Oranlar!F271</f>
        <v>112</v>
      </c>
      <c r="D271" s="23">
        <f>Oranlar!E271</f>
        <v>101</v>
      </c>
      <c r="E271" s="15">
        <f>C271-D271</f>
        <v>11</v>
      </c>
      <c r="F271" s="16">
        <f>C271+D271</f>
        <v>213</v>
      </c>
      <c r="G271" s="24">
        <v>0.668</v>
      </c>
      <c r="H271" s="10">
        <v>4.61</v>
      </c>
      <c r="I271" s="10">
        <v>7.1</v>
      </c>
      <c r="J271" s="10">
        <v>-11</v>
      </c>
      <c r="K271" s="10">
        <v>26</v>
      </c>
      <c r="L271" s="11">
        <v>229.38</v>
      </c>
      <c r="M271" s="11">
        <v>234</v>
      </c>
      <c r="N271" s="11">
        <v>206</v>
      </c>
      <c r="O271" s="11">
        <v>261</v>
      </c>
      <c r="P271" s="11">
        <v>117.87</v>
      </c>
      <c r="Q271" s="11">
        <v>113.65</v>
      </c>
      <c r="R271" s="25">
        <f>Oranlar!Y271</f>
        <v>0.5829926410466066</v>
      </c>
      <c r="S271" s="26">
        <f>-Oranlar!O271</f>
        <v>2.5</v>
      </c>
      <c r="T271" s="26">
        <f>-Oranlar!I271</f>
        <v>3.5</v>
      </c>
      <c r="U271" s="27">
        <f>Oranlar!V271</f>
        <v>229.5</v>
      </c>
      <c r="V271" s="27">
        <f>Oranlar!L271</f>
        <v>236.5</v>
      </c>
      <c r="W271" s="28">
        <f>(U271+S271)/2</f>
        <v>116.0</v>
      </c>
      <c r="X271" s="28">
        <f>(U271-S271)/2</f>
        <v>113.5</v>
      </c>
      <c r="Y271" s="16">
        <f>IF(G271=0.5,"",IF((G271&gt;0.5)=(E271&gt;0),1,0))</f>
        <v>1</v>
      </c>
      <c r="Z271" s="16">
        <f>IF(R271=0.5,"",IF((R271&gt;0.5)=(E271&gt;0),1,0))</f>
        <v>1</v>
      </c>
      <c r="AA271" s="29">
        <f>(G271-IF(E271&gt;0,1,0))^2</f>
        <v>0.11022399999999997</v>
      </c>
      <c r="AB271" s="29">
        <f>(R271-IF(E271&gt;0,1,0))^2</f>
        <v>0.17389513742128426</v>
      </c>
      <c r="AC271" s="28">
        <f>ABS(H271-E271)</f>
        <v>6.39</v>
      </c>
      <c r="AD271" s="28">
        <f>ABS(I271-E271)</f>
        <v>3.9000000000000004</v>
      </c>
      <c r="AE271" s="28">
        <f>ABS(S271-E271)</f>
        <v>8.5</v>
      </c>
      <c r="AF271" s="28">
        <f>ABS(L271-F271)</f>
        <v>16.379999999999995</v>
      </c>
      <c r="AG271" s="28">
        <f>ABS(M271-F271)</f>
        <v>21.0</v>
      </c>
      <c r="AH271" s="28">
        <f>ABS(U271-F271)</f>
        <v>16.5</v>
      </c>
      <c r="AI271" s="28">
        <f>ABS(P271-C271)</f>
        <v>5.8700000000000045</v>
      </c>
      <c r="AJ271" s="28">
        <f>ABS(W271-C271)</f>
        <v>4.0</v>
      </c>
      <c r="AK271" s="28">
        <f>ABS(Q271-D271)</f>
        <v>12.650000000000006</v>
      </c>
      <c r="AL271" s="28">
        <f>ABS(X271-D271)</f>
        <v>12.5</v>
      </c>
      <c r="AM271" s="17" t="str">
        <f>IF(H271&gt;S271,"Ev",IF(H271&lt;S271,"Dep",""))</f>
        <v>Ev</v>
      </c>
      <c r="AN271" s="17" t="str">
        <f>IF(AM271="","",IF(E271=S271,"Push",IF((E271&gt;S271)=(AM271="Ev"),"Kazandı","Kaybetti")))</f>
        <v>Kazandı</v>
      </c>
      <c r="AO271" s="30">
        <f>IF(AM271="","",IF(AN271="Push",0,IF(AN271="Kazandı",IF(AM271="Ev",Oranlar!P271,Oranlar!Q271)-1,-1)))</f>
        <v>0.847457627118644</v>
      </c>
      <c r="AP271" s="17" t="str">
        <f>IF(L271&gt;U271,"Üst",IF(L271&lt;U271,"Alt",""))</f>
        <v>Alt</v>
      </c>
      <c r="AQ271" s="17" t="str">
        <f>IF(AP271="","",IF(F271=U271,"Push",IF((F271&gt;U271)=(AP271="Üst"),"Kazandı","Kaybetti")))</f>
        <v>Kazandı</v>
      </c>
      <c r="AR271" s="30">
        <f>IF(AP271="","",IF(AQ271="Push",0,IF(AQ271="Kazandı",IF(AP271="Üst",Oranlar!W271,Oranlar!X271)-1,-1)))</f>
        <v>0.9090909090909092</v>
      </c>
      <c r="AS271" s="17" t="str">
        <f>IF(G271*Oranlar!R271&gt;1,"Ev",IF((1-G271)*Oranlar!S271&gt;1,"Dep",""))</f>
        <v>Ev</v>
      </c>
      <c r="AT271" s="30">
        <f>IF(AS271="","",IF((AS271="Ev")=(E271&gt;0),IF(AS271="Ev",Oranlar!R271,Oranlar!S271)-1,-1))</f>
        <v>0.6451612903225805</v>
      </c>
      <c r="AU271" s="16">
        <f>IF(OR(H271=T271,S271=T271),"",IF((H271&gt;T271)=(S271&gt;T271),1,0))</f>
        <v>0</v>
      </c>
      <c r="AV271" s="16">
        <f>IF(OR(L271=V271,U271=V271),"",IF((L271&gt;V271)=(U271&gt;V271),1,0))</f>
        <v>1</v>
      </c>
      <c r="AW271" s="16">
        <f>IF(AND(E271&gt;=J271,E271&lt;=K271),1,0)</f>
        <v>1</v>
      </c>
      <c r="AX271" s="16">
        <f>IF(AND(F271&gt;=N271,F271&lt;=O271),1,0)</f>
        <v>1</v>
      </c>
    </row>
    <row r="272" spans="1:50">
      <c r="A272" s="21">
        <f>Oranlar!A272</f>
        <v>46120</v>
      </c>
      <c r="B272" s="22" t="str">
        <f>Oranlar!C272&amp;" @ "&amp;Oranlar!D272</f>
        <v>MEM @ DEN</v>
      </c>
      <c r="C272" s="23">
        <f>Oranlar!F272</f>
        <v>136</v>
      </c>
      <c r="D272" s="23">
        <f>Oranlar!E272</f>
        <v>119</v>
      </c>
      <c r="E272" s="15">
        <f>C272-D272</f>
        <v>17</v>
      </c>
      <c r="F272" s="16">
        <f>C272+D272</f>
        <v>255</v>
      </c>
      <c r="G272" s="24">
        <v>0.853</v>
      </c>
      <c r="H272" s="10">
        <v>17.36</v>
      </c>
      <c r="I272" s="10">
        <v>16.1</v>
      </c>
      <c r="J272" s="10">
        <v>-3</v>
      </c>
      <c r="K272" s="10">
        <v>36</v>
      </c>
      <c r="L272" s="11">
        <v>233.46</v>
      </c>
      <c r="M272" s="11">
        <v>244.9</v>
      </c>
      <c r="N272" s="11">
        <v>216</v>
      </c>
      <c r="O272" s="11">
        <v>273</v>
      </c>
      <c r="P272" s="11">
        <v>126.26</v>
      </c>
      <c r="Q272" s="11">
        <v>112.24</v>
      </c>
      <c r="R272" s="25">
        <f>Oranlar!Y272</f>
        <v>0.949050949050949</v>
      </c>
      <c r="S272" s="26">
        <f>-Oranlar!O272</f>
        <v>23.5</v>
      </c>
      <c r="T272" s="26">
        <f>-Oranlar!I272</f>
        <v>22.5</v>
      </c>
      <c r="U272" s="27">
        <f>Oranlar!V272</f>
        <v>247.5</v>
      </c>
      <c r="V272" s="27">
        <f>Oranlar!L272</f>
        <v>245.5</v>
      </c>
      <c r="W272" s="28">
        <f>(U272+S272)/2</f>
        <v>135.5</v>
      </c>
      <c r="X272" s="28">
        <f>(U272-S272)/2</f>
        <v>112.0</v>
      </c>
      <c r="Y272" s="16">
        <f>IF(G272=0.5,"",IF((G272&gt;0.5)=(E272&gt;0),1,0))</f>
        <v>1</v>
      </c>
      <c r="Z272" s="16">
        <f>IF(R272=0.5,"",IF((R272&gt;0.5)=(E272&gt;0),1,0))</f>
        <v>1</v>
      </c>
      <c r="AA272" s="29">
        <f>(G272-IF(E272&gt;0,1,0))^2</f>
        <v>0.021609000000000007</v>
      </c>
      <c r="AB272" s="29">
        <f>(R272-IF(E272&gt;0,1,0))^2</f>
        <v>0.0025958057926089946</v>
      </c>
      <c r="AC272" s="28">
        <f>ABS(H272-E272)</f>
        <v>0.35999999999999943</v>
      </c>
      <c r="AD272" s="28">
        <f>ABS(I272-E272)</f>
        <v>0.8999999999999986</v>
      </c>
      <c r="AE272" s="28">
        <f>ABS(S272-E272)</f>
        <v>6.5</v>
      </c>
      <c r="AF272" s="28">
        <f>ABS(L272-F272)</f>
        <v>21.539999999999992</v>
      </c>
      <c r="AG272" s="28">
        <f>ABS(M272-F272)</f>
        <v>10.099999999999994</v>
      </c>
      <c r="AH272" s="28">
        <f>ABS(U272-F272)</f>
        <v>7.5</v>
      </c>
      <c r="AI272" s="28">
        <f>ABS(P272-C272)</f>
        <v>9.739999999999995</v>
      </c>
      <c r="AJ272" s="28">
        <f>ABS(W272-C272)</f>
        <v>0.5</v>
      </c>
      <c r="AK272" s="28">
        <f>ABS(Q272-D272)</f>
        <v>6.760000000000005</v>
      </c>
      <c r="AL272" s="28">
        <f>ABS(X272-D272)</f>
        <v>7.0</v>
      </c>
      <c r="AM272" s="17" t="str">
        <f>IF(H272&gt;S272,"Ev",IF(H272&lt;S272,"Dep",""))</f>
        <v>Dep</v>
      </c>
      <c r="AN272" s="17" t="str">
        <f>IF(AM272="","",IF(E272=S272,"Push",IF((E272&gt;S272)=(AM272="Ev"),"Kazandı","Kaybetti")))</f>
        <v>Kazandı</v>
      </c>
      <c r="AO272" s="30">
        <f>IF(AM272="","",IF(AN272="Push",0,IF(AN272="Kazandı",IF(AM272="Ev",Oranlar!P272,Oranlar!Q272)-1,-1)))</f>
        <v>0.9090909090909092</v>
      </c>
      <c r="AP272" s="17" t="str">
        <f>IF(L272&gt;U272,"Üst",IF(L272&lt;U272,"Alt",""))</f>
        <v>Alt</v>
      </c>
      <c r="AQ272" s="17" t="str">
        <f>IF(AP272="","",IF(F272=U272,"Push",IF((F272&gt;U272)=(AP272="Üst"),"Kazandı","Kaybetti")))</f>
        <v>Kaybetti</v>
      </c>
      <c r="AR272" s="30">
        <f>IF(AP272="","",IF(AQ272="Push",0,IF(AQ272="Kazandı",IF(AP272="Üst",Oranlar!W272,Oranlar!X272)-1,-1)))</f>
        <v>-1.0</v>
      </c>
      <c r="AS272" s="17" t="str">
        <f>IF(G272*Oranlar!R272&gt;1,"Ev",IF((1-G272)*Oranlar!S272&gt;1,"Dep",""))</f>
        <v>Dep</v>
      </c>
      <c r="AT272" s="30">
        <f>IF(AS272="","",IF((AS272="Ev")=(E272&gt;0),IF(AS272="Ev",Oranlar!R272,Oranlar!S272)-1,-1))</f>
        <v>-1.0</v>
      </c>
      <c r="AU272" s="16">
        <f>IF(OR(H272=T272,S272=T272),"",IF((H272&gt;T272)=(S272&gt;T272),1,0))</f>
        <v>0</v>
      </c>
      <c r="AV272" s="16">
        <f>IF(OR(L272=V272,U272=V272),"",IF((L272&gt;V272)=(U272&gt;V272),1,0))</f>
        <v>0</v>
      </c>
      <c r="AW272" s="16">
        <f>IF(AND(E272&gt;=J272,E272&lt;=K272),1,0)</f>
        <v>1</v>
      </c>
      <c r="AX272" s="16">
        <f>IF(AND(F272&gt;=N272,F272&lt;=O272),1,0)</f>
        <v>1</v>
      </c>
    </row>
    <row r="273" spans="1:50">
      <c r="A273" s="21">
        <f>Oranlar!A273</f>
        <v>46120</v>
      </c>
      <c r="B273" s="22" t="str">
        <f>Oranlar!C273&amp;" @ "&amp;Oranlar!D273</f>
        <v>OKC @ LAC</v>
      </c>
      <c r="C273" s="23">
        <f>Oranlar!F273</f>
        <v>110</v>
      </c>
      <c r="D273" s="23">
        <f>Oranlar!E273</f>
        <v>128</v>
      </c>
      <c r="E273" s="15">
        <f>C273-D273</f>
        <v>-18</v>
      </c>
      <c r="F273" s="16">
        <f>C273+D273</f>
        <v>238</v>
      </c>
      <c r="G273" s="24">
        <v>0.316</v>
      </c>
      <c r="H273" s="10">
        <v>-8.529999999999999</v>
      </c>
      <c r="I273" s="10">
        <v>-1.3</v>
      </c>
      <c r="J273" s="10">
        <v>-19</v>
      </c>
      <c r="K273" s="10">
        <v>17</v>
      </c>
      <c r="L273" s="11">
        <v>224.43</v>
      </c>
      <c r="M273" s="11">
        <v>224.8</v>
      </c>
      <c r="N273" s="11">
        <v>198</v>
      </c>
      <c r="O273" s="11">
        <v>252</v>
      </c>
      <c r="P273" s="11">
        <v>112.46</v>
      </c>
      <c r="Q273" s="11">
        <v>116.87</v>
      </c>
      <c r="R273" s="25">
        <f>Oranlar!Y273</f>
        <v>0.24281150159744405</v>
      </c>
      <c r="S273" s="26">
        <f>-Oranlar!O273</f>
        <v>-8.5</v>
      </c>
      <c r="T273" s="26">
        <f>-Oranlar!I273</f>
        <v>-6.5</v>
      </c>
      <c r="U273" s="27">
        <f>Oranlar!V273</f>
        <v>223.5</v>
      </c>
      <c r="V273" s="27">
        <f>Oranlar!L273</f>
        <v>225.5</v>
      </c>
      <c r="W273" s="28">
        <f>(U273+S273)/2</f>
        <v>107.5</v>
      </c>
      <c r="X273" s="28">
        <f>(U273-S273)/2</f>
        <v>116.0</v>
      </c>
      <c r="Y273" s="16">
        <f>IF(G273=0.5,"",IF((G273&gt;0.5)=(E273&gt;0),1,0))</f>
        <v>1</v>
      </c>
      <c r="Z273" s="16">
        <f>IF(R273=0.5,"",IF((R273&gt;0.5)=(E273&gt;0),1,0))</f>
        <v>1</v>
      </c>
      <c r="AA273" s="29">
        <f>(G273-IF(E273&gt;0,1,0))^2</f>
        <v>0.099856</v>
      </c>
      <c r="AB273" s="29">
        <f>(R273-IF(E273&gt;0,1,0))^2</f>
        <v>0.05895742530800557</v>
      </c>
      <c r="AC273" s="28">
        <f>ABS(H273-E273)</f>
        <v>9.47</v>
      </c>
      <c r="AD273" s="28">
        <f>ABS(I273-E273)</f>
        <v>16.7</v>
      </c>
      <c r="AE273" s="28">
        <f>ABS(S273-E273)</f>
        <v>9.5</v>
      </c>
      <c r="AF273" s="28">
        <f>ABS(L273-F273)</f>
        <v>13.569999999999993</v>
      </c>
      <c r="AG273" s="28">
        <f>ABS(M273-F273)</f>
        <v>13.199999999999989</v>
      </c>
      <c r="AH273" s="28">
        <f>ABS(U273-F273)</f>
        <v>14.5</v>
      </c>
      <c r="AI273" s="28">
        <f>ABS(P273-C273)</f>
        <v>2.4599999999999937</v>
      </c>
      <c r="AJ273" s="28">
        <f>ABS(W273-C273)</f>
        <v>2.5</v>
      </c>
      <c r="AK273" s="28">
        <f>ABS(Q273-D273)</f>
        <v>11.129999999999995</v>
      </c>
      <c r="AL273" s="28">
        <f>ABS(X273-D273)</f>
        <v>12.0</v>
      </c>
      <c r="AM273" s="17" t="str">
        <f>IF(H273&gt;S273,"Ev",IF(H273&lt;S273,"Dep",""))</f>
        <v>Dep</v>
      </c>
      <c r="AN273" s="17" t="str">
        <f>IF(AM273="","",IF(E273=S273,"Push",IF((E273&gt;S273)=(AM273="Ev"),"Kazandı","Kaybetti")))</f>
        <v>Kazandı</v>
      </c>
      <c r="AO273" s="30">
        <f>IF(AM273="","",IF(AN273="Push",0,IF(AN273="Kazandı",IF(AM273="Ev",Oranlar!P273,Oranlar!Q273)-1,-1)))</f>
        <v>0.8695652173913042</v>
      </c>
      <c r="AP273" s="17" t="str">
        <f>IF(L273&gt;U273,"Üst",IF(L273&lt;U273,"Alt",""))</f>
        <v>Üst</v>
      </c>
      <c r="AQ273" s="17" t="str">
        <f>IF(AP273="","",IF(F273=U273,"Push",IF((F273&gt;U273)=(AP273="Üst"),"Kazandı","Kaybetti")))</f>
        <v>Kazandı</v>
      </c>
      <c r="AR273" s="30">
        <f>IF(AP273="","",IF(AQ273="Push",0,IF(AQ273="Kazandı",IF(AP273="Üst",Oranlar!W273,Oranlar!X273)-1,-1)))</f>
        <v>0.8928571428571428</v>
      </c>
      <c r="AS273" s="17" t="str">
        <f>IF(G273*Oranlar!R273&gt;1,"Ev",IF((1-G273)*Oranlar!S273&gt;1,"Dep",""))</f>
        <v>Ev</v>
      </c>
      <c r="AT273" s="30">
        <f>IF(AS273="","",IF((AS273="Ev")=(E273&gt;0),IF(AS273="Ev",Oranlar!R273,Oranlar!S273)-1,-1))</f>
        <v>-1.0</v>
      </c>
      <c r="AU273" s="16">
        <f>IF(OR(H273=T273,S273=T273),"",IF((H273&gt;T273)=(S273&gt;T273),1,0))</f>
        <v>1</v>
      </c>
      <c r="AV273" s="16">
        <f>IF(OR(L273=V273,U273=V273),"",IF((L273&gt;V273)=(U273&gt;V273),1,0))</f>
        <v>1</v>
      </c>
      <c r="AW273" s="16">
        <f>IF(AND(E273&gt;=J273,E273&lt;=K273),1,0)</f>
        <v>1</v>
      </c>
      <c r="AX273" s="16">
        <f>IF(AND(F273&gt;=N273,F273&lt;=O273),1,0)</f>
        <v>1</v>
      </c>
    </row>
    <row r="274" spans="1:50">
      <c r="A274" s="21">
        <f>Oranlar!A274</f>
        <v>46120</v>
      </c>
      <c r="B274" s="22" t="str">
        <f>Oranlar!C274&amp;" @ "&amp;Oranlar!D274</f>
        <v>DAL @ PHX</v>
      </c>
      <c r="C274" s="23">
        <f>Oranlar!F274</f>
        <v>112</v>
      </c>
      <c r="D274" s="23">
        <f>Oranlar!E274</f>
        <v>107</v>
      </c>
      <c r="E274" s="15">
        <f>C274-D274</f>
        <v>5</v>
      </c>
      <c r="F274" s="16">
        <f>C274+D274</f>
        <v>219</v>
      </c>
      <c r="G274" s="24">
        <v>0.8090000000000001</v>
      </c>
      <c r="H274" s="10">
        <v>12.84</v>
      </c>
      <c r="I274" s="10">
        <v>10.2</v>
      </c>
      <c r="J274" s="10">
        <v>-8</v>
      </c>
      <c r="K274" s="10">
        <v>29</v>
      </c>
      <c r="L274" s="11">
        <v>229.19</v>
      </c>
      <c r="M274" s="11">
        <v>234.8</v>
      </c>
      <c r="N274" s="11">
        <v>207</v>
      </c>
      <c r="O274" s="11">
        <v>262</v>
      </c>
      <c r="P274" s="11">
        <v>120.68</v>
      </c>
      <c r="Q274" s="11">
        <v>108.36</v>
      </c>
      <c r="R274" s="25">
        <f>Oranlar!Y274</f>
        <v>0.84</v>
      </c>
      <c r="S274" s="26">
        <f>-Oranlar!O274</f>
        <v>12.5</v>
      </c>
      <c r="T274" s="26">
        <f>-Oranlar!I274</f>
        <v>10.5</v>
      </c>
      <c r="U274" s="27">
        <f>Oranlar!V274</f>
        <v>234.5</v>
      </c>
      <c r="V274" s="27">
        <f>Oranlar!L274</f>
        <v>230.5</v>
      </c>
      <c r="W274" s="28">
        <f>(U274+S274)/2</f>
        <v>123.5</v>
      </c>
      <c r="X274" s="28">
        <f>(U274-S274)/2</f>
        <v>111.0</v>
      </c>
      <c r="Y274" s="16">
        <f>IF(G274=0.5,"",IF((G274&gt;0.5)=(E274&gt;0),1,0))</f>
        <v>1</v>
      </c>
      <c r="Z274" s="16">
        <f>IF(R274=0.5,"",IF((R274&gt;0.5)=(E274&gt;0),1,0))</f>
        <v>1</v>
      </c>
      <c r="AA274" s="29">
        <f>(G274-IF(E274&gt;0,1,0))^2</f>
        <v>0.03648099999999998</v>
      </c>
      <c r="AB274" s="29">
        <f>(R274-IF(E274&gt;0,1,0))^2</f>
        <v>0.02560000000000001</v>
      </c>
      <c r="AC274" s="28">
        <f>ABS(H274-E274)</f>
        <v>7.84</v>
      </c>
      <c r="AD274" s="28">
        <f>ABS(I274-E274)</f>
        <v>5.199999999999999</v>
      </c>
      <c r="AE274" s="28">
        <f>ABS(S274-E274)</f>
        <v>7.5</v>
      </c>
      <c r="AF274" s="28">
        <f>ABS(L274-F274)</f>
        <v>10.189999999999998</v>
      </c>
      <c r="AG274" s="28">
        <f>ABS(M274-F274)</f>
        <v>15.800000000000011</v>
      </c>
      <c r="AH274" s="28">
        <f>ABS(U274-F274)</f>
        <v>15.5</v>
      </c>
      <c r="AI274" s="28">
        <f>ABS(P274-C274)</f>
        <v>8.680000000000007</v>
      </c>
      <c r="AJ274" s="28">
        <f>ABS(W274-C274)</f>
        <v>11.5</v>
      </c>
      <c r="AK274" s="28">
        <f>ABS(Q274-D274)</f>
        <v>1.3599999999999994</v>
      </c>
      <c r="AL274" s="28">
        <f>ABS(X274-D274)</f>
        <v>4.0</v>
      </c>
      <c r="AM274" s="17" t="str">
        <f>IF(H274&gt;S274,"Ev",IF(H274&lt;S274,"Dep",""))</f>
        <v>Ev</v>
      </c>
      <c r="AN274" s="17" t="str">
        <f>IF(AM274="","",IF(E274=S274,"Push",IF((E274&gt;S274)=(AM274="Ev"),"Kazandı","Kaybetti")))</f>
        <v>Kaybetti</v>
      </c>
      <c r="AO274" s="30">
        <f>IF(AM274="","",IF(AN274="Push",0,IF(AN274="Kazandı",IF(AM274="Ev",Oranlar!P274,Oranlar!Q274)-1,-1)))</f>
        <v>-1.0</v>
      </c>
      <c r="AP274" s="17" t="str">
        <f>IF(L274&gt;U274,"Üst",IF(L274&lt;U274,"Alt",""))</f>
        <v>Alt</v>
      </c>
      <c r="AQ274" s="17" t="str">
        <f>IF(AP274="","",IF(F274=U274,"Push",IF((F274&gt;U274)=(AP274="Üst"),"Kazandı","Kaybetti")))</f>
        <v>Kazandı</v>
      </c>
      <c r="AR274" s="30">
        <f>IF(AP274="","",IF(AQ274="Push",0,IF(AQ274="Kazandı",IF(AP274="Üst",Oranlar!W274,Oranlar!X274)-1,-1)))</f>
        <v>0.8695652173913042</v>
      </c>
      <c r="AS274" s="17" t="str">
        <f>IF(G274*Oranlar!R274&gt;1,"Ev",IF((1-G274)*Oranlar!S274&gt;1,"Dep",""))</f>
        <v>Dep</v>
      </c>
      <c r="AT274" s="30">
        <f>IF(AS274="","",IF((AS274="Ev")=(E274&gt;0),IF(AS274="Ev",Oranlar!R274,Oranlar!S274)-1,-1))</f>
        <v>-1.0</v>
      </c>
      <c r="AU274" s="16">
        <f>IF(OR(H274=T274,S274=T274),"",IF((H274&gt;T274)=(S274&gt;T274),1,0))</f>
        <v>1</v>
      </c>
      <c r="AV274" s="16">
        <f>IF(OR(L274=V274,U274=V274),"",IF((L274&gt;V274)=(U274&gt;V274),1,0))</f>
        <v>0</v>
      </c>
      <c r="AW274" s="16">
        <f>IF(AND(E274&gt;=J274,E274&lt;=K274),1,0)</f>
        <v>1</v>
      </c>
      <c r="AX274" s="16">
        <f>IF(AND(F274&gt;=N274,F274&lt;=O274),1,0)</f>
        <v>1</v>
      </c>
    </row>
    <row r="275" spans="1:50">
      <c r="A275" s="21">
        <f>Oranlar!A275</f>
        <v>46121</v>
      </c>
      <c r="B275" s="22" t="str">
        <f>Oranlar!C275&amp;" @ "&amp;Oranlar!D275</f>
        <v>MIA @ TOR</v>
      </c>
      <c r="C275" s="23">
        <f>Oranlar!F275</f>
        <v>128</v>
      </c>
      <c r="D275" s="23">
        <f>Oranlar!E275</f>
        <v>114</v>
      </c>
      <c r="E275" s="15">
        <f>C275-D275</f>
        <v>14</v>
      </c>
      <c r="F275" s="16">
        <f>C275+D275</f>
        <v>242</v>
      </c>
      <c r="G275" s="24">
        <v>0.737</v>
      </c>
      <c r="H275" s="10">
        <v>9.69</v>
      </c>
      <c r="I275" s="10">
        <v>7.8</v>
      </c>
      <c r="J275" s="10">
        <v>-11</v>
      </c>
      <c r="K275" s="10">
        <v>27</v>
      </c>
      <c r="L275" s="11">
        <v>235.79</v>
      </c>
      <c r="M275" s="11">
        <v>234.5</v>
      </c>
      <c r="N275" s="11">
        <v>207</v>
      </c>
      <c r="O275" s="11">
        <v>262</v>
      </c>
      <c r="P275" s="11">
        <v>122.95</v>
      </c>
      <c r="Q275" s="11">
        <v>110.37</v>
      </c>
      <c r="R275" s="25">
        <f>Oranlar!Y275</f>
        <v>0.6037569709421778</v>
      </c>
      <c r="S275" s="26">
        <f>-Oranlar!O275</f>
        <v>4.5</v>
      </c>
      <c r="T275" s="26">
        <f>-Oranlar!I275</f>
        <v>4.5</v>
      </c>
      <c r="U275" s="27">
        <f>Oranlar!V275</f>
        <v>236.5</v>
      </c>
      <c r="V275" s="27">
        <f>Oranlar!L275</f>
        <v>236.5</v>
      </c>
      <c r="W275" s="28">
        <f>(U275+S275)/2</f>
        <v>120.5</v>
      </c>
      <c r="X275" s="28">
        <f>(U275-S275)/2</f>
        <v>116.0</v>
      </c>
      <c r="Y275" s="16">
        <f>IF(G275=0.5,"",IF((G275&gt;0.5)=(E275&gt;0),1,0))</f>
        <v>1</v>
      </c>
      <c r="Z275" s="16">
        <f>IF(R275=0.5,"",IF((R275&gt;0.5)=(E275&gt;0),1,0))</f>
        <v>1</v>
      </c>
      <c r="AA275" s="29">
        <f>(G275-IF(E275&gt;0,1,0))^2</f>
        <v>0.06916900000000001</v>
      </c>
      <c r="AB275" s="29">
        <f>(R275-IF(E275&gt;0,1,0))^2</f>
        <v>0.15700853807691809</v>
      </c>
      <c r="AC275" s="28">
        <f>ABS(H275-E275)</f>
        <v>4.3100000000000005</v>
      </c>
      <c r="AD275" s="28">
        <f>ABS(I275-E275)</f>
        <v>6.2</v>
      </c>
      <c r="AE275" s="28">
        <f>ABS(S275-E275)</f>
        <v>9.5</v>
      </c>
      <c r="AF275" s="28">
        <f>ABS(L275-F275)</f>
        <v>6.210000000000008</v>
      </c>
      <c r="AG275" s="28">
        <f>ABS(M275-F275)</f>
        <v>7.5</v>
      </c>
      <c r="AH275" s="28">
        <f>ABS(U275-F275)</f>
        <v>5.5</v>
      </c>
      <c r="AI275" s="28">
        <f>ABS(P275-C275)</f>
        <v>5.049999999999997</v>
      </c>
      <c r="AJ275" s="28">
        <f>ABS(W275-C275)</f>
        <v>7.5</v>
      </c>
      <c r="AK275" s="28">
        <f>ABS(Q275-D275)</f>
        <v>3.6299999999999955</v>
      </c>
      <c r="AL275" s="28">
        <f>ABS(X275-D275)</f>
        <v>2.0</v>
      </c>
      <c r="AM275" s="17" t="str">
        <f>IF(H275&gt;S275,"Ev",IF(H275&lt;S275,"Dep",""))</f>
        <v>Ev</v>
      </c>
      <c r="AN275" s="17" t="str">
        <f>IF(AM275="","",IF(E275=S275,"Push",IF((E275&gt;S275)=(AM275="Ev"),"Kazandı","Kaybetti")))</f>
        <v>Kazandı</v>
      </c>
      <c r="AO275" s="30">
        <f>IF(AM275="","",IF(AN275="Push",0,IF(AN275="Kazandı",IF(AM275="Ev",Oranlar!P275,Oranlar!Q275)-1,-1)))</f>
        <v>0.9523809523809523</v>
      </c>
      <c r="AP275" s="17" t="str">
        <f>IF(L275&gt;U275,"Üst",IF(L275&lt;U275,"Alt",""))</f>
        <v>Alt</v>
      </c>
      <c r="AQ275" s="17" t="str">
        <f>IF(AP275="","",IF(F275=U275,"Push",IF((F275&gt;U275)=(AP275="Üst"),"Kazandı","Kaybetti")))</f>
        <v>Kaybetti</v>
      </c>
      <c r="AR275" s="30">
        <f>IF(AP275="","",IF(AQ275="Push",0,IF(AQ275="Kazandı",IF(AP275="Üst",Oranlar!W275,Oranlar!X275)-1,-1)))</f>
        <v>-1.0</v>
      </c>
      <c r="AS275" s="17" t="str">
        <f>IF(G275*Oranlar!R275&gt;1,"Ev",IF((1-G275)*Oranlar!S275&gt;1,"Dep",""))</f>
        <v>Ev</v>
      </c>
      <c r="AT275" s="30">
        <f>IF(AS275="","",IF((AS275="Ev")=(E275&gt;0),IF(AS275="Ev",Oranlar!R275,Oranlar!S275)-1,-1))</f>
        <v>0.5882352941176472</v>
      </c>
      <c r="AU275" s="16">
        <f>IF(OR(H275=T275,S275=T275),"",IF((H275&gt;T275)=(S275&gt;T275),1,0))</f>
        <v/>
      </c>
      <c r="AV275" s="16">
        <f>IF(OR(L275=V275,U275=V275),"",IF((L275&gt;V275)=(U275&gt;V275),1,0))</f>
        <v/>
      </c>
      <c r="AW275" s="16">
        <f>IF(AND(E275&gt;=J275,E275&lt;=K275),1,0)</f>
        <v>1</v>
      </c>
      <c r="AX275" s="16">
        <f>IF(AND(F275&gt;=N275,F275&lt;=O275),1,0)</f>
        <v>1</v>
      </c>
    </row>
    <row r="276" spans="1:50">
      <c r="A276" s="21">
        <f>Oranlar!A276</f>
        <v>46121</v>
      </c>
      <c r="B276" s="22" t="str">
        <f>Oranlar!C276&amp;" @ "&amp;Oranlar!D276</f>
        <v>CHI @ WAS</v>
      </c>
      <c r="C276" s="23">
        <f>Oranlar!F276</f>
        <v>108</v>
      </c>
      <c r="D276" s="23">
        <f>Oranlar!E276</f>
        <v>119</v>
      </c>
      <c r="E276" s="15">
        <f>C276-D276</f>
        <v>-11</v>
      </c>
      <c r="F276" s="16">
        <f>C276+D276</f>
        <v>227</v>
      </c>
      <c r="G276" s="24">
        <v>0.342</v>
      </c>
      <c r="H276" s="10">
        <v>-3.49</v>
      </c>
      <c r="I276" s="10">
        <v>-4.5</v>
      </c>
      <c r="J276" s="10">
        <v>-23</v>
      </c>
      <c r="K276" s="10">
        <v>14</v>
      </c>
      <c r="L276" s="11">
        <v>240.83</v>
      </c>
      <c r="M276" s="11">
        <v>235.9</v>
      </c>
      <c r="N276" s="11">
        <v>208</v>
      </c>
      <c r="O276" s="11">
        <v>263</v>
      </c>
      <c r="P276" s="11">
        <v>116.52</v>
      </c>
      <c r="Q276" s="11">
        <v>121.7</v>
      </c>
      <c r="R276" s="25">
        <f>Oranlar!Y276</f>
        <v>0.2904564315352697</v>
      </c>
      <c r="S276" s="26">
        <f>-Oranlar!O276</f>
        <v>-6.5</v>
      </c>
      <c r="T276" s="26">
        <f>-Oranlar!I276</f>
        <v>-5.5</v>
      </c>
      <c r="U276" s="27">
        <f>Oranlar!V276</f>
        <v>249.5</v>
      </c>
      <c r="V276" s="27">
        <f>Oranlar!L276</f>
        <v>244.5</v>
      </c>
      <c r="W276" s="28">
        <f>(U276+S276)/2</f>
        <v>121.5</v>
      </c>
      <c r="X276" s="28">
        <f>(U276-S276)/2</f>
        <v>128.0</v>
      </c>
      <c r="Y276" s="16">
        <f>IF(G276=0.5,"",IF((G276&gt;0.5)=(E276&gt;0),1,0))</f>
        <v>1</v>
      </c>
      <c r="Z276" s="16">
        <f>IF(R276=0.5,"",IF((R276&gt;0.5)=(E276&gt;0),1,0))</f>
        <v>1</v>
      </c>
      <c r="AA276" s="29">
        <f>(G276-IF(E276&gt;0,1,0))^2</f>
        <v>0.11696400000000001</v>
      </c>
      <c r="AB276" s="29">
        <f>(R276-IF(E276&gt;0,1,0))^2</f>
        <v>0.0843649386202028</v>
      </c>
      <c r="AC276" s="28">
        <f>ABS(H276-E276)</f>
        <v>7.51</v>
      </c>
      <c r="AD276" s="28">
        <f>ABS(I276-E276)</f>
        <v>6.5</v>
      </c>
      <c r="AE276" s="28">
        <f>ABS(S276-E276)</f>
        <v>4.5</v>
      </c>
      <c r="AF276" s="28">
        <f>ABS(L276-F276)</f>
        <v>13.830000000000013</v>
      </c>
      <c r="AG276" s="28">
        <f>ABS(M276-F276)</f>
        <v>8.900000000000006</v>
      </c>
      <c r="AH276" s="28">
        <f>ABS(U276-F276)</f>
        <v>22.5</v>
      </c>
      <c r="AI276" s="28">
        <f>ABS(P276-C276)</f>
        <v>8.519999999999996</v>
      </c>
      <c r="AJ276" s="28">
        <f>ABS(W276-C276)</f>
        <v>13.5</v>
      </c>
      <c r="AK276" s="28">
        <f>ABS(Q276-D276)</f>
        <v>2.700000000000003</v>
      </c>
      <c r="AL276" s="28">
        <f>ABS(X276-D276)</f>
        <v>9.0</v>
      </c>
      <c r="AM276" s="17" t="str">
        <f>IF(H276&gt;S276,"Ev",IF(H276&lt;S276,"Dep",""))</f>
        <v>Ev</v>
      </c>
      <c r="AN276" s="17" t="str">
        <f>IF(AM276="","",IF(E276=S276,"Push",IF((E276&gt;S276)=(AM276="Ev"),"Kazandı","Kaybetti")))</f>
        <v>Kaybetti</v>
      </c>
      <c r="AO276" s="30">
        <f>IF(AM276="","",IF(AN276="Push",0,IF(AN276="Kazandı",IF(AM276="Ev",Oranlar!P276,Oranlar!Q276)-1,-1)))</f>
        <v>-1.0</v>
      </c>
      <c r="AP276" s="17" t="str">
        <f>IF(L276&gt;U276,"Üst",IF(L276&lt;U276,"Alt",""))</f>
        <v>Alt</v>
      </c>
      <c r="AQ276" s="17" t="str">
        <f>IF(AP276="","",IF(F276=U276,"Push",IF((F276&gt;U276)=(AP276="Üst"),"Kazandı","Kaybetti")))</f>
        <v>Kazandı</v>
      </c>
      <c r="AR276" s="30">
        <f>IF(AP276="","",IF(AQ276="Push",0,IF(AQ276="Kazandı",IF(AP276="Üst",Oranlar!W276,Oranlar!X276)-1,-1)))</f>
        <v>0.8928571428571428</v>
      </c>
      <c r="AS276" s="17" t="str">
        <f>IF(G276*Oranlar!R276&gt;1,"Ev",IF((1-G276)*Oranlar!S276&gt;1,"Dep",""))</f>
        <v>Ev</v>
      </c>
      <c r="AT276" s="30">
        <f>IF(AS276="","",IF((AS276="Ev")=(E276&gt;0),IF(AS276="Ev",Oranlar!R276,Oranlar!S276)-1,-1))</f>
        <v>-1.0</v>
      </c>
      <c r="AU276" s="16">
        <f>IF(OR(H276=T276,S276=T276),"",IF((H276&gt;T276)=(S276&gt;T276),1,0))</f>
        <v>0</v>
      </c>
      <c r="AV276" s="16">
        <f>IF(OR(L276=V276,U276=V276),"",IF((L276&gt;V276)=(U276&gt;V276),1,0))</f>
        <v>0</v>
      </c>
      <c r="AW276" s="16">
        <f>IF(AND(E276&gt;=J276,E276&lt;=K276),1,0)</f>
        <v>1</v>
      </c>
      <c r="AX276" s="16">
        <f>IF(AND(F276&gt;=N276,F276&lt;=O276),1,0)</f>
        <v>1</v>
      </c>
    </row>
    <row r="277" spans="1:50">
      <c r="A277" s="21">
        <f>Oranlar!A277</f>
        <v>46121</v>
      </c>
      <c r="B277" s="22" t="str">
        <f>Oranlar!C277&amp;" @ "&amp;Oranlar!D277</f>
        <v>IND @ BKN</v>
      </c>
      <c r="C277" s="23">
        <f>Oranlar!F277</f>
        <v>94</v>
      </c>
      <c r="D277" s="23">
        <f>Oranlar!E277</f>
        <v>123</v>
      </c>
      <c r="E277" s="15">
        <f>C277-D277</f>
        <v>-29</v>
      </c>
      <c r="F277" s="16">
        <f>C277+D277</f>
        <v>217</v>
      </c>
      <c r="G277" s="24">
        <v>0.431</v>
      </c>
      <c r="H277" s="10">
        <v>-0.03</v>
      </c>
      <c r="I277" s="10">
        <v>-1.2</v>
      </c>
      <c r="J277" s="10">
        <v>-19</v>
      </c>
      <c r="K277" s="10">
        <v>17</v>
      </c>
      <c r="L277" s="11">
        <v>222.72</v>
      </c>
      <c r="M277" s="11">
        <v>219.9</v>
      </c>
      <c r="N277" s="11">
        <v>193</v>
      </c>
      <c r="O277" s="11">
        <v>246</v>
      </c>
      <c r="P277" s="11">
        <v>110.53</v>
      </c>
      <c r="Q277" s="11">
        <v>112.33</v>
      </c>
      <c r="R277" s="25">
        <f>Oranlar!Y277</f>
        <v>0.4066302458405761</v>
      </c>
      <c r="S277" s="26">
        <f>-Oranlar!O277</f>
        <v>-3.5</v>
      </c>
      <c r="T277" s="26">
        <f>-Oranlar!I277</f>
        <v>-1.5</v>
      </c>
      <c r="U277" s="27">
        <f>Oranlar!V277</f>
        <v>224.5</v>
      </c>
      <c r="V277" s="27">
        <f>Oranlar!L277</f>
        <v>223.5</v>
      </c>
      <c r="W277" s="28">
        <f>(U277+S277)/2</f>
        <v>110.5</v>
      </c>
      <c r="X277" s="28">
        <f>(U277-S277)/2</f>
        <v>114.0</v>
      </c>
      <c r="Y277" s="16">
        <f>IF(G277=0.5,"",IF((G277&gt;0.5)=(E277&gt;0),1,0))</f>
        <v>1</v>
      </c>
      <c r="Z277" s="16">
        <f>IF(R277=0.5,"",IF((R277&gt;0.5)=(E277&gt;0),1,0))</f>
        <v>1</v>
      </c>
      <c r="AA277" s="29">
        <f>(G277-IF(E277&gt;0,1,0))^2</f>
        <v>0.18576099999999998</v>
      </c>
      <c r="AB277" s="29">
        <f>(R277-IF(E277&gt;0,1,0))^2</f>
        <v>0.16534815683236737</v>
      </c>
      <c r="AC277" s="28">
        <f>ABS(H277-E277)</f>
        <v>28.97</v>
      </c>
      <c r="AD277" s="28">
        <f>ABS(I277-E277)</f>
        <v>27.8</v>
      </c>
      <c r="AE277" s="28">
        <f>ABS(S277-E277)</f>
        <v>25.5</v>
      </c>
      <c r="AF277" s="28">
        <f>ABS(L277-F277)</f>
        <v>5.719999999999999</v>
      </c>
      <c r="AG277" s="28">
        <f>ABS(M277-F277)</f>
        <v>2.9000000000000057</v>
      </c>
      <c r="AH277" s="28">
        <f>ABS(U277-F277)</f>
        <v>7.5</v>
      </c>
      <c r="AI277" s="28">
        <f>ABS(P277-C277)</f>
        <v>16.53</v>
      </c>
      <c r="AJ277" s="28">
        <f>ABS(W277-C277)</f>
        <v>16.5</v>
      </c>
      <c r="AK277" s="28">
        <f>ABS(Q277-D277)</f>
        <v>10.670000000000002</v>
      </c>
      <c r="AL277" s="28">
        <f>ABS(X277-D277)</f>
        <v>9.0</v>
      </c>
      <c r="AM277" s="17" t="str">
        <f>IF(H277&gt;S277,"Ev",IF(H277&lt;S277,"Dep",""))</f>
        <v>Ev</v>
      </c>
      <c r="AN277" s="17" t="str">
        <f>IF(AM277="","",IF(E277=S277,"Push",IF((E277&gt;S277)=(AM277="Ev"),"Kazandı","Kaybetti")))</f>
        <v>Kaybetti</v>
      </c>
      <c r="AO277" s="30">
        <f>IF(AM277="","",IF(AN277="Push",0,IF(AN277="Kazandı",IF(AM277="Ev",Oranlar!P277,Oranlar!Q277)-1,-1)))</f>
        <v>-1.0</v>
      </c>
      <c r="AP277" s="17" t="str">
        <f>IF(L277&gt;U277,"Üst",IF(L277&lt;U277,"Alt",""))</f>
        <v>Alt</v>
      </c>
      <c r="AQ277" s="17" t="str">
        <f>IF(AP277="","",IF(F277=U277,"Push",IF((F277&gt;U277)=(AP277="Üst"),"Kazandı","Kaybetti")))</f>
        <v>Kazandı</v>
      </c>
      <c r="AR277" s="30">
        <f>IF(AP277="","",IF(AQ277="Push",0,IF(AQ277="Kazandı",IF(AP277="Üst",Oranlar!W277,Oranlar!X277)-1,-1)))</f>
        <v>0.9090909090909092</v>
      </c>
      <c r="AS277" s="17" t="str">
        <f>IF(G277*Oranlar!R277&gt;1,"Ev",IF((1-G277)*Oranlar!S277&gt;1,"Dep",""))</f>
        <v>Ev</v>
      </c>
      <c r="AT277" s="30">
        <f>IF(AS277="","",IF((AS277="Ev")=(E277&gt;0),IF(AS277="Ev",Oranlar!R277,Oranlar!S277)-1,-1))</f>
        <v>-1.0</v>
      </c>
      <c r="AU277" s="16">
        <f>IF(OR(H277=T277,S277=T277),"",IF((H277&gt;T277)=(S277&gt;T277),1,0))</f>
        <v>0</v>
      </c>
      <c r="AV277" s="16">
        <f>IF(OR(L277=V277,U277=V277),"",IF((L277&gt;V277)=(U277&gt;V277),1,0))</f>
        <v>0</v>
      </c>
      <c r="AW277" s="16">
        <f>IF(AND(E277&gt;=J277,E277&lt;=K277),1,0)</f>
        <v>0</v>
      </c>
      <c r="AX277" s="16">
        <f>IF(AND(F277&gt;=N277,F277&lt;=O277),1,0)</f>
        <v>1</v>
      </c>
    </row>
    <row r="278" spans="1:50">
      <c r="A278" s="21">
        <f>Oranlar!A278</f>
        <v>46121</v>
      </c>
      <c r="B278" s="22" t="str">
        <f>Oranlar!C278&amp;" @ "&amp;Oranlar!D278</f>
        <v>BOS @ NYK</v>
      </c>
      <c r="C278" s="23">
        <f>Oranlar!F278</f>
        <v>112</v>
      </c>
      <c r="D278" s="23">
        <f>Oranlar!E278</f>
        <v>106</v>
      </c>
      <c r="E278" s="15">
        <f>C278-D278</f>
        <v>6</v>
      </c>
      <c r="F278" s="16">
        <f>C278+D278</f>
        <v>218</v>
      </c>
      <c r="G278" s="24">
        <v>0.473</v>
      </c>
      <c r="H278" s="10">
        <v>-0.2</v>
      </c>
      <c r="I278" s="10">
        <v>-0.8</v>
      </c>
      <c r="J278" s="10">
        <v>-19</v>
      </c>
      <c r="K278" s="10">
        <v>17</v>
      </c>
      <c r="L278" s="11">
        <v>223.83</v>
      </c>
      <c r="M278" s="11">
        <v>224.8</v>
      </c>
      <c r="N278" s="11">
        <v>198</v>
      </c>
      <c r="O278" s="11">
        <v>252</v>
      </c>
      <c r="P278" s="11">
        <v>112</v>
      </c>
      <c r="Q278" s="11">
        <v>113.53</v>
      </c>
      <c r="R278" s="25">
        <f>Oranlar!Y278</f>
        <v>0.593369754159424</v>
      </c>
      <c r="S278" s="26">
        <f>-Oranlar!O278</f>
        <v>3.5</v>
      </c>
      <c r="T278" s="26">
        <f>-Oranlar!I278</f>
        <v>3.5</v>
      </c>
      <c r="U278" s="27">
        <f>Oranlar!V278</f>
        <v>210.5</v>
      </c>
      <c r="V278" s="27">
        <f>Oranlar!L278</f>
        <v>217.5</v>
      </c>
      <c r="W278" s="28">
        <f>(U278+S278)/2</f>
        <v>107.0</v>
      </c>
      <c r="X278" s="28">
        <f>(U278-S278)/2</f>
        <v>103.5</v>
      </c>
      <c r="Y278" s="16">
        <f>IF(G278=0.5,"",IF((G278&gt;0.5)=(E278&gt;0),1,0))</f>
        <v>0</v>
      </c>
      <c r="Z278" s="16">
        <f>IF(R278=0.5,"",IF((R278&gt;0.5)=(E278&gt;0),1,0))</f>
        <v>1</v>
      </c>
      <c r="AA278" s="29">
        <f>(G278-IF(E278&gt;0,1,0))^2</f>
        <v>0.277729</v>
      </c>
      <c r="AB278" s="29">
        <f>(R278-IF(E278&gt;0,1,0))^2</f>
        <v>0.1653481568323673</v>
      </c>
      <c r="AC278" s="28">
        <f>ABS(H278-E278)</f>
        <v>6.2</v>
      </c>
      <c r="AD278" s="28">
        <f>ABS(I278-E278)</f>
        <v>6.8</v>
      </c>
      <c r="AE278" s="28">
        <f>ABS(S278-E278)</f>
        <v>2.5</v>
      </c>
      <c r="AF278" s="28">
        <f>ABS(L278-F278)</f>
        <v>5.8300000000000125</v>
      </c>
      <c r="AG278" s="28">
        <f>ABS(M278-F278)</f>
        <v>6.800000000000011</v>
      </c>
      <c r="AH278" s="28">
        <f>ABS(U278-F278)</f>
        <v>7.5</v>
      </c>
      <c r="AI278" s="28">
        <f>ABS(P278-C278)</f>
        <v>0.0</v>
      </c>
      <c r="AJ278" s="28">
        <f>ABS(W278-C278)</f>
        <v>5.0</v>
      </c>
      <c r="AK278" s="28">
        <f>ABS(Q278-D278)</f>
        <v>7.530000000000001</v>
      </c>
      <c r="AL278" s="28">
        <f>ABS(X278-D278)</f>
        <v>2.5</v>
      </c>
      <c r="AM278" s="17" t="str">
        <f>IF(H278&gt;S278,"Ev",IF(H278&lt;S278,"Dep",""))</f>
        <v>Dep</v>
      </c>
      <c r="AN278" s="17" t="str">
        <f>IF(AM278="","",IF(E278=S278,"Push",IF((E278&gt;S278)=(AM278="Ev"),"Kazandı","Kaybetti")))</f>
        <v>Kaybetti</v>
      </c>
      <c r="AO278" s="30">
        <f>IF(AM278="","",IF(AN278="Push",0,IF(AN278="Kazandı",IF(AM278="Ev",Oranlar!P278,Oranlar!Q278)-1,-1)))</f>
        <v>-1.0</v>
      </c>
      <c r="AP278" s="17" t="str">
        <f>IF(L278&gt;U278,"Üst",IF(L278&lt;U278,"Alt",""))</f>
        <v>Üst</v>
      </c>
      <c r="AQ278" s="17" t="str">
        <f>IF(AP278="","",IF(F278=U278,"Push",IF((F278&gt;U278)=(AP278="Üst"),"Kazandı","Kaybetti")))</f>
        <v>Kazandı</v>
      </c>
      <c r="AR278" s="30">
        <f>IF(AP278="","",IF(AQ278="Push",0,IF(AQ278="Kazandı",IF(AP278="Üst",Oranlar!W278,Oranlar!X278)-1,-1)))</f>
        <v>0.8695652173913042</v>
      </c>
      <c r="AS278" s="17" t="str">
        <f>IF(G278*Oranlar!R278&gt;1,"Ev",IF((1-G278)*Oranlar!S278&gt;1,"Dep",""))</f>
        <v>Dep</v>
      </c>
      <c r="AT278" s="30">
        <f>IF(AS278="","",IF((AS278="Ev")=(E278&gt;0),IF(AS278="Ev",Oranlar!R278,Oranlar!S278)-1,-1))</f>
        <v>-1.0</v>
      </c>
      <c r="AU278" s="16">
        <f>IF(OR(H278=T278,S278=T278),"",IF((H278&gt;T278)=(S278&gt;T278),1,0))</f>
        <v/>
      </c>
      <c r="AV278" s="16">
        <f>IF(OR(L278=V278,U278=V278),"",IF((L278&gt;V278)=(U278&gt;V278),1,0))</f>
        <v>0</v>
      </c>
      <c r="AW278" s="16">
        <f>IF(AND(E278&gt;=J278,E278&lt;=K278),1,0)</f>
        <v>1</v>
      </c>
      <c r="AX278" s="16">
        <f>IF(AND(F278&gt;=N278,F278&lt;=O278),1,0)</f>
        <v>1</v>
      </c>
    </row>
    <row r="279" spans="1:50">
      <c r="A279" s="21">
        <f>Oranlar!A279</f>
        <v>46121</v>
      </c>
      <c r="B279" s="22" t="str">
        <f>Oranlar!C279&amp;" @ "&amp;Oranlar!D279</f>
        <v>PHI @ HOU</v>
      </c>
      <c r="C279" s="23">
        <f>Oranlar!F279</f>
        <v>113</v>
      </c>
      <c r="D279" s="23">
        <f>Oranlar!E279</f>
        <v>102</v>
      </c>
      <c r="E279" s="15">
        <f>C279-D279</f>
        <v>11</v>
      </c>
      <c r="F279" s="16">
        <f>C279+D279</f>
        <v>215</v>
      </c>
      <c r="G279" s="24">
        <v>0.666</v>
      </c>
      <c r="H279" s="10">
        <v>4.16</v>
      </c>
      <c r="I279" s="10">
        <v>4.6</v>
      </c>
      <c r="J279" s="10">
        <v>-14</v>
      </c>
      <c r="K279" s="10">
        <v>23</v>
      </c>
      <c r="L279" s="11">
        <v>232.4</v>
      </c>
      <c r="M279" s="11">
        <v>233.9</v>
      </c>
      <c r="N279" s="11">
        <v>206</v>
      </c>
      <c r="O279" s="11">
        <v>262</v>
      </c>
      <c r="P279" s="11">
        <v>118.77</v>
      </c>
      <c r="Q279" s="11">
        <v>113.59</v>
      </c>
      <c r="R279" s="25">
        <f>Oranlar!Y279</f>
        <v>0.690792883054068</v>
      </c>
      <c r="S279" s="26">
        <f>-Oranlar!O279</f>
        <v>6.5</v>
      </c>
      <c r="T279" s="26">
        <f>-Oranlar!I279</f>
        <v>3.5</v>
      </c>
      <c r="U279" s="27">
        <f>Oranlar!V279</f>
        <v>226.5</v>
      </c>
      <c r="V279" s="27">
        <f>Oranlar!L279</f>
        <v>226.5</v>
      </c>
      <c r="W279" s="28">
        <f>(U279+S279)/2</f>
        <v>116.5</v>
      </c>
      <c r="X279" s="28">
        <f>(U279-S279)/2</f>
        <v>110.0</v>
      </c>
      <c r="Y279" s="16">
        <f>IF(G279=0.5,"",IF((G279&gt;0.5)=(E279&gt;0),1,0))</f>
        <v>1</v>
      </c>
      <c r="Z279" s="16">
        <f>IF(R279=0.5,"",IF((R279&gt;0.5)=(E279&gt;0),1,0))</f>
        <v>1</v>
      </c>
      <c r="AA279" s="29">
        <f>(G279-IF(E279&gt;0,1,0))^2</f>
        <v>0.11155599999999997</v>
      </c>
      <c r="AB279" s="29">
        <f>(R279-IF(E279&gt;0,1,0))^2</f>
        <v>0.09560904117001523</v>
      </c>
      <c r="AC279" s="28">
        <f>ABS(H279-E279)</f>
        <v>6.84</v>
      </c>
      <c r="AD279" s="28">
        <f>ABS(I279-E279)</f>
        <v>6.4</v>
      </c>
      <c r="AE279" s="28">
        <f>ABS(S279-E279)</f>
        <v>4.5</v>
      </c>
      <c r="AF279" s="28">
        <f>ABS(L279-F279)</f>
        <v>17.400000000000006</v>
      </c>
      <c r="AG279" s="28">
        <f>ABS(M279-F279)</f>
        <v>18.900000000000006</v>
      </c>
      <c r="AH279" s="28">
        <f>ABS(U279-F279)</f>
        <v>11.5</v>
      </c>
      <c r="AI279" s="28">
        <f>ABS(P279-C279)</f>
        <v>5.769999999999996</v>
      </c>
      <c r="AJ279" s="28">
        <f>ABS(W279-C279)</f>
        <v>3.5</v>
      </c>
      <c r="AK279" s="28">
        <f>ABS(Q279-D279)</f>
        <v>11.590000000000003</v>
      </c>
      <c r="AL279" s="28">
        <f>ABS(X279-D279)</f>
        <v>8.0</v>
      </c>
      <c r="AM279" s="17" t="str">
        <f>IF(H279&gt;S279,"Ev",IF(H279&lt;S279,"Dep",""))</f>
        <v>Dep</v>
      </c>
      <c r="AN279" s="17" t="str">
        <f>IF(AM279="","",IF(E279=S279,"Push",IF((E279&gt;S279)=(AM279="Ev"),"Kazandı","Kaybetti")))</f>
        <v>Kaybetti</v>
      </c>
      <c r="AO279" s="30">
        <f>IF(AM279="","",IF(AN279="Push",0,IF(AN279="Kazandı",IF(AM279="Ev",Oranlar!P279,Oranlar!Q279)-1,-1)))</f>
        <v>-1.0</v>
      </c>
      <c r="AP279" s="17" t="str">
        <f>IF(L279&gt;U279,"Üst",IF(L279&lt;U279,"Alt",""))</f>
        <v>Üst</v>
      </c>
      <c r="AQ279" s="17" t="str">
        <f>IF(AP279="","",IF(F279=U279,"Push",IF((F279&gt;U279)=(AP279="Üst"),"Kazandı","Kaybetti")))</f>
        <v>Kaybetti</v>
      </c>
      <c r="AR279" s="30">
        <f>IF(AP279="","",IF(AQ279="Push",0,IF(AQ279="Kazandı",IF(AP279="Üst",Oranlar!W279,Oranlar!X279)-1,-1)))</f>
        <v>-1.0</v>
      </c>
      <c r="AS279" s="17" t="str">
        <f>IF(G279*Oranlar!R279&gt;1,"Ev",IF((1-G279)*Oranlar!S279&gt;1,"Dep",""))</f>
        <v>Dep</v>
      </c>
      <c r="AT279" s="30">
        <f>IF(AS279="","",IF((AS279="Ev")=(E279&gt;0),IF(AS279="Ev",Oranlar!R279,Oranlar!S279)-1,-1))</f>
        <v>-1.0</v>
      </c>
      <c r="AU279" s="16">
        <f>IF(OR(H279=T279,S279=T279),"",IF((H279&gt;T279)=(S279&gt;T279),1,0))</f>
        <v>1</v>
      </c>
      <c r="AV279" s="16">
        <f>IF(OR(L279=V279,U279=V279),"",IF((L279&gt;V279)=(U279&gt;V279),1,0))</f>
        <v/>
      </c>
      <c r="AW279" s="16">
        <f>IF(AND(E279&gt;=J279,E279&lt;=K279),1,0)</f>
        <v>1</v>
      </c>
      <c r="AX279" s="16">
        <f>IF(AND(F279&gt;=N279,F279&lt;=O279),1,0)</f>
        <v>1</v>
      </c>
    </row>
    <row r="280" spans="1:50">
      <c r="A280" s="21">
        <f>Oranlar!A280</f>
        <v>46121</v>
      </c>
      <c r="B280" s="22" t="str">
        <f>Oranlar!C280&amp;" @ "&amp;Oranlar!D280</f>
        <v>LAL @ GSW</v>
      </c>
      <c r="C280" s="23">
        <f>Oranlar!F280</f>
        <v>103</v>
      </c>
      <c r="D280" s="23">
        <f>Oranlar!E280</f>
        <v>119</v>
      </c>
      <c r="E280" s="15">
        <f>C280-D280</f>
        <v>-16</v>
      </c>
      <c r="F280" s="16">
        <f>C280+D280</f>
        <v>222</v>
      </c>
      <c r="G280" s="24">
        <v>0.521</v>
      </c>
      <c r="H280" s="10">
        <v>3.7</v>
      </c>
      <c r="I280" s="10">
        <v>-4.2</v>
      </c>
      <c r="J280" s="10">
        <v>-23</v>
      </c>
      <c r="K280" s="10">
        <v>14</v>
      </c>
      <c r="L280" s="11">
        <v>228.28</v>
      </c>
      <c r="M280" s="11">
        <v>231</v>
      </c>
      <c r="N280" s="11">
        <v>203</v>
      </c>
      <c r="O280" s="11">
        <v>258</v>
      </c>
      <c r="P280" s="11">
        <v>115.48</v>
      </c>
      <c r="Q280" s="11">
        <v>114.68</v>
      </c>
      <c r="R280" s="25">
        <f>Oranlar!Y280</f>
        <v>0.5173641257162701</v>
      </c>
      <c r="S280" s="26">
        <f>-Oranlar!O280</f>
        <v>1.5</v>
      </c>
      <c r="T280" s="26">
        <f>-Oranlar!I280</f>
        <v>5.5</v>
      </c>
      <c r="U280" s="27">
        <f>Oranlar!V280</f>
        <v>222.5</v>
      </c>
      <c r="V280" s="27">
        <f>Oranlar!L280</f>
        <v>225.5</v>
      </c>
      <c r="W280" s="28">
        <f>(U280+S280)/2</f>
        <v>112.0</v>
      </c>
      <c r="X280" s="28">
        <f>(U280-S280)/2</f>
        <v>110.5</v>
      </c>
      <c r="Y280" s="16">
        <f>IF(G280=0.5,"",IF((G280&gt;0.5)=(E280&gt;0),1,0))</f>
        <v>0</v>
      </c>
      <c r="Z280" s="16">
        <f>IF(R280=0.5,"",IF((R280&gt;0.5)=(E280&gt;0),1,0))</f>
        <v>0</v>
      </c>
      <c r="AA280" s="29">
        <f>(G280-IF(E280&gt;0,1,0))^2</f>
        <v>0.27144100000000004</v>
      </c>
      <c r="AB280" s="29">
        <f>(R280-IF(E280&gt;0,1,0))^2</f>
        <v>0.26766563857816056</v>
      </c>
      <c r="AC280" s="28">
        <f>ABS(H280-E280)</f>
        <v>19.7</v>
      </c>
      <c r="AD280" s="28">
        <f>ABS(I280-E280)</f>
        <v>11.8</v>
      </c>
      <c r="AE280" s="28">
        <f>ABS(S280-E280)</f>
        <v>17.5</v>
      </c>
      <c r="AF280" s="28">
        <f>ABS(L280-F280)</f>
        <v>6.280000000000001</v>
      </c>
      <c r="AG280" s="28">
        <f>ABS(M280-F280)</f>
        <v>9.0</v>
      </c>
      <c r="AH280" s="28">
        <f>ABS(U280-F280)</f>
        <v>0.5</v>
      </c>
      <c r="AI280" s="28">
        <f>ABS(P280-C280)</f>
        <v>12.480000000000004</v>
      </c>
      <c r="AJ280" s="28">
        <f>ABS(W280-C280)</f>
        <v>9.0</v>
      </c>
      <c r="AK280" s="28">
        <f>ABS(Q280-D280)</f>
        <v>4.319999999999993</v>
      </c>
      <c r="AL280" s="28">
        <f>ABS(X280-D280)</f>
        <v>8.5</v>
      </c>
      <c r="AM280" s="17" t="str">
        <f>IF(H280&gt;S280,"Ev",IF(H280&lt;S280,"Dep",""))</f>
        <v>Ev</v>
      </c>
      <c r="AN280" s="17" t="str">
        <f>IF(AM280="","",IF(E280=S280,"Push",IF((E280&gt;S280)=(AM280="Ev"),"Kazandı","Kaybetti")))</f>
        <v>Kaybetti</v>
      </c>
      <c r="AO280" s="30">
        <f>IF(AM280="","",IF(AN280="Push",0,IF(AN280="Kazandı",IF(AM280="Ev",Oranlar!P280,Oranlar!Q280)-1,-1)))</f>
        <v>-1.0</v>
      </c>
      <c r="AP280" s="17" t="str">
        <f>IF(L280&gt;U280,"Üst",IF(L280&lt;U280,"Alt",""))</f>
        <v>Üst</v>
      </c>
      <c r="AQ280" s="17" t="str">
        <f>IF(AP280="","",IF(F280=U280,"Push",IF((F280&gt;U280)=(AP280="Üst"),"Kazandı","Kaybetti")))</f>
        <v>Kaybetti</v>
      </c>
      <c r="AR280" s="30">
        <f>IF(AP280="","",IF(AQ280="Push",0,IF(AQ280="Kazandı",IF(AP280="Üst",Oranlar!W280,Oranlar!X280)-1,-1)))</f>
        <v>-1.0</v>
      </c>
      <c r="AS280" s="17">
        <f>IF(G280*Oranlar!R280&gt;1,"Ev",IF((1-G280)*Oranlar!S280&gt;1,"Dep",""))</f>
        <v/>
      </c>
      <c r="AT280" s="30">
        <f>IF(AS280="","",IF((AS280="Ev")=(E280&gt;0),IF(AS280="Ev",Oranlar!R280,Oranlar!S280)-1,-1))</f>
        <v/>
      </c>
      <c r="AU280" s="16">
        <f>IF(OR(H280=T280,S280=T280),"",IF((H280&gt;T280)=(S280&gt;T280),1,0))</f>
        <v>1</v>
      </c>
      <c r="AV280" s="16">
        <f>IF(OR(L280=V280,U280=V280),"",IF((L280&gt;V280)=(U280&gt;V280),1,0))</f>
        <v>0</v>
      </c>
      <c r="AW280" s="16">
        <f>IF(AND(E280&gt;=J280,E280&lt;=K280),1,0)</f>
        <v>1</v>
      </c>
      <c r="AX280" s="16">
        <f>IF(AND(F280&gt;=N280,F280&lt;=O280),1,0)</f>
        <v>1</v>
      </c>
    </row>
    <row r="281" spans="1:50">
      <c r="A281" s="21">
        <f>Oranlar!A281</f>
        <v>46122</v>
      </c>
      <c r="B281" s="22" t="str">
        <f>Oranlar!C281&amp;" @ "&amp;Oranlar!D281</f>
        <v>DET @ CHA</v>
      </c>
      <c r="C281" s="23">
        <f>Oranlar!F281</f>
        <v>100</v>
      </c>
      <c r="D281" s="23">
        <f>Oranlar!E281</f>
        <v>118</v>
      </c>
      <c r="E281" s="15">
        <f>C281-D281</f>
        <v>-18</v>
      </c>
      <c r="F281" s="16">
        <f>C281+D281</f>
        <v>218</v>
      </c>
      <c r="G281" s="24">
        <v>0.493</v>
      </c>
      <c r="H281" s="10">
        <v>-1.82</v>
      </c>
      <c r="I281" s="10">
        <v>3.4</v>
      </c>
      <c r="J281" s="10">
        <v>-15</v>
      </c>
      <c r="K281" s="10">
        <v>22</v>
      </c>
      <c r="L281" s="11">
        <v>222.73</v>
      </c>
      <c r="M281" s="11">
        <v>223.9</v>
      </c>
      <c r="N281" s="11">
        <v>197</v>
      </c>
      <c r="O281" s="11">
        <v>251</v>
      </c>
      <c r="P281" s="11">
        <v>112.4</v>
      </c>
      <c r="Q281" s="11">
        <v>111.49</v>
      </c>
      <c r="R281" s="25">
        <f>Oranlar!Y281</f>
        <v>0.6574752261956053</v>
      </c>
      <c r="S281" s="26">
        <f>-Oranlar!O281</f>
        <v>6.5</v>
      </c>
      <c r="T281" s="26">
        <f>-Oranlar!I281</f>
        <v>2.5</v>
      </c>
      <c r="U281" s="27">
        <f>Oranlar!V281</f>
        <v>225.5</v>
      </c>
      <c r="V281" s="27">
        <f>Oranlar!L281</f>
        <v>222.5</v>
      </c>
      <c r="W281" s="28">
        <f>(U281+S281)/2</f>
        <v>116.0</v>
      </c>
      <c r="X281" s="28">
        <f>(U281-S281)/2</f>
        <v>109.5</v>
      </c>
      <c r="Y281" s="16">
        <f>IF(G281=0.5,"",IF((G281&gt;0.5)=(E281&gt;0),1,0))</f>
        <v>1</v>
      </c>
      <c r="Z281" s="16">
        <f>IF(R281=0.5,"",IF((R281&gt;0.5)=(E281&gt;0),1,0))</f>
        <v>0</v>
      </c>
      <c r="AA281" s="29">
        <f>(G281-IF(E281&gt;0,1,0))^2</f>
        <v>0.243049</v>
      </c>
      <c r="AB281" s="29">
        <f>(R281-IF(E281&gt;0,1,0))^2</f>
        <v>0.4322736730609623</v>
      </c>
      <c r="AC281" s="28">
        <f>ABS(H281-E281)</f>
        <v>16.18</v>
      </c>
      <c r="AD281" s="28">
        <f>ABS(I281-E281)</f>
        <v>21.4</v>
      </c>
      <c r="AE281" s="28">
        <f>ABS(S281-E281)</f>
        <v>24.5</v>
      </c>
      <c r="AF281" s="28">
        <f>ABS(L281-F281)</f>
        <v>4.72999999999999</v>
      </c>
      <c r="AG281" s="28">
        <f>ABS(M281-F281)</f>
        <v>5.900000000000006</v>
      </c>
      <c r="AH281" s="28">
        <f>ABS(U281-F281)</f>
        <v>7.5</v>
      </c>
      <c r="AI281" s="28">
        <f>ABS(P281-C281)</f>
        <v>12.400000000000006</v>
      </c>
      <c r="AJ281" s="28">
        <f>ABS(W281-C281)</f>
        <v>16.0</v>
      </c>
      <c r="AK281" s="28">
        <f>ABS(Q281-D281)</f>
        <v>6.510000000000005</v>
      </c>
      <c r="AL281" s="28">
        <f>ABS(X281-D281)</f>
        <v>8.5</v>
      </c>
      <c r="AM281" s="17" t="str">
        <f>IF(H281&gt;S281,"Ev",IF(H281&lt;S281,"Dep",""))</f>
        <v>Dep</v>
      </c>
      <c r="AN281" s="17" t="str">
        <f>IF(AM281="","",IF(E281=S281,"Push",IF((E281&gt;S281)=(AM281="Ev"),"Kazandı","Kaybetti")))</f>
        <v>Kazandı</v>
      </c>
      <c r="AO281" s="30">
        <f>IF(AM281="","",IF(AN281="Push",0,IF(AN281="Kazandı",IF(AM281="Ev",Oranlar!P281,Oranlar!Q281)-1,-1)))</f>
        <v>0.8695652173913042</v>
      </c>
      <c r="AP281" s="17" t="str">
        <f>IF(L281&gt;U281,"Üst",IF(L281&lt;U281,"Alt",""))</f>
        <v>Alt</v>
      </c>
      <c r="AQ281" s="17" t="str">
        <f>IF(AP281="","",IF(F281=U281,"Push",IF((F281&gt;U281)=(AP281="Üst"),"Kazandı","Kaybetti")))</f>
        <v>Kazandı</v>
      </c>
      <c r="AR281" s="30">
        <f>IF(AP281="","",IF(AQ281="Push",0,IF(AQ281="Kazandı",IF(AP281="Üst",Oranlar!W281,Oranlar!X281)-1,-1)))</f>
        <v>0.925925925925926</v>
      </c>
      <c r="AS281" s="17" t="str">
        <f>IF(G281*Oranlar!R281&gt;1,"Ev",IF((1-G281)*Oranlar!S281&gt;1,"Dep",""))</f>
        <v>Dep</v>
      </c>
      <c r="AT281" s="30">
        <f>IF(AS281="","",IF((AS281="Ev")=(E281&gt;0),IF(AS281="Ev",Oranlar!R281,Oranlar!S281)-1,-1))</f>
        <v>1.7999999999999998</v>
      </c>
      <c r="AU281" s="16">
        <f>IF(OR(H281=T281,S281=T281),"",IF((H281&gt;T281)=(S281&gt;T281),1,0))</f>
        <v>0</v>
      </c>
      <c r="AV281" s="16">
        <f>IF(OR(L281=V281,U281=V281),"",IF((L281&gt;V281)=(U281&gt;V281),1,0))</f>
        <v>1</v>
      </c>
      <c r="AW281" s="16">
        <f>IF(AND(E281&gt;=J281,E281&lt;=K281),1,0)</f>
        <v>0</v>
      </c>
      <c r="AX281" s="16">
        <f>IF(AND(F281&gt;=N281,F281&lt;=O281),1,0)</f>
        <v>1</v>
      </c>
    </row>
    <row r="282" spans="1:50">
      <c r="A282" s="21">
        <f>Oranlar!A282</f>
        <v>46122</v>
      </c>
      <c r="B282" s="22" t="str">
        <f>Oranlar!C282&amp;" @ "&amp;Oranlar!D282</f>
        <v>MIA @ WAS</v>
      </c>
      <c r="C282" s="23">
        <f>Oranlar!F282</f>
        <v>117</v>
      </c>
      <c r="D282" s="23">
        <f>Oranlar!E282</f>
        <v>140</v>
      </c>
      <c r="E282" s="15">
        <f>C282-D282</f>
        <v>-23</v>
      </c>
      <c r="F282" s="16">
        <f>C282+D282</f>
        <v>257</v>
      </c>
      <c r="G282" s="24">
        <v>0.308</v>
      </c>
      <c r="H282" s="10">
        <v>-4.72</v>
      </c>
      <c r="I282" s="10">
        <v>-8.5</v>
      </c>
      <c r="J282" s="10">
        <v>-27</v>
      </c>
      <c r="K282" s="10">
        <v>10</v>
      </c>
      <c r="L282" s="11">
        <v>238.47</v>
      </c>
      <c r="M282" s="11">
        <v>236.2</v>
      </c>
      <c r="N282" s="11">
        <v>208</v>
      </c>
      <c r="O282" s="11">
        <v>264</v>
      </c>
      <c r="P282" s="11">
        <v>116.2</v>
      </c>
      <c r="Q282" s="11">
        <v>123.99</v>
      </c>
      <c r="R282" s="25">
        <f>Oranlar!Y282</f>
        <v>0.096045197740113</v>
      </c>
      <c r="S282" s="26">
        <f>-Oranlar!O282</f>
        <v>-15.5</v>
      </c>
      <c r="T282" s="26">
        <f>-Oranlar!I282</f>
        <v>-17.5</v>
      </c>
      <c r="U282" s="27">
        <f>Oranlar!V282</f>
        <v>243.5</v>
      </c>
      <c r="V282" s="27">
        <f>Oranlar!L282</f>
        <v>249.5</v>
      </c>
      <c r="W282" s="28">
        <f>(U282+S282)/2</f>
        <v>114.0</v>
      </c>
      <c r="X282" s="28">
        <f>(U282-S282)/2</f>
        <v>129.5</v>
      </c>
      <c r="Y282" s="16">
        <f>IF(G282=0.5,"",IF((G282&gt;0.5)=(E282&gt;0),1,0))</f>
        <v>1</v>
      </c>
      <c r="Z282" s="16">
        <f>IF(R282=0.5,"",IF((R282&gt;0.5)=(E282&gt;0),1,0))</f>
        <v>1</v>
      </c>
      <c r="AA282" s="29">
        <f>(G282-IF(E282&gt;0,1,0))^2</f>
        <v>0.094864</v>
      </c>
      <c r="AB282" s="29">
        <f>(R282-IF(E282&gt;0,1,0))^2</f>
        <v>0.009224680008937407</v>
      </c>
      <c r="AC282" s="28">
        <f>ABS(H282-E282)</f>
        <v>18.28</v>
      </c>
      <c r="AD282" s="28">
        <f>ABS(I282-E282)</f>
        <v>14.5</v>
      </c>
      <c r="AE282" s="28">
        <f>ABS(S282-E282)</f>
        <v>7.5</v>
      </c>
      <c r="AF282" s="28">
        <f>ABS(L282-F282)</f>
        <v>18.53</v>
      </c>
      <c r="AG282" s="28">
        <f>ABS(M282-F282)</f>
        <v>20.80000000000001</v>
      </c>
      <c r="AH282" s="28">
        <f>ABS(U282-F282)</f>
        <v>13.5</v>
      </c>
      <c r="AI282" s="28">
        <f>ABS(P282-C282)</f>
        <v>0.7999999999999972</v>
      </c>
      <c r="AJ282" s="28">
        <f>ABS(W282-C282)</f>
        <v>3.0</v>
      </c>
      <c r="AK282" s="28">
        <f>ABS(Q282-D282)</f>
        <v>16.010000000000005</v>
      </c>
      <c r="AL282" s="28">
        <f>ABS(X282-D282)</f>
        <v>10.5</v>
      </c>
      <c r="AM282" s="17" t="str">
        <f>IF(H282&gt;S282,"Ev",IF(H282&lt;S282,"Dep",""))</f>
        <v>Ev</v>
      </c>
      <c r="AN282" s="17" t="str">
        <f>IF(AM282="","",IF(E282=S282,"Push",IF((E282&gt;S282)=(AM282="Ev"),"Kazandı","Kaybetti")))</f>
        <v>Kaybetti</v>
      </c>
      <c r="AO282" s="30">
        <f>IF(AM282="","",IF(AN282="Push",0,IF(AN282="Kazandı",IF(AM282="Ev",Oranlar!P282,Oranlar!Q282)-1,-1)))</f>
        <v>-1.0</v>
      </c>
      <c r="AP282" s="17" t="str">
        <f>IF(L282&gt;U282,"Üst",IF(L282&lt;U282,"Alt",""))</f>
        <v>Alt</v>
      </c>
      <c r="AQ282" s="17" t="str">
        <f>IF(AP282="","",IF(F282=U282,"Push",IF((F282&gt;U282)=(AP282="Üst"),"Kazandı","Kaybetti")))</f>
        <v>Kaybetti</v>
      </c>
      <c r="AR282" s="30">
        <f>IF(AP282="","",IF(AQ282="Push",0,IF(AQ282="Kazandı",IF(AP282="Üst",Oranlar!W282,Oranlar!X282)-1,-1)))</f>
        <v>-1.0</v>
      </c>
      <c r="AS282" s="17" t="str">
        <f>IF(G282*Oranlar!R282&gt;1,"Ev",IF((1-G282)*Oranlar!S282&gt;1,"Dep",""))</f>
        <v>Ev</v>
      </c>
      <c r="AT282" s="30">
        <f>IF(AS282="","",IF((AS282="Ev")=(E282&gt;0),IF(AS282="Ev",Oranlar!R282,Oranlar!S282)-1,-1))</f>
        <v>-1.0</v>
      </c>
      <c r="AU282" s="16">
        <f>IF(OR(H282=T282,S282=T282),"",IF((H282&gt;T282)=(S282&gt;T282),1,0))</f>
        <v>1</v>
      </c>
      <c r="AV282" s="16">
        <f>IF(OR(L282=V282,U282=V282),"",IF((L282&gt;V282)=(U282&gt;V282),1,0))</f>
        <v>1</v>
      </c>
      <c r="AW282" s="16">
        <f>IF(AND(E282&gt;=J282,E282&lt;=K282),1,0)</f>
        <v>1</v>
      </c>
      <c r="AX282" s="16">
        <f>IF(AND(F282&gt;=N282,F282&lt;=O282),1,0)</f>
        <v>1</v>
      </c>
    </row>
    <row r="283" spans="1:50">
      <c r="A283" s="21">
        <f>Oranlar!A283</f>
        <v>46122</v>
      </c>
      <c r="B283" s="22" t="str">
        <f>Oranlar!C283&amp;" @ "&amp;Oranlar!D283</f>
        <v>CLE @ ATL</v>
      </c>
      <c r="C283" s="23">
        <f>Oranlar!F283</f>
        <v>124</v>
      </c>
      <c r="D283" s="23">
        <f>Oranlar!E283</f>
        <v>102</v>
      </c>
      <c r="E283" s="15">
        <f>C283-D283</f>
        <v>22</v>
      </c>
      <c r="F283" s="16">
        <f>C283+D283</f>
        <v>226</v>
      </c>
      <c r="G283" s="24">
        <v>0.668</v>
      </c>
      <c r="H283" s="10">
        <v>7.84</v>
      </c>
      <c r="I283" s="10">
        <v>8.300000000000001</v>
      </c>
      <c r="J283" s="10">
        <v>-10</v>
      </c>
      <c r="K283" s="10">
        <v>27</v>
      </c>
      <c r="L283" s="11">
        <v>235.21</v>
      </c>
      <c r="M283" s="11">
        <v>236.2</v>
      </c>
      <c r="N283" s="11">
        <v>208</v>
      </c>
      <c r="O283" s="11">
        <v>264</v>
      </c>
      <c r="P283" s="11">
        <v>122.57</v>
      </c>
      <c r="Q283" s="11">
        <v>113.16</v>
      </c>
      <c r="R283" s="25">
        <f>Oranlar!Y283</f>
        <v>0.7477827050997783</v>
      </c>
      <c r="S283" s="26">
        <f>-Oranlar!O283</f>
        <v>8.5</v>
      </c>
      <c r="T283" s="26">
        <f>-Oranlar!I283</f>
        <v>6.5</v>
      </c>
      <c r="U283" s="27">
        <f>Oranlar!V283</f>
        <v>233.5</v>
      </c>
      <c r="V283" s="27">
        <f>Oranlar!L283</f>
        <v>234.5</v>
      </c>
      <c r="W283" s="28">
        <f>(U283+S283)/2</f>
        <v>121.0</v>
      </c>
      <c r="X283" s="28">
        <f>(U283-S283)/2</f>
        <v>112.5</v>
      </c>
      <c r="Y283" s="16">
        <f>IF(G283=0.5,"",IF((G283&gt;0.5)=(E283&gt;0),1,0))</f>
        <v>1</v>
      </c>
      <c r="Z283" s="16">
        <f>IF(R283=0.5,"",IF((R283&gt;0.5)=(E283&gt;0),1,0))</f>
        <v>1</v>
      </c>
      <c r="AA283" s="29">
        <f>(G283-IF(E283&gt;0,1,0))^2</f>
        <v>0.11022399999999997</v>
      </c>
      <c r="AB283" s="29">
        <f>(R283-IF(E283&gt;0,1,0))^2</f>
        <v>0.0636135638467854</v>
      </c>
      <c r="AC283" s="28">
        <f>ABS(H283-E283)</f>
        <v>14.16</v>
      </c>
      <c r="AD283" s="28">
        <f>ABS(I283-E283)</f>
        <v>13.7</v>
      </c>
      <c r="AE283" s="28">
        <f>ABS(S283-E283)</f>
        <v>13.5</v>
      </c>
      <c r="AF283" s="28">
        <f>ABS(L283-F283)</f>
        <v>9.210000000000008</v>
      </c>
      <c r="AG283" s="28">
        <f>ABS(M283-F283)</f>
        <v>10.199999999999989</v>
      </c>
      <c r="AH283" s="28">
        <f>ABS(U283-F283)</f>
        <v>7.5</v>
      </c>
      <c r="AI283" s="28">
        <f>ABS(P283-C283)</f>
        <v>1.4300000000000068</v>
      </c>
      <c r="AJ283" s="28">
        <f>ABS(W283-C283)</f>
        <v>3.0</v>
      </c>
      <c r="AK283" s="28">
        <f>ABS(Q283-D283)</f>
        <v>11.159999999999997</v>
      </c>
      <c r="AL283" s="28">
        <f>ABS(X283-D283)</f>
        <v>10.5</v>
      </c>
      <c r="AM283" s="17" t="str">
        <f>IF(H283&gt;S283,"Ev",IF(H283&lt;S283,"Dep",""))</f>
        <v>Dep</v>
      </c>
      <c r="AN283" s="17" t="str">
        <f>IF(AM283="","",IF(E283=S283,"Push",IF((E283&gt;S283)=(AM283="Ev"),"Kazandı","Kaybetti")))</f>
        <v>Kaybetti</v>
      </c>
      <c r="AO283" s="30">
        <f>IF(AM283="","",IF(AN283="Push",0,IF(AN283="Kazandı",IF(AM283="Ev",Oranlar!P283,Oranlar!Q283)-1,-1)))</f>
        <v>-1.0</v>
      </c>
      <c r="AP283" s="17" t="str">
        <f>IF(L283&gt;U283,"Üst",IF(L283&lt;U283,"Alt",""))</f>
        <v>Üst</v>
      </c>
      <c r="AQ283" s="17" t="str">
        <f>IF(AP283="","",IF(F283=U283,"Push",IF((F283&gt;U283)=(AP283="Üst"),"Kazandı","Kaybetti")))</f>
        <v>Kaybetti</v>
      </c>
      <c r="AR283" s="30">
        <f>IF(AP283="","",IF(AQ283="Push",0,IF(AQ283="Kazandı",IF(AP283="Üst",Oranlar!W283,Oranlar!X283)-1,-1)))</f>
        <v>-1.0</v>
      </c>
      <c r="AS283" s="17" t="str">
        <f>IF(G283*Oranlar!R283&gt;1,"Ev",IF((1-G283)*Oranlar!S283&gt;1,"Dep",""))</f>
        <v>Dep</v>
      </c>
      <c r="AT283" s="30">
        <f>IF(AS283="","",IF((AS283="Ev")=(E283&gt;0),IF(AS283="Ev",Oranlar!R283,Oranlar!S283)-1,-1))</f>
        <v>-1.0</v>
      </c>
      <c r="AU283" s="16">
        <f>IF(OR(H283=T283,S283=T283),"",IF((H283&gt;T283)=(S283&gt;T283),1,0))</f>
        <v>1</v>
      </c>
      <c r="AV283" s="16">
        <f>IF(OR(L283=V283,U283=V283),"",IF((L283&gt;V283)=(U283&gt;V283),1,0))</f>
        <v>0</v>
      </c>
      <c r="AW283" s="16">
        <f>IF(AND(E283&gt;=J283,E283&lt;=K283),1,0)</f>
        <v>1</v>
      </c>
      <c r="AX283" s="16">
        <f>IF(AND(F283&gt;=N283,F283&lt;=O283),1,0)</f>
        <v>1</v>
      </c>
    </row>
    <row r="284" spans="1:50">
      <c r="A284" s="21">
        <f>Oranlar!A284</f>
        <v>46122</v>
      </c>
      <c r="B284" s="22" t="str">
        <f>Oranlar!C284&amp;" @ "&amp;Oranlar!D284</f>
        <v>NOP @ BOS</v>
      </c>
      <c r="C284" s="23">
        <f>Oranlar!F284</f>
        <v>144</v>
      </c>
      <c r="D284" s="23">
        <f>Oranlar!E284</f>
        <v>118</v>
      </c>
      <c r="E284" s="15">
        <f>C284-D284</f>
        <v>26</v>
      </c>
      <c r="F284" s="16">
        <f>C284+D284</f>
        <v>262</v>
      </c>
      <c r="G284" s="24">
        <v>0.867</v>
      </c>
      <c r="H284" s="10">
        <v>19.63</v>
      </c>
      <c r="I284" s="10">
        <v>18.9</v>
      </c>
      <c r="J284" s="10">
        <v>0</v>
      </c>
      <c r="K284" s="10">
        <v>37</v>
      </c>
      <c r="L284" s="11">
        <v>230.01</v>
      </c>
      <c r="M284" s="11">
        <v>229.1</v>
      </c>
      <c r="N284" s="11">
        <v>202</v>
      </c>
      <c r="O284" s="11">
        <v>256</v>
      </c>
      <c r="P284" s="11">
        <v>123.85</v>
      </c>
      <c r="Q284" s="11">
        <v>106.01</v>
      </c>
      <c r="R284" s="25">
        <f>Oranlar!Y284</f>
        <v>0.9197080291970803</v>
      </c>
      <c r="S284" s="26">
        <f>-Oranlar!O284</f>
        <v>18.5</v>
      </c>
      <c r="T284" s="26">
        <f>-Oranlar!I284</f>
        <v>16.5</v>
      </c>
      <c r="U284" s="27">
        <f>Oranlar!V284</f>
        <v>227.5</v>
      </c>
      <c r="V284" s="27">
        <f>Oranlar!L284</f>
        <v>224.5</v>
      </c>
      <c r="W284" s="28">
        <f>(U284+S284)/2</f>
        <v>123.0</v>
      </c>
      <c r="X284" s="28">
        <f>(U284-S284)/2</f>
        <v>104.5</v>
      </c>
      <c r="Y284" s="16">
        <f>IF(G284=0.5,"",IF((G284&gt;0.5)=(E284&gt;0),1,0))</f>
        <v>1</v>
      </c>
      <c r="Z284" s="16">
        <f>IF(R284=0.5,"",IF((R284&gt;0.5)=(E284&gt;0),1,0))</f>
        <v>1</v>
      </c>
      <c r="AA284" s="29">
        <f>(G284-IF(E284&gt;0,1,0))^2</f>
        <v>0.017689000000000003</v>
      </c>
      <c r="AB284" s="29">
        <f>(R284-IF(E284&gt;0,1,0))^2</f>
        <v>0.006446800575416913</v>
      </c>
      <c r="AC284" s="28">
        <f>ABS(H284-E284)</f>
        <v>6.370000000000001</v>
      </c>
      <c r="AD284" s="28">
        <f>ABS(I284-E284)</f>
        <v>7.100000000000001</v>
      </c>
      <c r="AE284" s="28">
        <f>ABS(S284-E284)</f>
        <v>7.5</v>
      </c>
      <c r="AF284" s="28">
        <f>ABS(L284-F284)</f>
        <v>31.99000000000001</v>
      </c>
      <c r="AG284" s="28">
        <f>ABS(M284-F284)</f>
        <v>32.900000000000006</v>
      </c>
      <c r="AH284" s="28">
        <f>ABS(U284-F284)</f>
        <v>34.5</v>
      </c>
      <c r="AI284" s="28">
        <f>ABS(P284-C284)</f>
        <v>20.150000000000006</v>
      </c>
      <c r="AJ284" s="28">
        <f>ABS(W284-C284)</f>
        <v>21.0</v>
      </c>
      <c r="AK284" s="28">
        <f>ABS(Q284-D284)</f>
        <v>11.989999999999995</v>
      </c>
      <c r="AL284" s="28">
        <f>ABS(X284-D284)</f>
        <v>13.5</v>
      </c>
      <c r="AM284" s="17" t="str">
        <f>IF(H284&gt;S284,"Ev",IF(H284&lt;S284,"Dep",""))</f>
        <v>Ev</v>
      </c>
      <c r="AN284" s="17" t="str">
        <f>IF(AM284="","",IF(E284=S284,"Push",IF((E284&gt;S284)=(AM284="Ev"),"Kazandı","Kaybetti")))</f>
        <v>Kazandı</v>
      </c>
      <c r="AO284" s="30">
        <f>IF(AM284="","",IF(AN284="Push",0,IF(AN284="Kazandı",IF(AM284="Ev",Oranlar!P284,Oranlar!Q284)-1,-1)))</f>
        <v>0.9523809523809523</v>
      </c>
      <c r="AP284" s="17" t="str">
        <f>IF(L284&gt;U284,"Üst",IF(L284&lt;U284,"Alt",""))</f>
        <v>Üst</v>
      </c>
      <c r="AQ284" s="17" t="str">
        <f>IF(AP284="","",IF(F284=U284,"Push",IF((F284&gt;U284)=(AP284="Üst"),"Kazandı","Kaybetti")))</f>
        <v>Kazandı</v>
      </c>
      <c r="AR284" s="30">
        <f>IF(AP284="","",IF(AQ284="Push",0,IF(AQ284="Kazandı",IF(AP284="Üst",Oranlar!W284,Oranlar!X284)-1,-1)))</f>
        <v>0.925925925925926</v>
      </c>
      <c r="AS284" s="17" t="str">
        <f>IF(G284*Oranlar!R284&gt;1,"Ev",IF((1-G284)*Oranlar!S284&gt;1,"Dep",""))</f>
        <v>Dep</v>
      </c>
      <c r="AT284" s="30">
        <f>IF(AS284="","",IF((AS284="Ev")=(E284&gt;0),IF(AS284="Ev",Oranlar!R284,Oranlar!S284)-1,-1))</f>
        <v>-1.0</v>
      </c>
      <c r="AU284" s="16">
        <f>IF(OR(H284=T284,S284=T284),"",IF((H284&gt;T284)=(S284&gt;T284),1,0))</f>
        <v>1</v>
      </c>
      <c r="AV284" s="16">
        <f>IF(OR(L284=V284,U284=V284),"",IF((L284&gt;V284)=(U284&gt;V284),1,0))</f>
        <v>1</v>
      </c>
      <c r="AW284" s="16">
        <f>IF(AND(E284&gt;=J284,E284&lt;=K284),1,0)</f>
        <v>1</v>
      </c>
      <c r="AX284" s="16">
        <f>IF(AND(F284&gt;=N284,F284&lt;=O284),1,0)</f>
        <v>0</v>
      </c>
    </row>
    <row r="285" spans="1:50">
      <c r="A285" s="21">
        <f>Oranlar!A285</f>
        <v>46122</v>
      </c>
      <c r="B285" s="22" t="str">
        <f>Oranlar!C285&amp;" @ "&amp;Oranlar!D285</f>
        <v>PHI @ IND</v>
      </c>
      <c r="C285" s="23">
        <f>Oranlar!F285</f>
        <v>94</v>
      </c>
      <c r="D285" s="23">
        <f>Oranlar!E285</f>
        <v>105</v>
      </c>
      <c r="E285" s="15">
        <f>C285-D285</f>
        <v>-11</v>
      </c>
      <c r="F285" s="16">
        <f>C285+D285</f>
        <v>199</v>
      </c>
      <c r="G285" s="24">
        <v>0.303</v>
      </c>
      <c r="H285" s="10">
        <v>-5.09</v>
      </c>
      <c r="I285" s="10">
        <v>-5.7</v>
      </c>
      <c r="J285" s="10">
        <v>-24</v>
      </c>
      <c r="K285" s="10">
        <v>13</v>
      </c>
      <c r="L285" s="11">
        <v>235.36</v>
      </c>
      <c r="M285" s="11">
        <v>234.7</v>
      </c>
      <c r="N285" s="11">
        <v>207</v>
      </c>
      <c r="O285" s="11">
        <v>262</v>
      </c>
      <c r="P285" s="11">
        <v>115.94</v>
      </c>
      <c r="Q285" s="11">
        <v>122.58</v>
      </c>
      <c r="R285" s="25">
        <f>Oranlar!Y285</f>
        <v>0.12</v>
      </c>
      <c r="S285" s="26">
        <f>-Oranlar!O285</f>
        <v>-14.5</v>
      </c>
      <c r="T285" s="26">
        <f>-Oranlar!I285</f>
        <v>-14.5</v>
      </c>
      <c r="U285" s="27">
        <f>Oranlar!V285</f>
        <v>234.5</v>
      </c>
      <c r="V285" s="27">
        <f>Oranlar!L285</f>
        <v>234.5</v>
      </c>
      <c r="W285" s="28">
        <f>(U285+S285)/2</f>
        <v>110.0</v>
      </c>
      <c r="X285" s="28">
        <f>(U285-S285)/2</f>
        <v>124.5</v>
      </c>
      <c r="Y285" s="16">
        <f>IF(G285=0.5,"",IF((G285&gt;0.5)=(E285&gt;0),1,0))</f>
        <v>1</v>
      </c>
      <c r="Z285" s="16">
        <f>IF(R285=0.5,"",IF((R285&gt;0.5)=(E285&gt;0),1,0))</f>
        <v>1</v>
      </c>
      <c r="AA285" s="29">
        <f>(G285-IF(E285&gt;0,1,0))^2</f>
        <v>0.091809</v>
      </c>
      <c r="AB285" s="29">
        <f>(R285-IF(E285&gt;0,1,0))^2</f>
        <v>0.0144</v>
      </c>
      <c r="AC285" s="28">
        <f>ABS(H285-E285)</f>
        <v>5.91</v>
      </c>
      <c r="AD285" s="28">
        <f>ABS(I285-E285)</f>
        <v>5.3</v>
      </c>
      <c r="AE285" s="28">
        <f>ABS(S285-E285)</f>
        <v>3.5</v>
      </c>
      <c r="AF285" s="28">
        <f>ABS(L285-F285)</f>
        <v>36.360000000000014</v>
      </c>
      <c r="AG285" s="28">
        <f>ABS(M285-F285)</f>
        <v>35.69999999999999</v>
      </c>
      <c r="AH285" s="28">
        <f>ABS(U285-F285)</f>
        <v>35.5</v>
      </c>
      <c r="AI285" s="28">
        <f>ABS(P285-C285)</f>
        <v>21.939999999999998</v>
      </c>
      <c r="AJ285" s="28">
        <f>ABS(W285-C285)</f>
        <v>16.0</v>
      </c>
      <c r="AK285" s="28">
        <f>ABS(Q285-D285)</f>
        <v>17.58</v>
      </c>
      <c r="AL285" s="28">
        <f>ABS(X285-D285)</f>
        <v>19.5</v>
      </c>
      <c r="AM285" s="17" t="str">
        <f>IF(H285&gt;S285,"Ev",IF(H285&lt;S285,"Dep",""))</f>
        <v>Ev</v>
      </c>
      <c r="AN285" s="17" t="str">
        <f>IF(AM285="","",IF(E285=S285,"Push",IF((E285&gt;S285)=(AM285="Ev"),"Kazandı","Kaybetti")))</f>
        <v>Kazandı</v>
      </c>
      <c r="AO285" s="30">
        <f>IF(AM285="","",IF(AN285="Push",0,IF(AN285="Kazandı",IF(AM285="Ev",Oranlar!P285,Oranlar!Q285)-1,-1)))</f>
        <v>0.9523809523809523</v>
      </c>
      <c r="AP285" s="17" t="str">
        <f>IF(L285&gt;U285,"Üst",IF(L285&lt;U285,"Alt",""))</f>
        <v>Üst</v>
      </c>
      <c r="AQ285" s="17" t="str">
        <f>IF(AP285="","",IF(F285=U285,"Push",IF((F285&gt;U285)=(AP285="Üst"),"Kazandı","Kaybetti")))</f>
        <v>Kaybetti</v>
      </c>
      <c r="AR285" s="30">
        <f>IF(AP285="","",IF(AQ285="Push",0,IF(AQ285="Kazandı",IF(AP285="Üst",Oranlar!W285,Oranlar!X285)-1,-1)))</f>
        <v>-1.0</v>
      </c>
      <c r="AS285" s="17" t="str">
        <f>IF(G285*Oranlar!R285&gt;1,"Ev",IF((1-G285)*Oranlar!S285&gt;1,"Dep",""))</f>
        <v>Ev</v>
      </c>
      <c r="AT285" s="30">
        <f>IF(AS285="","",IF((AS285="Ev")=(E285&gt;0),IF(AS285="Ev",Oranlar!R285,Oranlar!S285)-1,-1))</f>
        <v>-1.0</v>
      </c>
      <c r="AU285" s="16">
        <f>IF(OR(H285=T285,S285=T285),"",IF((H285&gt;T285)=(S285&gt;T285),1,0))</f>
        <v/>
      </c>
      <c r="AV285" s="16">
        <f>IF(OR(L285=V285,U285=V285),"",IF((L285&gt;V285)=(U285&gt;V285),1,0))</f>
        <v/>
      </c>
      <c r="AW285" s="16">
        <f>IF(AND(E285&gt;=J285,E285&lt;=K285),1,0)</f>
        <v>1</v>
      </c>
      <c r="AX285" s="16">
        <f>IF(AND(F285&gt;=N285,F285&lt;=O285),1,0)</f>
        <v>0</v>
      </c>
    </row>
    <row r="286" spans="1:50">
      <c r="A286" s="21">
        <f>Oranlar!A286</f>
        <v>46122</v>
      </c>
      <c r="B286" s="22" t="str">
        <f>Oranlar!C286&amp;" @ "&amp;Oranlar!D286</f>
        <v>TOR @ NYK</v>
      </c>
      <c r="C286" s="23">
        <f>Oranlar!F286</f>
        <v>112</v>
      </c>
      <c r="D286" s="23">
        <f>Oranlar!E286</f>
        <v>95</v>
      </c>
      <c r="E286" s="15">
        <f>C286-D286</f>
        <v>17</v>
      </c>
      <c r="F286" s="16">
        <f>C286+D286</f>
        <v>207</v>
      </c>
      <c r="G286" s="24">
        <v>0.732</v>
      </c>
      <c r="H286" s="10">
        <v>14.07</v>
      </c>
      <c r="I286" s="10">
        <v>5.8</v>
      </c>
      <c r="J286" s="10">
        <v>-12</v>
      </c>
      <c r="K286" s="10">
        <v>24</v>
      </c>
      <c r="L286" s="11">
        <v>222.53</v>
      </c>
      <c r="M286" s="11">
        <v>227.7</v>
      </c>
      <c r="N286" s="11">
        <v>200</v>
      </c>
      <c r="O286" s="11">
        <v>255</v>
      </c>
      <c r="P286" s="11">
        <v>115.51</v>
      </c>
      <c r="Q286" s="11">
        <v>107.85</v>
      </c>
      <c r="R286" s="25">
        <f>Oranlar!Y286</f>
        <v>0.700162074554295</v>
      </c>
      <c r="S286" s="26">
        <f>-Oranlar!O286</f>
        <v>6.5</v>
      </c>
      <c r="T286" s="26">
        <f>-Oranlar!I286</f>
        <v>5.5</v>
      </c>
      <c r="U286" s="27">
        <f>Oranlar!V286</f>
        <v>218.5</v>
      </c>
      <c r="V286" s="27">
        <f>Oranlar!L286</f>
        <v>219.5</v>
      </c>
      <c r="W286" s="28">
        <f>(U286+S286)/2</f>
        <v>112.5</v>
      </c>
      <c r="X286" s="28">
        <f>(U286-S286)/2</f>
        <v>106.0</v>
      </c>
      <c r="Y286" s="16">
        <f>IF(G286=0.5,"",IF((G286&gt;0.5)=(E286&gt;0),1,0))</f>
        <v>1</v>
      </c>
      <c r="Z286" s="16">
        <f>IF(R286=0.5,"",IF((R286&gt;0.5)=(E286&gt;0),1,0))</f>
        <v>1</v>
      </c>
      <c r="AA286" s="29">
        <f>(G286-IF(E286&gt;0,1,0))^2</f>
        <v>0.07182400000000001</v>
      </c>
      <c r="AB286" s="29">
        <f>(R286-IF(E286&gt;0,1,0))^2</f>
        <v>0.08990278153558413</v>
      </c>
      <c r="AC286" s="28">
        <f>ABS(H286-E286)</f>
        <v>2.9299999999999997</v>
      </c>
      <c r="AD286" s="28">
        <f>ABS(I286-E286)</f>
        <v>11.2</v>
      </c>
      <c r="AE286" s="28">
        <f>ABS(S286-E286)</f>
        <v>10.5</v>
      </c>
      <c r="AF286" s="28">
        <f>ABS(L286-F286)</f>
        <v>15.530000000000001</v>
      </c>
      <c r="AG286" s="28">
        <f>ABS(M286-F286)</f>
        <v>20.69999999999999</v>
      </c>
      <c r="AH286" s="28">
        <f>ABS(U286-F286)</f>
        <v>11.5</v>
      </c>
      <c r="AI286" s="28">
        <f>ABS(P286-C286)</f>
        <v>3.510000000000005</v>
      </c>
      <c r="AJ286" s="28">
        <f>ABS(W286-C286)</f>
        <v>0.5</v>
      </c>
      <c r="AK286" s="28">
        <f>ABS(Q286-D286)</f>
        <v>12.849999999999994</v>
      </c>
      <c r="AL286" s="28">
        <f>ABS(X286-D286)</f>
        <v>11.0</v>
      </c>
      <c r="AM286" s="17" t="str">
        <f>IF(H286&gt;S286,"Ev",IF(H286&lt;S286,"Dep",""))</f>
        <v>Ev</v>
      </c>
      <c r="AN286" s="17" t="str">
        <f>IF(AM286="","",IF(E286=S286,"Push",IF((E286&gt;S286)=(AM286="Ev"),"Kazandı","Kaybetti")))</f>
        <v>Kazandı</v>
      </c>
      <c r="AO286" s="30">
        <f>IF(AM286="","",IF(AN286="Push",0,IF(AN286="Kazandı",IF(AM286="Ev",Oranlar!P286,Oranlar!Q286)-1,-1)))</f>
        <v>0.925925925925926</v>
      </c>
      <c r="AP286" s="17" t="str">
        <f>IF(L286&gt;U286,"Üst",IF(L286&lt;U286,"Alt",""))</f>
        <v>Üst</v>
      </c>
      <c r="AQ286" s="17" t="str">
        <f>IF(AP286="","",IF(F286=U286,"Push",IF((F286&gt;U286)=(AP286="Üst"),"Kazandı","Kaybetti")))</f>
        <v>Kaybetti</v>
      </c>
      <c r="AR286" s="30">
        <f>IF(AP286="","",IF(AQ286="Push",0,IF(AQ286="Kazandı",IF(AP286="Üst",Oranlar!W286,Oranlar!X286)-1,-1)))</f>
        <v>-1.0</v>
      </c>
      <c r="AS286" s="17" t="str">
        <f>IF(G286*Oranlar!R286&gt;1,"Ev",IF((1-G286)*Oranlar!S286&gt;1,"Dep",""))</f>
        <v>Ev</v>
      </c>
      <c r="AT286" s="30">
        <f>IF(AS286="","",IF((AS286="Ev")=(E286&gt;0),IF(AS286="Ev",Oranlar!R286,Oranlar!S286)-1,-1))</f>
        <v>0.37037037037037024</v>
      </c>
      <c r="AU286" s="16">
        <f>IF(OR(H286=T286,S286=T286),"",IF((H286&gt;T286)=(S286&gt;T286),1,0))</f>
        <v>1</v>
      </c>
      <c r="AV286" s="16">
        <f>IF(OR(L286=V286,U286=V286),"",IF((L286&gt;V286)=(U286&gt;V286),1,0))</f>
        <v>0</v>
      </c>
      <c r="AW286" s="16">
        <f>IF(AND(E286&gt;=J286,E286&lt;=K286),1,0)</f>
        <v>1</v>
      </c>
      <c r="AX286" s="16">
        <f>IF(AND(F286&gt;=N286,F286&lt;=O286),1,0)</f>
        <v>1</v>
      </c>
    </row>
    <row r="287" spans="1:50">
      <c r="A287" s="21">
        <f>Oranlar!A287</f>
        <v>46122</v>
      </c>
      <c r="B287" s="22" t="str">
        <f>Oranlar!C287&amp;" @ "&amp;Oranlar!D287</f>
        <v>ORL @ CHI</v>
      </c>
      <c r="C287" s="23">
        <f>Oranlar!F287</f>
        <v>103</v>
      </c>
      <c r="D287" s="23">
        <f>Oranlar!E287</f>
        <v>127</v>
      </c>
      <c r="E287" s="15">
        <f>C287-D287</f>
        <v>-24</v>
      </c>
      <c r="F287" s="16">
        <f>C287+D287</f>
        <v>230</v>
      </c>
      <c r="G287" s="24">
        <v>0.466</v>
      </c>
      <c r="H287" s="10">
        <v>-1.46</v>
      </c>
      <c r="I287" s="10">
        <v>-3</v>
      </c>
      <c r="J287" s="10">
        <v>-22</v>
      </c>
      <c r="K287" s="10">
        <v>16</v>
      </c>
      <c r="L287" s="11">
        <v>242.17</v>
      </c>
      <c r="M287" s="11">
        <v>239.9</v>
      </c>
      <c r="N287" s="11">
        <v>212</v>
      </c>
      <c r="O287" s="11">
        <v>268</v>
      </c>
      <c r="P287" s="11">
        <v>120.24</v>
      </c>
      <c r="Q287" s="11">
        <v>122.29</v>
      </c>
      <c r="R287" s="25">
        <f>Oranlar!Y287</f>
        <v>0.10661764705882351</v>
      </c>
      <c r="S287" s="26">
        <f>-Oranlar!O287</f>
        <v>-16.5</v>
      </c>
      <c r="T287" s="26">
        <f>-Oranlar!I287</f>
        <v>-14.5</v>
      </c>
      <c r="U287" s="27">
        <f>Oranlar!V287</f>
        <v>246.5</v>
      </c>
      <c r="V287" s="27">
        <f>Oranlar!L287</f>
        <v>241.5</v>
      </c>
      <c r="W287" s="28">
        <f>(U287+S287)/2</f>
        <v>115.0</v>
      </c>
      <c r="X287" s="28">
        <f>(U287-S287)/2</f>
        <v>131.5</v>
      </c>
      <c r="Y287" s="16">
        <f>IF(G287=0.5,"",IF((G287&gt;0.5)=(E287&gt;0),1,0))</f>
        <v>1</v>
      </c>
      <c r="Z287" s="16">
        <f>IF(R287=0.5,"",IF((R287&gt;0.5)=(E287&gt;0),1,0))</f>
        <v>1</v>
      </c>
      <c r="AA287" s="29">
        <f>(G287-IF(E287&gt;0,1,0))^2</f>
        <v>0.21715600000000002</v>
      </c>
      <c r="AB287" s="29">
        <f>(R287-IF(E287&gt;0,1,0))^2</f>
        <v>0.011367322664359858</v>
      </c>
      <c r="AC287" s="28">
        <f>ABS(H287-E287)</f>
        <v>22.54</v>
      </c>
      <c r="AD287" s="28">
        <f>ABS(I287-E287)</f>
        <v>21.0</v>
      </c>
      <c r="AE287" s="28">
        <f>ABS(S287-E287)</f>
        <v>7.5</v>
      </c>
      <c r="AF287" s="28">
        <f>ABS(L287-F287)</f>
        <v>12.169999999999987</v>
      </c>
      <c r="AG287" s="28">
        <f>ABS(M287-F287)</f>
        <v>9.900000000000006</v>
      </c>
      <c r="AH287" s="28">
        <f>ABS(U287-F287)</f>
        <v>16.5</v>
      </c>
      <c r="AI287" s="28">
        <f>ABS(P287-C287)</f>
        <v>17.239999999999995</v>
      </c>
      <c r="AJ287" s="28">
        <f>ABS(W287-C287)</f>
        <v>12.0</v>
      </c>
      <c r="AK287" s="28">
        <f>ABS(Q287-D287)</f>
        <v>4.709999999999994</v>
      </c>
      <c r="AL287" s="28">
        <f>ABS(X287-D287)</f>
        <v>4.5</v>
      </c>
      <c r="AM287" s="17" t="str">
        <f>IF(H287&gt;S287,"Ev",IF(H287&lt;S287,"Dep",""))</f>
        <v>Ev</v>
      </c>
      <c r="AN287" s="17" t="str">
        <f>IF(AM287="","",IF(E287=S287,"Push",IF((E287&gt;S287)=(AM287="Ev"),"Kazandı","Kaybetti")))</f>
        <v>Kaybetti</v>
      </c>
      <c r="AO287" s="30">
        <f>IF(AM287="","",IF(AN287="Push",0,IF(AN287="Kazandı",IF(AM287="Ev",Oranlar!P287,Oranlar!Q287)-1,-1)))</f>
        <v>-1.0</v>
      </c>
      <c r="AP287" s="17" t="str">
        <f>IF(L287&gt;U287,"Üst",IF(L287&lt;U287,"Alt",""))</f>
        <v>Alt</v>
      </c>
      <c r="AQ287" s="17" t="str">
        <f>IF(AP287="","",IF(F287=U287,"Push",IF((F287&gt;U287)=(AP287="Üst"),"Kazandı","Kaybetti")))</f>
        <v>Kazandı</v>
      </c>
      <c r="AR287" s="30">
        <f>IF(AP287="","",IF(AQ287="Push",0,IF(AQ287="Kazandı",IF(AP287="Üst",Oranlar!W287,Oranlar!X287)-1,-1)))</f>
        <v>0.925925925925926</v>
      </c>
      <c r="AS287" s="17" t="str">
        <f>IF(G287*Oranlar!R287&gt;1,"Ev",IF((1-G287)*Oranlar!S287&gt;1,"Dep",""))</f>
        <v>Ev</v>
      </c>
      <c r="AT287" s="30">
        <f>IF(AS287="","",IF((AS287="Ev")=(E287&gt;0),IF(AS287="Ev",Oranlar!R287,Oranlar!S287)-1,-1))</f>
        <v>-1.0</v>
      </c>
      <c r="AU287" s="16">
        <f>IF(OR(H287=T287,S287=T287),"",IF((H287&gt;T287)=(S287&gt;T287),1,0))</f>
        <v>0</v>
      </c>
      <c r="AV287" s="16">
        <f>IF(OR(L287=V287,U287=V287),"",IF((L287&gt;V287)=(U287&gt;V287),1,0))</f>
        <v>1</v>
      </c>
      <c r="AW287" s="16">
        <f>IF(AND(E287&gt;=J287,E287&lt;=K287),1,0)</f>
        <v>0</v>
      </c>
      <c r="AX287" s="16">
        <f>IF(AND(F287&gt;=N287,F287&lt;=O287),1,0)</f>
        <v>1</v>
      </c>
    </row>
    <row r="288" spans="1:50">
      <c r="A288" s="21">
        <f>Oranlar!A288</f>
        <v>46122</v>
      </c>
      <c r="B288" s="22" t="str">
        <f>Oranlar!C288&amp;" @ "&amp;Oranlar!D288</f>
        <v>MIN @ HOU</v>
      </c>
      <c r="C288" s="23">
        <f>Oranlar!F288</f>
        <v>132</v>
      </c>
      <c r="D288" s="23">
        <f>Oranlar!E288</f>
        <v>136</v>
      </c>
      <c r="E288" s="15">
        <f>C288-D288</f>
        <v>-4</v>
      </c>
      <c r="F288" s="16">
        <f>C288+D288</f>
        <v>268</v>
      </c>
      <c r="G288" s="24">
        <v>0.669</v>
      </c>
      <c r="H288" s="10">
        <v>3.45</v>
      </c>
      <c r="I288" s="10">
        <v>7.4</v>
      </c>
      <c r="J288" s="10">
        <v>-11</v>
      </c>
      <c r="K288" s="10">
        <v>26</v>
      </c>
      <c r="L288" s="11">
        <v>230.74</v>
      </c>
      <c r="M288" s="11">
        <v>228.1</v>
      </c>
      <c r="N288" s="11">
        <v>201</v>
      </c>
      <c r="O288" s="11">
        <v>255</v>
      </c>
      <c r="P288" s="11">
        <v>118.16</v>
      </c>
      <c r="Q288" s="11">
        <v>111.01</v>
      </c>
      <c r="R288" s="25">
        <f>Oranlar!Y288</f>
        <v>0.7957758771164253</v>
      </c>
      <c r="S288" s="26">
        <f>-Oranlar!O288</f>
        <v>9.5</v>
      </c>
      <c r="T288" s="26">
        <f>-Oranlar!I288</f>
        <v>9.5</v>
      </c>
      <c r="U288" s="27">
        <f>Oranlar!V288</f>
        <v>227.5</v>
      </c>
      <c r="V288" s="27">
        <f>Oranlar!L288</f>
        <v>218.5</v>
      </c>
      <c r="W288" s="28">
        <f>(U288+S288)/2</f>
        <v>118.5</v>
      </c>
      <c r="X288" s="28">
        <f>(U288-S288)/2</f>
        <v>109.0</v>
      </c>
      <c r="Y288" s="16">
        <f>IF(G288=0.5,"",IF((G288&gt;0.5)=(E288&gt;0),1,0))</f>
        <v>0</v>
      </c>
      <c r="Z288" s="16">
        <f>IF(R288=0.5,"",IF((R288&gt;0.5)=(E288&gt;0),1,0))</f>
        <v>0</v>
      </c>
      <c r="AA288" s="29">
        <f>(G288-IF(E288&gt;0,1,0))^2</f>
        <v>0.44756100000000004</v>
      </c>
      <c r="AB288" s="29">
        <f>(R288-IF(E288&gt;0,1,0))^2</f>
        <v>0.633259246600416</v>
      </c>
      <c r="AC288" s="28">
        <f>ABS(H288-E288)</f>
        <v>7.45</v>
      </c>
      <c r="AD288" s="28">
        <f>ABS(I288-E288)</f>
        <v>11.4</v>
      </c>
      <c r="AE288" s="28">
        <f>ABS(S288-E288)</f>
        <v>13.5</v>
      </c>
      <c r="AF288" s="28">
        <f>ABS(L288-F288)</f>
        <v>37.25999999999999</v>
      </c>
      <c r="AG288" s="28">
        <f>ABS(M288-F288)</f>
        <v>39.900000000000006</v>
      </c>
      <c r="AH288" s="28">
        <f>ABS(U288-F288)</f>
        <v>40.5</v>
      </c>
      <c r="AI288" s="28">
        <f>ABS(P288-C288)</f>
        <v>13.840000000000003</v>
      </c>
      <c r="AJ288" s="28">
        <f>ABS(W288-C288)</f>
        <v>13.5</v>
      </c>
      <c r="AK288" s="28">
        <f>ABS(Q288-D288)</f>
        <v>24.989999999999995</v>
      </c>
      <c r="AL288" s="28">
        <f>ABS(X288-D288)</f>
        <v>27.0</v>
      </c>
      <c r="AM288" s="17" t="str">
        <f>IF(H288&gt;S288,"Ev",IF(H288&lt;S288,"Dep",""))</f>
        <v>Dep</v>
      </c>
      <c r="AN288" s="17" t="str">
        <f>IF(AM288="","",IF(E288=S288,"Push",IF((E288&gt;S288)=(AM288="Ev"),"Kazandı","Kaybetti")))</f>
        <v>Kazandı</v>
      </c>
      <c r="AO288" s="30">
        <f>IF(AM288="","",IF(AN288="Push",0,IF(AN288="Kazandı",IF(AM288="Ev",Oranlar!P288,Oranlar!Q288)-1,-1)))</f>
        <v>0.925925925925926</v>
      </c>
      <c r="AP288" s="17" t="str">
        <f>IF(L288&gt;U288,"Üst",IF(L288&lt;U288,"Alt",""))</f>
        <v>Üst</v>
      </c>
      <c r="AQ288" s="17" t="str">
        <f>IF(AP288="","",IF(F288=U288,"Push",IF((F288&gt;U288)=(AP288="Üst"),"Kazandı","Kaybetti")))</f>
        <v>Kazandı</v>
      </c>
      <c r="AR288" s="30">
        <f>IF(AP288="","",IF(AQ288="Push",0,IF(AQ288="Kazandı",IF(AP288="Üst",Oranlar!W288,Oranlar!X288)-1,-1)))</f>
        <v>0.8928571428571428</v>
      </c>
      <c r="AS288" s="17" t="str">
        <f>IF(G288*Oranlar!R288&gt;1,"Ev",IF((1-G288)*Oranlar!S288&gt;1,"Dep",""))</f>
        <v>Dep</v>
      </c>
      <c r="AT288" s="30">
        <f>IF(AS288="","",IF((AS288="Ev")=(E288&gt;0),IF(AS288="Ev",Oranlar!R288,Oranlar!S288)-1,-1))</f>
        <v>3.7</v>
      </c>
      <c r="AU288" s="16">
        <f>IF(OR(H288=T288,S288=T288),"",IF((H288&gt;T288)=(S288&gt;T288),1,0))</f>
        <v/>
      </c>
      <c r="AV288" s="16">
        <f>IF(OR(L288=V288,U288=V288),"",IF((L288&gt;V288)=(U288&gt;V288),1,0))</f>
        <v>1</v>
      </c>
      <c r="AW288" s="16">
        <f>IF(AND(E288&gt;=J288,E288&lt;=K288),1,0)</f>
        <v>1</v>
      </c>
      <c r="AX288" s="16">
        <f>IF(AND(F288&gt;=N288,F288&lt;=O288),1,0)</f>
        <v>0</v>
      </c>
    </row>
    <row r="289" spans="1:50">
      <c r="A289" s="21">
        <f>Oranlar!A289</f>
        <v>46122</v>
      </c>
      <c r="B289" s="22" t="str">
        <f>Oranlar!C289&amp;" @ "&amp;Oranlar!D289</f>
        <v>BKN @ MIL</v>
      </c>
      <c r="C289" s="23">
        <f>Oranlar!F289</f>
        <v>125</v>
      </c>
      <c r="D289" s="23">
        <f>Oranlar!E289</f>
        <v>108</v>
      </c>
      <c r="E289" s="15">
        <f>C289-D289</f>
        <v>17</v>
      </c>
      <c r="F289" s="16">
        <f>C289+D289</f>
        <v>233</v>
      </c>
      <c r="G289" s="24">
        <v>0.543</v>
      </c>
      <c r="H289" s="10">
        <v>1.77</v>
      </c>
      <c r="I289" s="10">
        <v>0.7</v>
      </c>
      <c r="J289" s="10">
        <v>-17</v>
      </c>
      <c r="K289" s="10">
        <v>19</v>
      </c>
      <c r="L289" s="11">
        <v>221.94</v>
      </c>
      <c r="M289" s="11">
        <v>219.5</v>
      </c>
      <c r="N289" s="11">
        <v>193</v>
      </c>
      <c r="O289" s="11">
        <v>246</v>
      </c>
      <c r="P289" s="11">
        <v>112.38</v>
      </c>
      <c r="Q289" s="11">
        <v>109.79</v>
      </c>
      <c r="R289" s="25">
        <f>Oranlar!Y289</f>
        <v>0.7999999999999999</v>
      </c>
      <c r="S289" s="26">
        <f>-Oranlar!O289</f>
        <v>10.5</v>
      </c>
      <c r="T289" s="26">
        <f>-Oranlar!I289</f>
        <v>8.5</v>
      </c>
      <c r="U289" s="27">
        <f>Oranlar!V289</f>
        <v>218.5</v>
      </c>
      <c r="V289" s="27">
        <f>Oranlar!L289</f>
        <v>220.5</v>
      </c>
      <c r="W289" s="28">
        <f>(U289+S289)/2</f>
        <v>114.5</v>
      </c>
      <c r="X289" s="28">
        <f>(U289-S289)/2</f>
        <v>104.0</v>
      </c>
      <c r="Y289" s="16">
        <f>IF(G289=0.5,"",IF((G289&gt;0.5)=(E289&gt;0),1,0))</f>
        <v>1</v>
      </c>
      <c r="Z289" s="16">
        <f>IF(R289=0.5,"",IF((R289&gt;0.5)=(E289&gt;0),1,0))</f>
        <v>1</v>
      </c>
      <c r="AA289" s="29">
        <f>(G289-IF(E289&gt;0,1,0))^2</f>
        <v>0.20884899999999995</v>
      </c>
      <c r="AB289" s="29">
        <f>(R289-IF(E289&gt;0,1,0))^2</f>
        <v>0.04000000000000003</v>
      </c>
      <c r="AC289" s="28">
        <f>ABS(H289-E289)</f>
        <v>15.23</v>
      </c>
      <c r="AD289" s="28">
        <f>ABS(I289-E289)</f>
        <v>16.3</v>
      </c>
      <c r="AE289" s="28">
        <f>ABS(S289-E289)</f>
        <v>6.5</v>
      </c>
      <c r="AF289" s="28">
        <f>ABS(L289-F289)</f>
        <v>11.060000000000002</v>
      </c>
      <c r="AG289" s="28">
        <f>ABS(M289-F289)</f>
        <v>13.5</v>
      </c>
      <c r="AH289" s="28">
        <f>ABS(U289-F289)</f>
        <v>14.5</v>
      </c>
      <c r="AI289" s="28">
        <f>ABS(P289-C289)</f>
        <v>12.620000000000005</v>
      </c>
      <c r="AJ289" s="28">
        <f>ABS(W289-C289)</f>
        <v>10.5</v>
      </c>
      <c r="AK289" s="28">
        <f>ABS(Q289-D289)</f>
        <v>1.7900000000000063</v>
      </c>
      <c r="AL289" s="28">
        <f>ABS(X289-D289)</f>
        <v>4.0</v>
      </c>
      <c r="AM289" s="17" t="str">
        <f>IF(H289&gt;S289,"Ev",IF(H289&lt;S289,"Dep",""))</f>
        <v>Dep</v>
      </c>
      <c r="AN289" s="17" t="str">
        <f>IF(AM289="","",IF(E289=S289,"Push",IF((E289&gt;S289)=(AM289="Ev"),"Kazandı","Kaybetti")))</f>
        <v>Kaybetti</v>
      </c>
      <c r="AO289" s="30">
        <f>IF(AM289="","",IF(AN289="Push",0,IF(AN289="Kazandı",IF(AM289="Ev",Oranlar!P289,Oranlar!Q289)-1,-1)))</f>
        <v>-1.0</v>
      </c>
      <c r="AP289" s="17" t="str">
        <f>IF(L289&gt;U289,"Üst",IF(L289&lt;U289,"Alt",""))</f>
        <v>Üst</v>
      </c>
      <c r="AQ289" s="17" t="str">
        <f>IF(AP289="","",IF(F289=U289,"Push",IF((F289&gt;U289)=(AP289="Üst"),"Kazandı","Kaybetti")))</f>
        <v>Kazandı</v>
      </c>
      <c r="AR289" s="30">
        <f>IF(AP289="","",IF(AQ289="Push",0,IF(AQ289="Kazandı",IF(AP289="Üst",Oranlar!W289,Oranlar!X289)-1,-1)))</f>
        <v>0.9523809523809523</v>
      </c>
      <c r="AS289" s="17" t="str">
        <f>IF(G289*Oranlar!R289&gt;1,"Ev",IF((1-G289)*Oranlar!S289&gt;1,"Dep",""))</f>
        <v>Dep</v>
      </c>
      <c r="AT289" s="30">
        <f>IF(AS289="","",IF((AS289="Ev")=(E289&gt;0),IF(AS289="Ev",Oranlar!R289,Oranlar!S289)-1,-1))</f>
        <v>-1.0</v>
      </c>
      <c r="AU289" s="16">
        <f>IF(OR(H289=T289,S289=T289),"",IF((H289&gt;T289)=(S289&gt;T289),1,0))</f>
        <v>0</v>
      </c>
      <c r="AV289" s="16">
        <f>IF(OR(L289=V289,U289=V289),"",IF((L289&gt;V289)=(U289&gt;V289),1,0))</f>
        <v>0</v>
      </c>
      <c r="AW289" s="16">
        <f>IF(AND(E289&gt;=J289,E289&lt;=K289),1,0)</f>
        <v>1</v>
      </c>
      <c r="AX289" s="16">
        <f>IF(AND(F289&gt;=N289,F289&lt;=O289),1,0)</f>
        <v>1</v>
      </c>
    </row>
    <row r="290" spans="1:50">
      <c r="A290" s="21">
        <f>Oranlar!A290</f>
        <v>46122</v>
      </c>
      <c r="B290" s="22" t="str">
        <f>Oranlar!C290&amp;" @ "&amp;Oranlar!D290</f>
        <v>DAL @ SAS</v>
      </c>
      <c r="C290" s="23">
        <f>Oranlar!F290</f>
        <v>139</v>
      </c>
      <c r="D290" s="23">
        <f>Oranlar!E290</f>
        <v>120</v>
      </c>
      <c r="E290" s="15">
        <f>C290-D290</f>
        <v>19</v>
      </c>
      <c r="F290" s="16">
        <f>C290+D290</f>
        <v>259</v>
      </c>
      <c r="G290" s="24">
        <v>0.8149999999999999</v>
      </c>
      <c r="H290" s="10">
        <v>9.66</v>
      </c>
      <c r="I290" s="10">
        <v>10.3</v>
      </c>
      <c r="J290" s="10">
        <v>-8</v>
      </c>
      <c r="K290" s="10">
        <v>29</v>
      </c>
      <c r="L290" s="11">
        <v>234.25</v>
      </c>
      <c r="M290" s="11">
        <v>235.6</v>
      </c>
      <c r="N290" s="11">
        <v>208</v>
      </c>
      <c r="O290" s="11">
        <v>263</v>
      </c>
      <c r="P290" s="11">
        <v>122.68</v>
      </c>
      <c r="Q290" s="11">
        <v>111.21</v>
      </c>
      <c r="R290" s="25">
        <f>Oranlar!Y290</f>
        <v>0.9197080291970803</v>
      </c>
      <c r="S290" s="26">
        <f>-Oranlar!O290</f>
        <v>18.5</v>
      </c>
      <c r="T290" s="26">
        <f>-Oranlar!I290</f>
        <v>16.5</v>
      </c>
      <c r="U290" s="27">
        <f>Oranlar!V290</f>
        <v>236.5</v>
      </c>
      <c r="V290" s="27">
        <f>Oranlar!L290</f>
        <v>235.5</v>
      </c>
      <c r="W290" s="28">
        <f>(U290+S290)/2</f>
        <v>127.5</v>
      </c>
      <c r="X290" s="28">
        <f>(U290-S290)/2</f>
        <v>109.0</v>
      </c>
      <c r="Y290" s="16">
        <f>IF(G290=0.5,"",IF((G290&gt;0.5)=(E290&gt;0),1,0))</f>
        <v>1</v>
      </c>
      <c r="Z290" s="16">
        <f>IF(R290=0.5,"",IF((R290&gt;0.5)=(E290&gt;0),1,0))</f>
        <v>1</v>
      </c>
      <c r="AA290" s="29">
        <f>(G290-IF(E290&gt;0,1,0))^2</f>
        <v>0.03422500000000002</v>
      </c>
      <c r="AB290" s="29">
        <f>(R290-IF(E290&gt;0,1,0))^2</f>
        <v>0.006446800575416913</v>
      </c>
      <c r="AC290" s="28">
        <f>ABS(H290-E290)</f>
        <v>9.34</v>
      </c>
      <c r="AD290" s="28">
        <f>ABS(I290-E290)</f>
        <v>8.7</v>
      </c>
      <c r="AE290" s="28">
        <f>ABS(S290-E290)</f>
        <v>0.5</v>
      </c>
      <c r="AF290" s="28">
        <f>ABS(L290-F290)</f>
        <v>24.75</v>
      </c>
      <c r="AG290" s="28">
        <f>ABS(M290-F290)</f>
        <v>23.400000000000006</v>
      </c>
      <c r="AH290" s="28">
        <f>ABS(U290-F290)</f>
        <v>22.5</v>
      </c>
      <c r="AI290" s="28">
        <f>ABS(P290-C290)</f>
        <v>16.319999999999993</v>
      </c>
      <c r="AJ290" s="28">
        <f>ABS(W290-C290)</f>
        <v>11.5</v>
      </c>
      <c r="AK290" s="28">
        <f>ABS(Q290-D290)</f>
        <v>8.790000000000006</v>
      </c>
      <c r="AL290" s="28">
        <f>ABS(X290-D290)</f>
        <v>11.0</v>
      </c>
      <c r="AM290" s="17" t="str">
        <f>IF(H290&gt;S290,"Ev",IF(H290&lt;S290,"Dep",""))</f>
        <v>Dep</v>
      </c>
      <c r="AN290" s="17" t="str">
        <f>IF(AM290="","",IF(E290=S290,"Push",IF((E290&gt;S290)=(AM290="Ev"),"Kazandı","Kaybetti")))</f>
        <v>Kaybetti</v>
      </c>
      <c r="AO290" s="30">
        <f>IF(AM290="","",IF(AN290="Push",0,IF(AN290="Kazandı",IF(AM290="Ev",Oranlar!P290,Oranlar!Q290)-1,-1)))</f>
        <v>-1.0</v>
      </c>
      <c r="AP290" s="17" t="str">
        <f>IF(L290&gt;U290,"Üst",IF(L290&lt;U290,"Alt",""))</f>
        <v>Alt</v>
      </c>
      <c r="AQ290" s="17" t="str">
        <f>IF(AP290="","",IF(F290=U290,"Push",IF((F290&gt;U290)=(AP290="Üst"),"Kazandı","Kaybetti")))</f>
        <v>Kaybetti</v>
      </c>
      <c r="AR290" s="30">
        <f>IF(AP290="","",IF(AQ290="Push",0,IF(AQ290="Kazandı",IF(AP290="Üst",Oranlar!W290,Oranlar!X290)-1,-1)))</f>
        <v>-1.0</v>
      </c>
      <c r="AS290" s="17" t="str">
        <f>IF(G290*Oranlar!R290&gt;1,"Ev",IF((1-G290)*Oranlar!S290&gt;1,"Dep",""))</f>
        <v>Dep</v>
      </c>
      <c r="AT290" s="30">
        <f>IF(AS290="","",IF((AS290="Ev")=(E290&gt;0),IF(AS290="Ev",Oranlar!R290,Oranlar!S290)-1,-1))</f>
        <v>-1.0</v>
      </c>
      <c r="AU290" s="16">
        <f>IF(OR(H290=T290,S290=T290),"",IF((H290&gt;T290)=(S290&gt;T290),1,0))</f>
        <v>0</v>
      </c>
      <c r="AV290" s="16">
        <f>IF(OR(L290=V290,U290=V290),"",IF((L290&gt;V290)=(U290&gt;V290),1,0))</f>
        <v>0</v>
      </c>
      <c r="AW290" s="16">
        <f>IF(AND(E290&gt;=J290,E290&lt;=K290),1,0)</f>
        <v>1</v>
      </c>
      <c r="AX290" s="16">
        <f>IF(AND(F290&gt;=N290,F290&lt;=O290),1,0)</f>
        <v>1</v>
      </c>
    </row>
    <row r="291" spans="1:50">
      <c r="A291" s="21">
        <f>Oranlar!A291</f>
        <v>46122</v>
      </c>
      <c r="B291" s="22" t="str">
        <f>Oranlar!C291&amp;" @ "&amp;Oranlar!D291</f>
        <v>MEM @ UTA</v>
      </c>
      <c r="C291" s="23">
        <f>Oranlar!F291</f>
        <v>147</v>
      </c>
      <c r="D291" s="23">
        <f>Oranlar!E291</f>
        <v>101</v>
      </c>
      <c r="E291" s="15">
        <f>C291-D291</f>
        <v>46</v>
      </c>
      <c r="F291" s="16">
        <f>C291+D291</f>
        <v>248</v>
      </c>
      <c r="G291" s="24">
        <v>0.446</v>
      </c>
      <c r="H291" s="10">
        <v>-0.44</v>
      </c>
      <c r="I291" s="10">
        <v>-5.8</v>
      </c>
      <c r="J291" s="10">
        <v>-25</v>
      </c>
      <c r="K291" s="10">
        <v>13</v>
      </c>
      <c r="L291" s="11">
        <v>241.89</v>
      </c>
      <c r="M291" s="11">
        <v>240.6</v>
      </c>
      <c r="N291" s="11">
        <v>212</v>
      </c>
      <c r="O291" s="11">
        <v>269</v>
      </c>
      <c r="P291" s="11">
        <v>117.59</v>
      </c>
      <c r="Q291" s="11">
        <v>121.33</v>
      </c>
      <c r="R291" s="25">
        <f>Oranlar!Y291</f>
        <v>0.6164383561643836</v>
      </c>
      <c r="S291" s="26">
        <f>-Oranlar!O291</f>
        <v>4.5</v>
      </c>
      <c r="T291" s="26">
        <f>-Oranlar!I291</f>
        <v>3.5</v>
      </c>
      <c r="U291" s="27">
        <f>Oranlar!V291</f>
        <v>247.5</v>
      </c>
      <c r="V291" s="27">
        <f>Oranlar!L291</f>
        <v>246.5</v>
      </c>
      <c r="W291" s="28">
        <f>(U291+S291)/2</f>
        <v>126.0</v>
      </c>
      <c r="X291" s="28">
        <f>(U291-S291)/2</f>
        <v>121.5</v>
      </c>
      <c r="Y291" s="16">
        <f>IF(G291=0.5,"",IF((G291&gt;0.5)=(E291&gt;0),1,0))</f>
        <v>0</v>
      </c>
      <c r="Z291" s="16">
        <f>IF(R291=0.5,"",IF((R291&gt;0.5)=(E291&gt;0),1,0))</f>
        <v>1</v>
      </c>
      <c r="AA291" s="29">
        <f>(G291-IF(E291&gt;0,1,0))^2</f>
        <v>0.3069160000000001</v>
      </c>
      <c r="AB291" s="29">
        <f>(R291-IF(E291&gt;0,1,0))^2</f>
        <v>0.14711953462188027</v>
      </c>
      <c r="AC291" s="28">
        <f>ABS(H291-E291)</f>
        <v>46.44</v>
      </c>
      <c r="AD291" s="28">
        <f>ABS(I291-E291)</f>
        <v>51.8</v>
      </c>
      <c r="AE291" s="28">
        <f>ABS(S291-E291)</f>
        <v>41.5</v>
      </c>
      <c r="AF291" s="28">
        <f>ABS(L291-F291)</f>
        <v>6.110000000000014</v>
      </c>
      <c r="AG291" s="28">
        <f>ABS(M291-F291)</f>
        <v>7.400000000000006</v>
      </c>
      <c r="AH291" s="28">
        <f>ABS(U291-F291)</f>
        <v>0.5</v>
      </c>
      <c r="AI291" s="28">
        <f>ABS(P291-C291)</f>
        <v>29.409999999999997</v>
      </c>
      <c r="AJ291" s="28">
        <f>ABS(W291-C291)</f>
        <v>21.0</v>
      </c>
      <c r="AK291" s="28">
        <f>ABS(Q291-D291)</f>
        <v>20.33</v>
      </c>
      <c r="AL291" s="28">
        <f>ABS(X291-D291)</f>
        <v>20.5</v>
      </c>
      <c r="AM291" s="17" t="str">
        <f>IF(H291&gt;S291,"Ev",IF(H291&lt;S291,"Dep",""))</f>
        <v>Dep</v>
      </c>
      <c r="AN291" s="17" t="str">
        <f>IF(AM291="","",IF(E291=S291,"Push",IF((E291&gt;S291)=(AM291="Ev"),"Kazandı","Kaybetti")))</f>
        <v>Kaybetti</v>
      </c>
      <c r="AO291" s="30">
        <f>IF(AM291="","",IF(AN291="Push",0,IF(AN291="Kazandı",IF(AM291="Ev",Oranlar!P291,Oranlar!Q291)-1,-1)))</f>
        <v>-1.0</v>
      </c>
      <c r="AP291" s="17" t="str">
        <f>IF(L291&gt;U291,"Üst",IF(L291&lt;U291,"Alt",""))</f>
        <v>Alt</v>
      </c>
      <c r="AQ291" s="17" t="str">
        <f>IF(AP291="","",IF(F291=U291,"Push",IF((F291&gt;U291)=(AP291="Üst"),"Kazandı","Kaybetti")))</f>
        <v>Kaybetti</v>
      </c>
      <c r="AR291" s="30">
        <f>IF(AP291="","",IF(AQ291="Push",0,IF(AQ291="Kazandı",IF(AP291="Üst",Oranlar!W291,Oranlar!X291)-1,-1)))</f>
        <v>-1.0</v>
      </c>
      <c r="AS291" s="17" t="str">
        <f>IF(G291*Oranlar!R291&gt;1,"Ev",IF((1-G291)*Oranlar!S291&gt;1,"Dep",""))</f>
        <v>Dep</v>
      </c>
      <c r="AT291" s="30">
        <f>IF(AS291="","",IF((AS291="Ev")=(E291&gt;0),IF(AS291="Ev",Oranlar!R291,Oranlar!S291)-1,-1))</f>
        <v>-1.0</v>
      </c>
      <c r="AU291" s="16">
        <f>IF(OR(H291=T291,S291=T291),"",IF((H291&gt;T291)=(S291&gt;T291),1,0))</f>
        <v>0</v>
      </c>
      <c r="AV291" s="16">
        <f>IF(OR(L291=V291,U291=V291),"",IF((L291&gt;V291)=(U291&gt;V291),1,0))</f>
        <v>0</v>
      </c>
      <c r="AW291" s="16">
        <f>IF(AND(E291&gt;=J291,E291&lt;=K291),1,0)</f>
        <v>0</v>
      </c>
      <c r="AX291" s="16">
        <f>IF(AND(F291&gt;=N291,F291&lt;=O291),1,0)</f>
        <v>1</v>
      </c>
    </row>
    <row r="292" spans="1:50">
      <c r="A292" s="21">
        <f>Oranlar!A292</f>
        <v>46122</v>
      </c>
      <c r="B292" s="22" t="str">
        <f>Oranlar!C292&amp;" @ "&amp;Oranlar!D292</f>
        <v>OKC @ DEN</v>
      </c>
      <c r="C292" s="23">
        <f>Oranlar!F292</f>
        <v>127</v>
      </c>
      <c r="D292" s="23">
        <f>Oranlar!E292</f>
        <v>107</v>
      </c>
      <c r="E292" s="15">
        <f>C292-D292</f>
        <v>20</v>
      </c>
      <c r="F292" s="16">
        <f>C292+D292</f>
        <v>234</v>
      </c>
      <c r="G292" s="24">
        <v>0.369</v>
      </c>
      <c r="H292" s="10">
        <v>-4.25</v>
      </c>
      <c r="I292" s="10">
        <v>-0.6</v>
      </c>
      <c r="J292" s="10">
        <v>-19</v>
      </c>
      <c r="K292" s="10">
        <v>18</v>
      </c>
      <c r="L292" s="11">
        <v>231.41</v>
      </c>
      <c r="M292" s="11">
        <v>234.1</v>
      </c>
      <c r="N292" s="11">
        <v>206</v>
      </c>
      <c r="O292" s="11">
        <v>262</v>
      </c>
      <c r="P292" s="11">
        <v>113.4</v>
      </c>
      <c r="Q292" s="11">
        <v>117.51</v>
      </c>
      <c r="R292" s="25">
        <f>Oranlar!Y292</f>
        <v>0.5634920634920635</v>
      </c>
      <c r="S292" s="26">
        <f>-Oranlar!O292</f>
        <v>2.5</v>
      </c>
      <c r="T292" s="26">
        <f>-Oranlar!I292</f>
        <v>10.5</v>
      </c>
      <c r="U292" s="27">
        <f>Oranlar!V292</f>
        <v>223.5</v>
      </c>
      <c r="V292" s="27">
        <f>Oranlar!L292</f>
        <v>231.5</v>
      </c>
      <c r="W292" s="28">
        <f>(U292+S292)/2</f>
        <v>113.0</v>
      </c>
      <c r="X292" s="28">
        <f>(U292-S292)/2</f>
        <v>110.5</v>
      </c>
      <c r="Y292" s="16">
        <f>IF(G292=0.5,"",IF((G292&gt;0.5)=(E292&gt;0),1,0))</f>
        <v>0</v>
      </c>
      <c r="Z292" s="16">
        <f>IF(R292=0.5,"",IF((R292&gt;0.5)=(E292&gt;0),1,0))</f>
        <v>1</v>
      </c>
      <c r="AA292" s="29">
        <f>(G292-IF(E292&gt;0,1,0))^2</f>
        <v>0.398161</v>
      </c>
      <c r="AB292" s="29">
        <f>(R292-IF(E292&gt;0,1,0))^2</f>
        <v>0.19053917863441674</v>
      </c>
      <c r="AC292" s="28">
        <f>ABS(H292-E292)</f>
        <v>24.25</v>
      </c>
      <c r="AD292" s="28">
        <f>ABS(I292-E292)</f>
        <v>20.6</v>
      </c>
      <c r="AE292" s="28">
        <f>ABS(S292-E292)</f>
        <v>17.5</v>
      </c>
      <c r="AF292" s="28">
        <f>ABS(L292-F292)</f>
        <v>2.5900000000000034</v>
      </c>
      <c r="AG292" s="28">
        <f>ABS(M292-F292)</f>
        <v>0.09999999999999432</v>
      </c>
      <c r="AH292" s="28">
        <f>ABS(U292-F292)</f>
        <v>10.5</v>
      </c>
      <c r="AI292" s="28">
        <f>ABS(P292-C292)</f>
        <v>13.599999999999994</v>
      </c>
      <c r="AJ292" s="28">
        <f>ABS(W292-C292)</f>
        <v>14.0</v>
      </c>
      <c r="AK292" s="28">
        <f>ABS(Q292-D292)</f>
        <v>10.510000000000005</v>
      </c>
      <c r="AL292" s="28">
        <f>ABS(X292-D292)</f>
        <v>3.5</v>
      </c>
      <c r="AM292" s="17" t="str">
        <f>IF(H292&gt;S292,"Ev",IF(H292&lt;S292,"Dep",""))</f>
        <v>Dep</v>
      </c>
      <c r="AN292" s="17" t="str">
        <f>IF(AM292="","",IF(E292=S292,"Push",IF((E292&gt;S292)=(AM292="Ev"),"Kazandı","Kaybetti")))</f>
        <v>Kaybetti</v>
      </c>
      <c r="AO292" s="30">
        <f>IF(AM292="","",IF(AN292="Push",0,IF(AN292="Kazandı",IF(AM292="Ev",Oranlar!P292,Oranlar!Q292)-1,-1)))</f>
        <v>-1.0</v>
      </c>
      <c r="AP292" s="17" t="str">
        <f>IF(L292&gt;U292,"Üst",IF(L292&lt;U292,"Alt",""))</f>
        <v>Üst</v>
      </c>
      <c r="AQ292" s="17" t="str">
        <f>IF(AP292="","",IF(F292=U292,"Push",IF((F292&gt;U292)=(AP292="Üst"),"Kazandı","Kaybetti")))</f>
        <v>Kazandı</v>
      </c>
      <c r="AR292" s="30">
        <f>IF(AP292="","",IF(AQ292="Push",0,IF(AQ292="Kazandı",IF(AP292="Üst",Oranlar!W292,Oranlar!X292)-1,-1)))</f>
        <v>0.925925925925926</v>
      </c>
      <c r="AS292" s="17" t="str">
        <f>IF(G292*Oranlar!R292&gt;1,"Ev",IF((1-G292)*Oranlar!S292&gt;1,"Dep",""))</f>
        <v>Dep</v>
      </c>
      <c r="AT292" s="30">
        <f>IF(AS292="","",IF((AS292="Ev")=(E292&gt;0),IF(AS292="Ev",Oranlar!R292,Oranlar!S292)-1,-1))</f>
        <v>-1.0</v>
      </c>
      <c r="AU292" s="16">
        <f>IF(OR(H292=T292,S292=T292),"",IF((H292&gt;T292)=(S292&gt;T292),1,0))</f>
        <v>1</v>
      </c>
      <c r="AV292" s="16">
        <f>IF(OR(L292=V292,U292=V292),"",IF((L292&gt;V292)=(U292&gt;V292),1,0))</f>
        <v>1</v>
      </c>
      <c r="AW292" s="16">
        <f>IF(AND(E292&gt;=J292,E292&lt;=K292),1,0)</f>
        <v>0</v>
      </c>
      <c r="AX292" s="16">
        <f>IF(AND(F292&gt;=N292,F292&lt;=O292),1,0)</f>
        <v>1</v>
      </c>
    </row>
    <row r="293" spans="1:50">
      <c r="A293" s="21">
        <f>Oranlar!A293</f>
        <v>46122</v>
      </c>
      <c r="B293" s="22" t="str">
        <f>Oranlar!C293&amp;" @ "&amp;Oranlar!D293</f>
        <v>LAC @ POR</v>
      </c>
      <c r="C293" s="23">
        <f>Oranlar!F293</f>
        <v>116</v>
      </c>
      <c r="D293" s="23">
        <f>Oranlar!E293</f>
        <v>97</v>
      </c>
      <c r="E293" s="15">
        <f>C293-D293</f>
        <v>19</v>
      </c>
      <c r="F293" s="16">
        <f>C293+D293</f>
        <v>213</v>
      </c>
      <c r="G293" s="24">
        <v>0.483</v>
      </c>
      <c r="H293" s="10">
        <v>0.39</v>
      </c>
      <c r="I293" s="10">
        <v>1.5</v>
      </c>
      <c r="J293" s="10">
        <v>-16</v>
      </c>
      <c r="K293" s="10">
        <v>20</v>
      </c>
      <c r="L293" s="11">
        <v>223.79</v>
      </c>
      <c r="M293" s="11">
        <v>223.7</v>
      </c>
      <c r="N293" s="11">
        <v>197</v>
      </c>
      <c r="O293" s="11">
        <v>251</v>
      </c>
      <c r="P293" s="11">
        <v>113.59</v>
      </c>
      <c r="Q293" s="11">
        <v>110.52</v>
      </c>
      <c r="R293" s="25">
        <f>Oranlar!Y293</f>
        <v>0.5260865852617197</v>
      </c>
      <c r="S293" s="26">
        <f>-Oranlar!O293</f>
        <v>1.5</v>
      </c>
      <c r="T293" s="26">
        <f>-Oranlar!I293</f>
        <v>1.5</v>
      </c>
      <c r="U293" s="27">
        <f>Oranlar!V293</f>
        <v>226.5</v>
      </c>
      <c r="V293" s="27">
        <f>Oranlar!L293</f>
        <v>225.5</v>
      </c>
      <c r="W293" s="28">
        <f>(U293+S293)/2</f>
        <v>114.0</v>
      </c>
      <c r="X293" s="28">
        <f>(U293-S293)/2</f>
        <v>112.5</v>
      </c>
      <c r="Y293" s="16">
        <f>IF(G293=0.5,"",IF((G293&gt;0.5)=(E293&gt;0),1,0))</f>
        <v>0</v>
      </c>
      <c r="Z293" s="16">
        <f>IF(R293=0.5,"",IF((R293&gt;0.5)=(E293&gt;0),1,0))</f>
        <v>1</v>
      </c>
      <c r="AA293" s="29">
        <f>(G293-IF(E293&gt;0,1,0))^2</f>
        <v>0.267289</v>
      </c>
      <c r="AB293" s="29">
        <f>(R293-IF(E293&gt;0,1,0))^2</f>
        <v>0.22459392466889727</v>
      </c>
      <c r="AC293" s="28">
        <f>ABS(H293-E293)</f>
        <v>18.61</v>
      </c>
      <c r="AD293" s="28">
        <f>ABS(I293-E293)</f>
        <v>17.5</v>
      </c>
      <c r="AE293" s="28">
        <f>ABS(S293-E293)</f>
        <v>17.5</v>
      </c>
      <c r="AF293" s="28">
        <f>ABS(L293-F293)</f>
        <v>10.789999999999992</v>
      </c>
      <c r="AG293" s="28">
        <f>ABS(M293-F293)</f>
        <v>10.699999999999989</v>
      </c>
      <c r="AH293" s="28">
        <f>ABS(U293-F293)</f>
        <v>13.5</v>
      </c>
      <c r="AI293" s="28">
        <f>ABS(P293-C293)</f>
        <v>2.4099999999999966</v>
      </c>
      <c r="AJ293" s="28">
        <f>ABS(W293-C293)</f>
        <v>2.0</v>
      </c>
      <c r="AK293" s="28">
        <f>ABS(Q293-D293)</f>
        <v>13.519999999999996</v>
      </c>
      <c r="AL293" s="28">
        <f>ABS(X293-D293)</f>
        <v>15.5</v>
      </c>
      <c r="AM293" s="17" t="str">
        <f>IF(H293&gt;S293,"Ev",IF(H293&lt;S293,"Dep",""))</f>
        <v>Dep</v>
      </c>
      <c r="AN293" s="17" t="str">
        <f>IF(AM293="","",IF(E293=S293,"Push",IF((E293&gt;S293)=(AM293="Ev"),"Kazandı","Kaybetti")))</f>
        <v>Kaybetti</v>
      </c>
      <c r="AO293" s="30">
        <f>IF(AM293="","",IF(AN293="Push",0,IF(AN293="Kazandı",IF(AM293="Ev",Oranlar!P293,Oranlar!Q293)-1,-1)))</f>
        <v>-1.0</v>
      </c>
      <c r="AP293" s="17" t="str">
        <f>IF(L293&gt;U293,"Üst",IF(L293&lt;U293,"Alt",""))</f>
        <v>Alt</v>
      </c>
      <c r="AQ293" s="17" t="str">
        <f>IF(AP293="","",IF(F293=U293,"Push",IF((F293&gt;U293)=(AP293="Üst"),"Kazandı","Kaybetti")))</f>
        <v>Kazandı</v>
      </c>
      <c r="AR293" s="30">
        <f>IF(AP293="","",IF(AQ293="Push",0,IF(AQ293="Kazandı",IF(AP293="Üst",Oranlar!W293,Oranlar!X293)-1,-1)))</f>
        <v>0.925925925925926</v>
      </c>
      <c r="AS293" s="17" t="str">
        <f>IF(G293*Oranlar!R293&gt;1,"Ev",IF((1-G293)*Oranlar!S293&gt;1,"Dep",""))</f>
        <v>Dep</v>
      </c>
      <c r="AT293" s="30">
        <f>IF(AS293="","",IF((AS293="Ev")=(E293&gt;0),IF(AS293="Ev",Oranlar!R293,Oranlar!S293)-1,-1))</f>
        <v>-1.0</v>
      </c>
      <c r="AU293" s="16">
        <f>IF(OR(H293=T293,S293=T293),"",IF((H293&gt;T293)=(S293&gt;T293),1,0))</f>
        <v/>
      </c>
      <c r="AV293" s="16">
        <f>IF(OR(L293=V293,U293=V293),"",IF((L293&gt;V293)=(U293&gt;V293),1,0))</f>
        <v>0</v>
      </c>
      <c r="AW293" s="16">
        <f>IF(AND(E293&gt;=J293,E293&lt;=K293),1,0)</f>
        <v>1</v>
      </c>
      <c r="AX293" s="16">
        <f>IF(AND(F293&gt;=N293,F293&lt;=O293),1,0)</f>
        <v>1</v>
      </c>
    </row>
    <row r="294" spans="1:50">
      <c r="A294" s="21">
        <f>Oranlar!A294</f>
        <v>46122</v>
      </c>
      <c r="B294" s="22" t="str">
        <f>Oranlar!C294&amp;" @ "&amp;Oranlar!D294</f>
        <v>GSW @ SAC</v>
      </c>
      <c r="C294" s="23">
        <f>Oranlar!F294</f>
        <v>124</v>
      </c>
      <c r="D294" s="23">
        <f>Oranlar!E294</f>
        <v>118</v>
      </c>
      <c r="E294" s="15">
        <f>C294-D294</f>
        <v>6</v>
      </c>
      <c r="F294" s="16">
        <f>C294+D294</f>
        <v>242</v>
      </c>
      <c r="G294" s="24">
        <v>0.339</v>
      </c>
      <c r="H294" s="10">
        <v>-6.23</v>
      </c>
      <c r="I294" s="10">
        <v>-5.2</v>
      </c>
      <c r="J294" s="10">
        <v>-24</v>
      </c>
      <c r="K294" s="10">
        <v>14</v>
      </c>
      <c r="L294" s="11">
        <v>232.5</v>
      </c>
      <c r="M294" s="11">
        <v>234.3</v>
      </c>
      <c r="N294" s="11">
        <v>206</v>
      </c>
      <c r="O294" s="11">
        <v>262</v>
      </c>
      <c r="P294" s="11">
        <v>114.66</v>
      </c>
      <c r="Q294" s="11">
        <v>120.83</v>
      </c>
      <c r="R294" s="25">
        <f>Oranlar!Y294</f>
        <v>0.19999999999999998</v>
      </c>
      <c r="S294" s="26">
        <f>-Oranlar!O294</f>
        <v>-10.5</v>
      </c>
      <c r="T294" s="26">
        <f>-Oranlar!I294</f>
        <v>-11.5</v>
      </c>
      <c r="U294" s="27">
        <f>Oranlar!V294</f>
        <v>228.5</v>
      </c>
      <c r="V294" s="27">
        <f>Oranlar!L294</f>
        <v>229.5</v>
      </c>
      <c r="W294" s="28">
        <f>(U294+S294)/2</f>
        <v>109.0</v>
      </c>
      <c r="X294" s="28">
        <f>(U294-S294)/2</f>
        <v>119.5</v>
      </c>
      <c r="Y294" s="16">
        <f>IF(G294=0.5,"",IF((G294&gt;0.5)=(E294&gt;0),1,0))</f>
        <v>0</v>
      </c>
      <c r="Z294" s="16">
        <f>IF(R294=0.5,"",IF((R294&gt;0.5)=(E294&gt;0),1,0))</f>
        <v>0</v>
      </c>
      <c r="AA294" s="29">
        <f>(G294-IF(E294&gt;0,1,0))^2</f>
        <v>0.43692100000000006</v>
      </c>
      <c r="AB294" s="29">
        <f>(R294-IF(E294&gt;0,1,0))^2</f>
        <v>0.6400000000000001</v>
      </c>
      <c r="AC294" s="28">
        <f>ABS(H294-E294)</f>
        <v>12.23</v>
      </c>
      <c r="AD294" s="28">
        <f>ABS(I294-E294)</f>
        <v>11.2</v>
      </c>
      <c r="AE294" s="28">
        <f>ABS(S294-E294)</f>
        <v>16.5</v>
      </c>
      <c r="AF294" s="28">
        <f>ABS(L294-F294)</f>
        <v>9.5</v>
      </c>
      <c r="AG294" s="28">
        <f>ABS(M294-F294)</f>
        <v>7.699999999999989</v>
      </c>
      <c r="AH294" s="28">
        <f>ABS(U294-F294)</f>
        <v>13.5</v>
      </c>
      <c r="AI294" s="28">
        <f>ABS(P294-C294)</f>
        <v>9.340000000000003</v>
      </c>
      <c r="AJ294" s="28">
        <f>ABS(W294-C294)</f>
        <v>15.0</v>
      </c>
      <c r="AK294" s="28">
        <f>ABS(Q294-D294)</f>
        <v>2.8299999999999983</v>
      </c>
      <c r="AL294" s="28">
        <f>ABS(X294-D294)</f>
        <v>1.5</v>
      </c>
      <c r="AM294" s="17" t="str">
        <f>IF(H294&gt;S294,"Ev",IF(H294&lt;S294,"Dep",""))</f>
        <v>Ev</v>
      </c>
      <c r="AN294" s="17" t="str">
        <f>IF(AM294="","",IF(E294=S294,"Push",IF((E294&gt;S294)=(AM294="Ev"),"Kazandı","Kaybetti")))</f>
        <v>Kazandı</v>
      </c>
      <c r="AO294" s="30">
        <f>IF(AM294="","",IF(AN294="Push",0,IF(AN294="Kazandı",IF(AM294="Ev",Oranlar!P294,Oranlar!Q294)-1,-1)))</f>
        <v>0.9803921568627452</v>
      </c>
      <c r="AP294" s="17" t="str">
        <f>IF(L294&gt;U294,"Üst",IF(L294&lt;U294,"Alt",""))</f>
        <v>Üst</v>
      </c>
      <c r="AQ294" s="17" t="str">
        <f>IF(AP294="","",IF(F294=U294,"Push",IF((F294&gt;U294)=(AP294="Üst"),"Kazandı","Kaybetti")))</f>
        <v>Kazandı</v>
      </c>
      <c r="AR294" s="30">
        <f>IF(AP294="","",IF(AQ294="Push",0,IF(AQ294="Kazandı",IF(AP294="Üst",Oranlar!W294,Oranlar!X294)-1,-1)))</f>
        <v>0.8928571428571428</v>
      </c>
      <c r="AS294" s="17" t="str">
        <f>IF(G294*Oranlar!R294&gt;1,"Ev",IF((1-G294)*Oranlar!S294&gt;1,"Dep",""))</f>
        <v>Ev</v>
      </c>
      <c r="AT294" s="30">
        <f>IF(AS294="","",IF((AS294="Ev")=(E294&gt;0),IF(AS294="Ev",Oranlar!R294,Oranlar!S294)-1,-1))</f>
        <v>3.8</v>
      </c>
      <c r="AU294" s="16">
        <f>IF(OR(H294=T294,S294=T294),"",IF((H294&gt;T294)=(S294&gt;T294),1,0))</f>
        <v>1</v>
      </c>
      <c r="AV294" s="16">
        <f>IF(OR(L294=V294,U294=V294),"",IF((L294&gt;V294)=(U294&gt;V294),1,0))</f>
        <v>0</v>
      </c>
      <c r="AW294" s="16">
        <f>IF(AND(E294&gt;=J294,E294&lt;=K294),1,0)</f>
        <v>1</v>
      </c>
      <c r="AX294" s="16">
        <f>IF(AND(F294&gt;=N294,F294&lt;=O294),1,0)</f>
        <v>1</v>
      </c>
    </row>
    <row r="295" spans="1:50">
      <c r="A295" s="21">
        <f>Oranlar!A295</f>
        <v>46122</v>
      </c>
      <c r="B295" s="22" t="str">
        <f>Oranlar!C295&amp;" @ "&amp;Oranlar!D295</f>
        <v>PHX @ LAL</v>
      </c>
      <c r="C295" s="23">
        <f>Oranlar!F295</f>
        <v>101</v>
      </c>
      <c r="D295" s="23">
        <f>Oranlar!E295</f>
        <v>73</v>
      </c>
      <c r="E295" s="15">
        <f>C295-D295</f>
        <v>28</v>
      </c>
      <c r="F295" s="16">
        <f>C295+D295</f>
        <v>174</v>
      </c>
      <c r="G295" s="24">
        <v>0.572</v>
      </c>
      <c r="H295" s="10">
        <v>2.37</v>
      </c>
      <c r="I295" s="10">
        <v>4.3</v>
      </c>
      <c r="J295" s="10">
        <v>-14</v>
      </c>
      <c r="K295" s="10">
        <v>23</v>
      </c>
      <c r="L295" s="11">
        <v>224.11</v>
      </c>
      <c r="M295" s="11">
        <v>227</v>
      </c>
      <c r="N295" s="11">
        <v>200</v>
      </c>
      <c r="O295" s="11">
        <v>254</v>
      </c>
      <c r="P295" s="11">
        <v>113.04</v>
      </c>
      <c r="Q295" s="11">
        <v>112.36</v>
      </c>
      <c r="R295" s="25">
        <f>Oranlar!Y295</f>
        <v>0.4572564612326044</v>
      </c>
      <c r="S295" s="26">
        <f>-Oranlar!O295</f>
        <v>-2.5</v>
      </c>
      <c r="T295" s="26">
        <f>-Oranlar!I295</f>
        <v>-1.5</v>
      </c>
      <c r="U295" s="27">
        <f>Oranlar!V295</f>
        <v>217.5</v>
      </c>
      <c r="V295" s="27">
        <f>Oranlar!L295</f>
        <v>220.5</v>
      </c>
      <c r="W295" s="28">
        <f>(U295+S295)/2</f>
        <v>107.5</v>
      </c>
      <c r="X295" s="28">
        <f>(U295-S295)/2</f>
        <v>110.0</v>
      </c>
      <c r="Y295" s="16">
        <f>IF(G295=0.5,"",IF((G295&gt;0.5)=(E295&gt;0),1,0))</f>
        <v>1</v>
      </c>
      <c r="Z295" s="16">
        <f>IF(R295=0.5,"",IF((R295&gt;0.5)=(E295&gt;0),1,0))</f>
        <v>0</v>
      </c>
      <c r="AA295" s="29">
        <f>(G295-IF(E295&gt;0,1,0))^2</f>
        <v>0.18318400000000004</v>
      </c>
      <c r="AB295" s="29">
        <f>(R295-IF(E295&gt;0,1,0))^2</f>
        <v>0.2945705488737554</v>
      </c>
      <c r="AC295" s="28">
        <f>ABS(H295-E295)</f>
        <v>25.63</v>
      </c>
      <c r="AD295" s="28">
        <f>ABS(I295-E295)</f>
        <v>23.7</v>
      </c>
      <c r="AE295" s="28">
        <f>ABS(S295-E295)</f>
        <v>30.5</v>
      </c>
      <c r="AF295" s="28">
        <f>ABS(L295-F295)</f>
        <v>50.110000000000014</v>
      </c>
      <c r="AG295" s="28">
        <f>ABS(M295-F295)</f>
        <v>53.0</v>
      </c>
      <c r="AH295" s="28">
        <f>ABS(U295-F295)</f>
        <v>43.5</v>
      </c>
      <c r="AI295" s="28">
        <f>ABS(P295-C295)</f>
        <v>12.040000000000006</v>
      </c>
      <c r="AJ295" s="28">
        <f>ABS(W295-C295)</f>
        <v>6.5</v>
      </c>
      <c r="AK295" s="28">
        <f>ABS(Q295-D295)</f>
        <v>39.36</v>
      </c>
      <c r="AL295" s="28">
        <f>ABS(X295-D295)</f>
        <v>37.0</v>
      </c>
      <c r="AM295" s="17" t="str">
        <f>IF(H295&gt;S295,"Ev",IF(H295&lt;S295,"Dep",""))</f>
        <v>Ev</v>
      </c>
      <c r="AN295" s="17" t="str">
        <f>IF(AM295="","",IF(E295=S295,"Push",IF((E295&gt;S295)=(AM295="Ev"),"Kazandı","Kaybetti")))</f>
        <v>Kazandı</v>
      </c>
      <c r="AO295" s="30">
        <f>IF(AM295="","",IF(AN295="Push",0,IF(AN295="Kazandı",IF(AM295="Ev",Oranlar!P295,Oranlar!Q295)-1,-1)))</f>
        <v>0.8695652173913042</v>
      </c>
      <c r="AP295" s="17" t="str">
        <f>IF(L295&gt;U295,"Üst",IF(L295&lt;U295,"Alt",""))</f>
        <v>Üst</v>
      </c>
      <c r="AQ295" s="17" t="str">
        <f>IF(AP295="","",IF(F295=U295,"Push",IF((F295&gt;U295)=(AP295="Üst"),"Kazandı","Kaybetti")))</f>
        <v>Kaybetti</v>
      </c>
      <c r="AR295" s="30">
        <f>IF(AP295="","",IF(AQ295="Push",0,IF(AQ295="Kazandı",IF(AP295="Üst",Oranlar!W295,Oranlar!X295)-1,-1)))</f>
        <v>-1.0</v>
      </c>
      <c r="AS295" s="17" t="str">
        <f>IF(G295*Oranlar!R295&gt;1,"Ev",IF((1-G295)*Oranlar!S295&gt;1,"Dep",""))</f>
        <v>Ev</v>
      </c>
      <c r="AT295" s="30">
        <f>IF(AS295="","",IF((AS295="Ev")=(E295&gt;0),IF(AS295="Ev",Oranlar!R295,Oranlar!S295)-1,-1))</f>
        <v>1.1</v>
      </c>
      <c r="AU295" s="16">
        <f>IF(OR(H295=T295,S295=T295),"",IF((H295&gt;T295)=(S295&gt;T295),1,0))</f>
        <v>0</v>
      </c>
      <c r="AV295" s="16">
        <f>IF(OR(L295=V295,U295=V295),"",IF((L295&gt;V295)=(U295&gt;V295),1,0))</f>
        <v>0</v>
      </c>
      <c r="AW295" s="16">
        <f>IF(AND(E295&gt;=J295,E295&lt;=K295),1,0)</f>
        <v>0</v>
      </c>
      <c r="AX295" s="16">
        <f>IF(AND(F295&gt;=N295,F295&lt;=O295),1,0)</f>
        <v>0</v>
      </c>
    </row>
    <row r="296" spans="1:50">
      <c r="A296" s="21">
        <f>Oranlar!A296</f>
        <v>46124</v>
      </c>
      <c r="B296" s="22" t="str">
        <f>Oranlar!C296&amp;" @ "&amp;Oranlar!D296</f>
        <v>ORL @ BOS</v>
      </c>
      <c r="C296" s="23">
        <f>Oranlar!F296</f>
        <v>113</v>
      </c>
      <c r="D296" s="23">
        <f>Oranlar!E296</f>
        <v>108</v>
      </c>
      <c r="E296" s="15">
        <f>C296-D296</f>
        <v>5</v>
      </c>
      <c r="F296" s="16">
        <f>C296+D296</f>
        <v>221</v>
      </c>
      <c r="G296" s="24">
        <v>0.581</v>
      </c>
      <c r="H296" s="10">
        <v>2.4</v>
      </c>
      <c r="I296" s="10">
        <v>4.8</v>
      </c>
      <c r="J296" s="10">
        <v>-13</v>
      </c>
      <c r="K296" s="10">
        <v>24</v>
      </c>
      <c r="L296" s="11">
        <v>229</v>
      </c>
      <c r="M296" s="11">
        <v>230.6</v>
      </c>
      <c r="N296" s="11">
        <v>203</v>
      </c>
      <c r="O296" s="11">
        <v>258</v>
      </c>
      <c r="P296" s="11">
        <v>117.61</v>
      </c>
      <c r="Q296" s="11">
        <v>114.03</v>
      </c>
      <c r="R296" s="25">
        <f>Oranlar!Y296</f>
        <v>0.15349887133182846</v>
      </c>
      <c r="S296" s="26">
        <f>-Oranlar!O296</f>
        <v>-12.5</v>
      </c>
      <c r="T296" s="26">
        <f>-Oranlar!I296</f>
        <v>-3.5</v>
      </c>
      <c r="U296" s="27">
        <f>Oranlar!V296</f>
        <v>222.5</v>
      </c>
      <c r="V296" s="27">
        <f>Oranlar!L296</f>
        <v>216.5</v>
      </c>
      <c r="W296" s="28">
        <f>(U296+S296)/2</f>
        <v>105.0</v>
      </c>
      <c r="X296" s="28">
        <f>(U296-S296)/2</f>
        <v>117.5</v>
      </c>
      <c r="Y296" s="16">
        <f>IF(G296=0.5,"",IF((G296&gt;0.5)=(E296&gt;0),1,0))</f>
        <v>1</v>
      </c>
      <c r="Z296" s="16">
        <f>IF(R296=0.5,"",IF((R296&gt;0.5)=(E296&gt;0),1,0))</f>
        <v>0</v>
      </c>
      <c r="AA296" s="29">
        <f>(G296-IF(E296&gt;0,1,0))^2</f>
        <v>0.17556100000000002</v>
      </c>
      <c r="AB296" s="29">
        <f>(R296-IF(E296&gt;0,1,0))^2</f>
        <v>0.7165641608364882</v>
      </c>
      <c r="AC296" s="28">
        <f>ABS(H296-E296)</f>
        <v>2.6</v>
      </c>
      <c r="AD296" s="28">
        <f>ABS(I296-E296)</f>
        <v>0.20000000000000018</v>
      </c>
      <c r="AE296" s="28">
        <f>ABS(S296-E296)</f>
        <v>17.5</v>
      </c>
      <c r="AF296" s="28">
        <f>ABS(L296-F296)</f>
        <v>8.0</v>
      </c>
      <c r="AG296" s="28">
        <f>ABS(M296-F296)</f>
        <v>9.599999999999994</v>
      </c>
      <c r="AH296" s="28">
        <f>ABS(U296-F296)</f>
        <v>1.5</v>
      </c>
      <c r="AI296" s="28">
        <f>ABS(P296-C296)</f>
        <v>4.609999999999999</v>
      </c>
      <c r="AJ296" s="28">
        <f>ABS(W296-C296)</f>
        <v>8.0</v>
      </c>
      <c r="AK296" s="28">
        <f>ABS(Q296-D296)</f>
        <v>6.030000000000001</v>
      </c>
      <c r="AL296" s="28">
        <f>ABS(X296-D296)</f>
        <v>9.5</v>
      </c>
      <c r="AM296" s="17" t="str">
        <f>IF(H296&gt;S296,"Ev",IF(H296&lt;S296,"Dep",""))</f>
        <v>Ev</v>
      </c>
      <c r="AN296" s="17" t="str">
        <f>IF(AM296="","",IF(E296=S296,"Push",IF((E296&gt;S296)=(AM296="Ev"),"Kazandı","Kaybetti")))</f>
        <v>Kazandı</v>
      </c>
      <c r="AO296" s="30">
        <f>IF(AM296="","",IF(AN296="Push",0,IF(AN296="Kazandı",IF(AM296="Ev",Oranlar!P296,Oranlar!Q296)-1,-1)))</f>
        <v>0.9803921568627452</v>
      </c>
      <c r="AP296" s="17" t="str">
        <f>IF(L296&gt;U296,"Üst",IF(L296&lt;U296,"Alt",""))</f>
        <v>Üst</v>
      </c>
      <c r="AQ296" s="17" t="str">
        <f>IF(AP296="","",IF(F296=U296,"Push",IF((F296&gt;U296)=(AP296="Üst"),"Kazandı","Kaybetti")))</f>
        <v>Kaybetti</v>
      </c>
      <c r="AR296" s="30">
        <f>IF(AP296="","",IF(AQ296="Push",0,IF(AQ296="Kazandı",IF(AP296="Üst",Oranlar!W296,Oranlar!X296)-1,-1)))</f>
        <v>-1.0</v>
      </c>
      <c r="AS296" s="17" t="str">
        <f>IF(G296*Oranlar!R296&gt;1,"Ev",IF((1-G296)*Oranlar!S296&gt;1,"Dep",""))</f>
        <v>Ev</v>
      </c>
      <c r="AT296" s="30">
        <f>IF(AS296="","",IF((AS296="Ev")=(E296&gt;0),IF(AS296="Ev",Oranlar!R296,Oranlar!S296)-1,-1))</f>
        <v>5.25</v>
      </c>
      <c r="AU296" s="16">
        <f>IF(OR(H296=T296,S296=T296),"",IF((H296&gt;T296)=(S296&gt;T296),1,0))</f>
        <v>0</v>
      </c>
      <c r="AV296" s="16">
        <f>IF(OR(L296=V296,U296=V296),"",IF((L296&gt;V296)=(U296&gt;V296),1,0))</f>
        <v>1</v>
      </c>
      <c r="AW296" s="16">
        <f>IF(AND(E296&gt;=J296,E296&lt;=K296),1,0)</f>
        <v>1</v>
      </c>
      <c r="AX296" s="16">
        <f>IF(AND(F296&gt;=N296,F296&lt;=O296),1,0)</f>
        <v>1</v>
      </c>
    </row>
    <row r="297" spans="1:50">
      <c r="A297" s="21">
        <f>Oranlar!A297</f>
        <v>46124</v>
      </c>
      <c r="B297" s="22" t="str">
        <f>Oranlar!C297&amp;" @ "&amp;Oranlar!D297</f>
        <v>WAS @ CLE</v>
      </c>
      <c r="C297" s="23">
        <f>Oranlar!F297</f>
        <v>130</v>
      </c>
      <c r="D297" s="23">
        <f>Oranlar!E297</f>
        <v>117</v>
      </c>
      <c r="E297" s="15">
        <f>C297-D297</f>
        <v>13</v>
      </c>
      <c r="F297" s="16">
        <f>C297+D297</f>
        <v>247</v>
      </c>
      <c r="G297" s="24">
        <v>0.668</v>
      </c>
      <c r="H297" s="10">
        <v>6.88</v>
      </c>
      <c r="I297" s="10">
        <v>-1.6</v>
      </c>
      <c r="J297" s="10">
        <v>-20</v>
      </c>
      <c r="K297" s="10">
        <v>17</v>
      </c>
      <c r="L297" s="11">
        <v>232.59</v>
      </c>
      <c r="M297" s="11">
        <v>232.6</v>
      </c>
      <c r="N297" s="11">
        <v>205</v>
      </c>
      <c r="O297" s="11">
        <v>260</v>
      </c>
      <c r="P297" s="11">
        <v>117.96</v>
      </c>
      <c r="Q297" s="11">
        <v>115.98</v>
      </c>
      <c r="R297" s="25">
        <f>Oranlar!Y297</f>
        <v>0.7999999999999999</v>
      </c>
      <c r="S297" s="26">
        <f>-Oranlar!O297</f>
        <v>10.5</v>
      </c>
      <c r="T297" s="26">
        <f>-Oranlar!I297</f>
        <v>17.5</v>
      </c>
      <c r="U297" s="27">
        <f>Oranlar!V297</f>
        <v>234.5</v>
      </c>
      <c r="V297" s="27">
        <f>Oranlar!L297</f>
        <v>238.5</v>
      </c>
      <c r="W297" s="28">
        <f>(U297+S297)/2</f>
        <v>122.5</v>
      </c>
      <c r="X297" s="28">
        <f>(U297-S297)/2</f>
        <v>112.0</v>
      </c>
      <c r="Y297" s="16">
        <f>IF(G297=0.5,"",IF((G297&gt;0.5)=(E297&gt;0),1,0))</f>
        <v>1</v>
      </c>
      <c r="Z297" s="16">
        <f>IF(R297=0.5,"",IF((R297&gt;0.5)=(E297&gt;0),1,0))</f>
        <v>1</v>
      </c>
      <c r="AA297" s="29">
        <f>(G297-IF(E297&gt;0,1,0))^2</f>
        <v>0.11022399999999997</v>
      </c>
      <c r="AB297" s="29">
        <f>(R297-IF(E297&gt;0,1,0))^2</f>
        <v>0.04000000000000003</v>
      </c>
      <c r="AC297" s="28">
        <f>ABS(H297-E297)</f>
        <v>6.12</v>
      </c>
      <c r="AD297" s="28">
        <f>ABS(I297-E297)</f>
        <v>14.6</v>
      </c>
      <c r="AE297" s="28">
        <f>ABS(S297-E297)</f>
        <v>2.5</v>
      </c>
      <c r="AF297" s="28">
        <f>ABS(L297-F297)</f>
        <v>14.409999999999997</v>
      </c>
      <c r="AG297" s="28">
        <f>ABS(M297-F297)</f>
        <v>14.400000000000006</v>
      </c>
      <c r="AH297" s="28">
        <f>ABS(U297-F297)</f>
        <v>12.5</v>
      </c>
      <c r="AI297" s="28">
        <f>ABS(P297-C297)</f>
        <v>12.040000000000006</v>
      </c>
      <c r="AJ297" s="28">
        <f>ABS(W297-C297)</f>
        <v>7.5</v>
      </c>
      <c r="AK297" s="28">
        <f>ABS(Q297-D297)</f>
        <v>1.019999999999996</v>
      </c>
      <c r="AL297" s="28">
        <f>ABS(X297-D297)</f>
        <v>5.0</v>
      </c>
      <c r="AM297" s="17" t="str">
        <f>IF(H297&gt;S297,"Ev",IF(H297&lt;S297,"Dep",""))</f>
        <v>Dep</v>
      </c>
      <c r="AN297" s="17" t="str">
        <f>IF(AM297="","",IF(E297=S297,"Push",IF((E297&gt;S297)=(AM297="Ev"),"Kazandı","Kaybetti")))</f>
        <v>Kaybetti</v>
      </c>
      <c r="AO297" s="30">
        <f>IF(AM297="","",IF(AN297="Push",0,IF(AN297="Kazandı",IF(AM297="Ev",Oranlar!P297,Oranlar!Q297)-1,-1)))</f>
        <v>-1.0</v>
      </c>
      <c r="AP297" s="17" t="str">
        <f>IF(L297&gt;U297,"Üst",IF(L297&lt;U297,"Alt",""))</f>
        <v>Alt</v>
      </c>
      <c r="AQ297" s="17" t="str">
        <f>IF(AP297="","",IF(F297=U297,"Push",IF((F297&gt;U297)=(AP297="Üst"),"Kazandı","Kaybetti")))</f>
        <v>Kaybetti</v>
      </c>
      <c r="AR297" s="30">
        <f>IF(AP297="","",IF(AQ297="Push",0,IF(AQ297="Kazandı",IF(AP297="Üst",Oranlar!W297,Oranlar!X297)-1,-1)))</f>
        <v>-1.0</v>
      </c>
      <c r="AS297" s="17" t="str">
        <f>IF(G297*Oranlar!R297&gt;1,"Ev",IF((1-G297)*Oranlar!S297&gt;1,"Dep",""))</f>
        <v>Dep</v>
      </c>
      <c r="AT297" s="30">
        <f>IF(AS297="","",IF((AS297="Ev")=(E297&gt;0),IF(AS297="Ev",Oranlar!R297,Oranlar!S297)-1,-1))</f>
        <v>-1.0</v>
      </c>
      <c r="AU297" s="16">
        <f>IF(OR(H297=T297,S297=T297),"",IF((H297&gt;T297)=(S297&gt;T297),1,0))</f>
        <v>1</v>
      </c>
      <c r="AV297" s="16">
        <f>IF(OR(L297=V297,U297=V297),"",IF((L297&gt;V297)=(U297&gt;V297),1,0))</f>
        <v>1</v>
      </c>
      <c r="AW297" s="16">
        <f>IF(AND(E297&gt;=J297,E297&lt;=K297),1,0)</f>
        <v>1</v>
      </c>
      <c r="AX297" s="16">
        <f>IF(AND(F297&gt;=N297,F297&lt;=O297),1,0)</f>
        <v>1</v>
      </c>
    </row>
    <row r="298" spans="1:50">
      <c r="A298" s="21">
        <f>Oranlar!A298</f>
        <v>46124</v>
      </c>
      <c r="B298" s="22" t="str">
        <f>Oranlar!C298&amp;" @ "&amp;Oranlar!D298</f>
        <v>DET @ IND</v>
      </c>
      <c r="C298" s="23">
        <f>Oranlar!F298</f>
        <v>121</v>
      </c>
      <c r="D298" s="23">
        <f>Oranlar!E298</f>
        <v>133</v>
      </c>
      <c r="E298" s="15">
        <f>C298-D298</f>
        <v>-12</v>
      </c>
      <c r="F298" s="16">
        <f>C298+D298</f>
        <v>254</v>
      </c>
      <c r="G298" s="24">
        <v>0.276</v>
      </c>
      <c r="H298" s="10">
        <v>-14.52</v>
      </c>
      <c r="I298" s="10">
        <v>-5.9</v>
      </c>
      <c r="J298" s="10">
        <v>-24</v>
      </c>
      <c r="K298" s="10">
        <v>13</v>
      </c>
      <c r="L298" s="11">
        <v>230.78</v>
      </c>
      <c r="M298" s="11">
        <v>233.5</v>
      </c>
      <c r="N298" s="11">
        <v>206</v>
      </c>
      <c r="O298" s="11">
        <v>261</v>
      </c>
      <c r="P298" s="11">
        <v>114.11</v>
      </c>
      <c r="Q298" s="11">
        <v>122.39</v>
      </c>
      <c r="R298" s="25">
        <f>Oranlar!Y298</f>
        <v>0.11304347826086955</v>
      </c>
      <c r="S298" s="26">
        <f>-Oranlar!O298</f>
        <v>-16.5</v>
      </c>
      <c r="T298" s="26">
        <f>-Oranlar!I298</f>
        <v>-12.5</v>
      </c>
      <c r="U298" s="27">
        <f>Oranlar!V298</f>
        <v>232.5</v>
      </c>
      <c r="V298" s="27">
        <f>Oranlar!L298</f>
        <v>229.5</v>
      </c>
      <c r="W298" s="28">
        <f>(U298+S298)/2</f>
        <v>108.0</v>
      </c>
      <c r="X298" s="28">
        <f>(U298-S298)/2</f>
        <v>124.5</v>
      </c>
      <c r="Y298" s="16">
        <f>IF(G298=0.5,"",IF((G298&gt;0.5)=(E298&gt;0),1,0))</f>
        <v>1</v>
      </c>
      <c r="Z298" s="16">
        <f>IF(R298=0.5,"",IF((R298&gt;0.5)=(E298&gt;0),1,0))</f>
        <v>1</v>
      </c>
      <c r="AA298" s="29">
        <f>(G298-IF(E298&gt;0,1,0))^2</f>
        <v>0.07617600000000001</v>
      </c>
      <c r="AB298" s="29">
        <f>(R298-IF(E298&gt;0,1,0))^2</f>
        <v>0.012778827977315686</v>
      </c>
      <c r="AC298" s="28">
        <f>ABS(H298-E298)</f>
        <v>2.5199999999999996</v>
      </c>
      <c r="AD298" s="28">
        <f>ABS(I298-E298)</f>
        <v>6.1</v>
      </c>
      <c r="AE298" s="28">
        <f>ABS(S298-E298)</f>
        <v>4.5</v>
      </c>
      <c r="AF298" s="28">
        <f>ABS(L298-F298)</f>
        <v>23.22</v>
      </c>
      <c r="AG298" s="28">
        <f>ABS(M298-F298)</f>
        <v>20.5</v>
      </c>
      <c r="AH298" s="28">
        <f>ABS(U298-F298)</f>
        <v>21.5</v>
      </c>
      <c r="AI298" s="28">
        <f>ABS(P298-C298)</f>
        <v>6.890000000000001</v>
      </c>
      <c r="AJ298" s="28">
        <f>ABS(W298-C298)</f>
        <v>13.0</v>
      </c>
      <c r="AK298" s="28">
        <f>ABS(Q298-D298)</f>
        <v>10.61</v>
      </c>
      <c r="AL298" s="28">
        <f>ABS(X298-D298)</f>
        <v>8.5</v>
      </c>
      <c r="AM298" s="17" t="str">
        <f>IF(H298&gt;S298,"Ev",IF(H298&lt;S298,"Dep",""))</f>
        <v>Ev</v>
      </c>
      <c r="AN298" s="17" t="str">
        <f>IF(AM298="","",IF(E298=S298,"Push",IF((E298&gt;S298)=(AM298="Ev"),"Kazandı","Kaybetti")))</f>
        <v>Kazandı</v>
      </c>
      <c r="AO298" s="30">
        <f>IF(AM298="","",IF(AN298="Push",0,IF(AN298="Kazandı",IF(AM298="Ev",Oranlar!P298,Oranlar!Q298)-1,-1)))</f>
        <v>0.8928571428571428</v>
      </c>
      <c r="AP298" s="17" t="str">
        <f>IF(L298&gt;U298,"Üst",IF(L298&lt;U298,"Alt",""))</f>
        <v>Alt</v>
      </c>
      <c r="AQ298" s="17" t="str">
        <f>IF(AP298="","",IF(F298=U298,"Push",IF((F298&gt;U298)=(AP298="Üst"),"Kazandı","Kaybetti")))</f>
        <v>Kaybetti</v>
      </c>
      <c r="AR298" s="30">
        <f>IF(AP298="","",IF(AQ298="Push",0,IF(AQ298="Kazandı",IF(AP298="Üst",Oranlar!W298,Oranlar!X298)-1,-1)))</f>
        <v>-1.0</v>
      </c>
      <c r="AS298" s="17" t="str">
        <f>IF(G298*Oranlar!R298&gt;1,"Ev",IF((1-G298)*Oranlar!S298&gt;1,"Dep",""))</f>
        <v>Ev</v>
      </c>
      <c r="AT298" s="30">
        <f>IF(AS298="","",IF((AS298="Ev")=(E298&gt;0),IF(AS298="Ev",Oranlar!R298,Oranlar!S298)-1,-1))</f>
        <v>-1.0</v>
      </c>
      <c r="AU298" s="16">
        <f>IF(OR(H298=T298,S298=T298),"",IF((H298&gt;T298)=(S298&gt;T298),1,0))</f>
        <v>1</v>
      </c>
      <c r="AV298" s="16">
        <f>IF(OR(L298=V298,U298=V298),"",IF((L298&gt;V298)=(U298&gt;V298),1,0))</f>
        <v>1</v>
      </c>
      <c r="AW298" s="16">
        <f>IF(AND(E298&gt;=J298,E298&lt;=K298),1,0)</f>
        <v>1</v>
      </c>
      <c r="AX298" s="16">
        <f>IF(AND(F298&gt;=N298,F298&lt;=O298),1,0)</f>
        <v>1</v>
      </c>
    </row>
    <row r="299" spans="1:50">
      <c r="A299" s="21">
        <f>Oranlar!A299</f>
        <v>46124</v>
      </c>
      <c r="B299" s="22" t="str">
        <f>Oranlar!C299&amp;" @ "&amp;Oranlar!D299</f>
        <v>ATL @ MIA</v>
      </c>
      <c r="C299" s="23">
        <f>Oranlar!F299</f>
        <v>143</v>
      </c>
      <c r="D299" s="23">
        <f>Oranlar!E299</f>
        <v>117</v>
      </c>
      <c r="E299" s="15">
        <f>C299-D299</f>
        <v>26</v>
      </c>
      <c r="F299" s="16">
        <f>C299+D299</f>
        <v>260</v>
      </c>
      <c r="G299" s="24">
        <v>0.6850000000000001</v>
      </c>
      <c r="H299" s="10">
        <v>10.48</v>
      </c>
      <c r="I299" s="10">
        <v>0.7</v>
      </c>
      <c r="J299" s="10">
        <v>-19</v>
      </c>
      <c r="K299" s="10">
        <v>20</v>
      </c>
      <c r="L299" s="11">
        <v>240.43</v>
      </c>
      <c r="M299" s="11">
        <v>247.9</v>
      </c>
      <c r="N299" s="11">
        <v>219</v>
      </c>
      <c r="O299" s="11">
        <v>276</v>
      </c>
      <c r="P299" s="11">
        <v>121.01</v>
      </c>
      <c r="Q299" s="11">
        <v>120.56</v>
      </c>
      <c r="R299" s="25">
        <f>Oranlar!Y299</f>
        <v>0.7913616398243044</v>
      </c>
      <c r="S299" s="26">
        <f>-Oranlar!O299</f>
        <v>10.5</v>
      </c>
      <c r="T299" s="26">
        <f>-Oranlar!I299</f>
        <v>-6.5</v>
      </c>
      <c r="U299" s="27">
        <f>Oranlar!V299</f>
        <v>239.5</v>
      </c>
      <c r="V299" s="27">
        <f>Oranlar!L299</f>
        <v>243.5</v>
      </c>
      <c r="W299" s="28">
        <f>(U299+S299)/2</f>
        <v>125.0</v>
      </c>
      <c r="X299" s="28">
        <f>(U299-S299)/2</f>
        <v>114.5</v>
      </c>
      <c r="Y299" s="16">
        <f>IF(G299=0.5,"",IF((G299&gt;0.5)=(E299&gt;0),1,0))</f>
        <v>1</v>
      </c>
      <c r="Z299" s="16">
        <f>IF(R299=0.5,"",IF((R299&gt;0.5)=(E299&gt;0),1,0))</f>
        <v>1</v>
      </c>
      <c r="AA299" s="29">
        <f>(G299-IF(E299&gt;0,1,0))^2</f>
        <v>0.09922499999999997</v>
      </c>
      <c r="AB299" s="29">
        <f>(R299-IF(E299&gt;0,1,0))^2</f>
        <v>0.043529965336803284</v>
      </c>
      <c r="AC299" s="28">
        <f>ABS(H299-E299)</f>
        <v>15.52</v>
      </c>
      <c r="AD299" s="28">
        <f>ABS(I299-E299)</f>
        <v>25.3</v>
      </c>
      <c r="AE299" s="28">
        <f>ABS(S299-E299)</f>
        <v>15.5</v>
      </c>
      <c r="AF299" s="28">
        <f>ABS(L299-F299)</f>
        <v>19.569999999999993</v>
      </c>
      <c r="AG299" s="28">
        <f>ABS(M299-F299)</f>
        <v>12.099999999999994</v>
      </c>
      <c r="AH299" s="28">
        <f>ABS(U299-F299)</f>
        <v>20.5</v>
      </c>
      <c r="AI299" s="28">
        <f>ABS(P299-C299)</f>
        <v>21.989999999999995</v>
      </c>
      <c r="AJ299" s="28">
        <f>ABS(W299-C299)</f>
        <v>18.0</v>
      </c>
      <c r="AK299" s="28">
        <f>ABS(Q299-D299)</f>
        <v>3.5600000000000023</v>
      </c>
      <c r="AL299" s="28">
        <f>ABS(X299-D299)</f>
        <v>2.5</v>
      </c>
      <c r="AM299" s="17" t="str">
        <f>IF(H299&gt;S299,"Ev",IF(H299&lt;S299,"Dep",""))</f>
        <v>Dep</v>
      </c>
      <c r="AN299" s="17" t="str">
        <f>IF(AM299="","",IF(E299=S299,"Push",IF((E299&gt;S299)=(AM299="Ev"),"Kazandı","Kaybetti")))</f>
        <v>Kaybetti</v>
      </c>
      <c r="AO299" s="30">
        <f>IF(AM299="","",IF(AN299="Push",0,IF(AN299="Kazandı",IF(AM299="Ev",Oranlar!P299,Oranlar!Q299)-1,-1)))</f>
        <v>-1.0</v>
      </c>
      <c r="AP299" s="17" t="str">
        <f>IF(L299&gt;U299,"Üst",IF(L299&lt;U299,"Alt",""))</f>
        <v>Üst</v>
      </c>
      <c r="AQ299" s="17" t="str">
        <f>IF(AP299="","",IF(F299=U299,"Push",IF((F299&gt;U299)=(AP299="Üst"),"Kazandı","Kaybetti")))</f>
        <v>Kazandı</v>
      </c>
      <c r="AR299" s="30">
        <f>IF(AP299="","",IF(AQ299="Push",0,IF(AQ299="Kazandı",IF(AP299="Üst",Oranlar!W299,Oranlar!X299)-1,-1)))</f>
        <v>0.8695652173913042</v>
      </c>
      <c r="AS299" s="17" t="str">
        <f>IF(G299*Oranlar!R299&gt;1,"Ev",IF((1-G299)*Oranlar!S299&gt;1,"Dep",""))</f>
        <v>Dep</v>
      </c>
      <c r="AT299" s="30">
        <f>IF(AS299="","",IF((AS299="Ev")=(E299&gt;0),IF(AS299="Ev",Oranlar!R299,Oranlar!S299)-1,-1))</f>
        <v>-1.0</v>
      </c>
      <c r="AU299" s="16">
        <f>IF(OR(H299=T299,S299=T299),"",IF((H299&gt;T299)=(S299&gt;T299),1,0))</f>
        <v>1</v>
      </c>
      <c r="AV299" s="16">
        <f>IF(OR(L299=V299,U299=V299),"",IF((L299&gt;V299)=(U299&gt;V299),1,0))</f>
        <v>1</v>
      </c>
      <c r="AW299" s="16">
        <f>IF(AND(E299&gt;=J299,E299&lt;=K299),1,0)</f>
        <v>0</v>
      </c>
      <c r="AX299" s="16">
        <f>IF(AND(F299&gt;=N299,F299&lt;=O299),1,0)</f>
        <v>1</v>
      </c>
    </row>
    <row r="300" spans="1:50">
      <c r="A300" s="21">
        <f>Oranlar!A300</f>
        <v>46124</v>
      </c>
      <c r="B300" s="22" t="str">
        <f>Oranlar!C300&amp;" @ "&amp;Oranlar!D300</f>
        <v>CHA @ NYK</v>
      </c>
      <c r="C300" s="23">
        <f>Oranlar!F300</f>
        <v>96</v>
      </c>
      <c r="D300" s="23">
        <f>Oranlar!E300</f>
        <v>110</v>
      </c>
      <c r="E300" s="15">
        <f>C300-D300</f>
        <v>-14</v>
      </c>
      <c r="F300" s="16">
        <f>C300+D300</f>
        <v>206</v>
      </c>
      <c r="G300" s="24">
        <v>0.473</v>
      </c>
      <c r="H300" s="10">
        <v>-1.32</v>
      </c>
      <c r="I300" s="10">
        <v>-0.6</v>
      </c>
      <c r="J300" s="10">
        <v>-19</v>
      </c>
      <c r="K300" s="10">
        <v>18</v>
      </c>
      <c r="L300" s="11">
        <v>223.27</v>
      </c>
      <c r="M300" s="11">
        <v>226.2</v>
      </c>
      <c r="N300" s="11">
        <v>199</v>
      </c>
      <c r="O300" s="11">
        <v>253</v>
      </c>
      <c r="P300" s="11">
        <v>111.37</v>
      </c>
      <c r="Q300" s="11">
        <v>112.54</v>
      </c>
      <c r="R300" s="25">
        <f>Oranlar!Y300</f>
        <v>0.13698630136986303</v>
      </c>
      <c r="S300" s="26">
        <f>-Oranlar!O300</f>
        <v>-14.5</v>
      </c>
      <c r="T300" s="26">
        <f>-Oranlar!I300</f>
        <v>-8.5</v>
      </c>
      <c r="U300" s="27">
        <f>Oranlar!V300</f>
        <v>217.5</v>
      </c>
      <c r="V300" s="27">
        <f>Oranlar!L300</f>
        <v>215.5</v>
      </c>
      <c r="W300" s="28">
        <f>(U300+S300)/2</f>
        <v>101.5</v>
      </c>
      <c r="X300" s="28">
        <f>(U300-S300)/2</f>
        <v>116.0</v>
      </c>
      <c r="Y300" s="16">
        <f>IF(G300=0.5,"",IF((G300&gt;0.5)=(E300&gt;0),1,0))</f>
        <v>1</v>
      </c>
      <c r="Z300" s="16">
        <f>IF(R300=0.5,"",IF((R300&gt;0.5)=(E300&gt;0),1,0))</f>
        <v>1</v>
      </c>
      <c r="AA300" s="29">
        <f>(G300-IF(E300&gt;0,1,0))^2</f>
        <v>0.22372899999999998</v>
      </c>
      <c r="AB300" s="29">
        <f>(R300-IF(E300&gt;0,1,0))^2</f>
        <v>0.018765246762994937</v>
      </c>
      <c r="AC300" s="28">
        <f>ABS(H300-E300)</f>
        <v>12.68</v>
      </c>
      <c r="AD300" s="28">
        <f>ABS(I300-E300)</f>
        <v>13.4</v>
      </c>
      <c r="AE300" s="28">
        <f>ABS(S300-E300)</f>
        <v>0.5</v>
      </c>
      <c r="AF300" s="28">
        <f>ABS(L300-F300)</f>
        <v>17.27000000000001</v>
      </c>
      <c r="AG300" s="28">
        <f>ABS(M300-F300)</f>
        <v>20.19999999999999</v>
      </c>
      <c r="AH300" s="28">
        <f>ABS(U300-F300)</f>
        <v>11.5</v>
      </c>
      <c r="AI300" s="28">
        <f>ABS(P300-C300)</f>
        <v>15.370000000000005</v>
      </c>
      <c r="AJ300" s="28">
        <f>ABS(W300-C300)</f>
        <v>5.5</v>
      </c>
      <c r="AK300" s="28">
        <f>ABS(Q300-D300)</f>
        <v>2.5400000000000063</v>
      </c>
      <c r="AL300" s="28">
        <f>ABS(X300-D300)</f>
        <v>6.0</v>
      </c>
      <c r="AM300" s="17" t="str">
        <f>IF(H300&gt;S300,"Ev",IF(H300&lt;S300,"Dep",""))</f>
        <v>Ev</v>
      </c>
      <c r="AN300" s="17" t="str">
        <f>IF(AM300="","",IF(E300=S300,"Push",IF((E300&gt;S300)=(AM300="Ev"),"Kazandı","Kaybetti")))</f>
        <v>Kazandı</v>
      </c>
      <c r="AO300" s="30">
        <f>IF(AM300="","",IF(AN300="Push",0,IF(AN300="Kazandı",IF(AM300="Ev",Oranlar!P300,Oranlar!Q300)-1,-1)))</f>
        <v>0.8928571428571428</v>
      </c>
      <c r="AP300" s="17" t="str">
        <f>IF(L300&gt;U300,"Üst",IF(L300&lt;U300,"Alt",""))</f>
        <v>Üst</v>
      </c>
      <c r="AQ300" s="17" t="str">
        <f>IF(AP300="","",IF(F300=U300,"Push",IF((F300&gt;U300)=(AP300="Üst"),"Kazandı","Kaybetti")))</f>
        <v>Kaybetti</v>
      </c>
      <c r="AR300" s="30">
        <f>IF(AP300="","",IF(AQ300="Push",0,IF(AQ300="Kazandı",IF(AP300="Üst",Oranlar!W300,Oranlar!X300)-1,-1)))</f>
        <v>-1.0</v>
      </c>
      <c r="AS300" s="17" t="str">
        <f>IF(G300*Oranlar!R300&gt;1,"Ev",IF((1-G300)*Oranlar!S300&gt;1,"Dep",""))</f>
        <v>Ev</v>
      </c>
      <c r="AT300" s="30">
        <f>IF(AS300="","",IF((AS300="Ev")=(E300&gt;0),IF(AS300="Ev",Oranlar!R300,Oranlar!S300)-1,-1))</f>
        <v>-1.0</v>
      </c>
      <c r="AU300" s="16">
        <f>IF(OR(H300=T300,S300=T300),"",IF((H300&gt;T300)=(S300&gt;T300),1,0))</f>
        <v>0</v>
      </c>
      <c r="AV300" s="16">
        <f>IF(OR(L300=V300,U300=V300),"",IF((L300&gt;V300)=(U300&gt;V300),1,0))</f>
        <v>1</v>
      </c>
      <c r="AW300" s="16">
        <f>IF(AND(E300&gt;=J300,E300&lt;=K300),1,0)</f>
        <v>1</v>
      </c>
      <c r="AX300" s="16">
        <f>IF(AND(F300&gt;=N300,F300&lt;=O300),1,0)</f>
        <v>1</v>
      </c>
    </row>
    <row r="301" spans="1:50">
      <c r="A301" s="21">
        <f>Oranlar!A301</f>
        <v>46124</v>
      </c>
      <c r="B301" s="22" t="str">
        <f>Oranlar!C301&amp;" @ "&amp;Oranlar!D301</f>
        <v>MIL @ PHI</v>
      </c>
      <c r="C301" s="23">
        <f>Oranlar!F301</f>
        <v>126</v>
      </c>
      <c r="D301" s="23">
        <f>Oranlar!E301</f>
        <v>106</v>
      </c>
      <c r="E301" s="15">
        <f>C301-D301</f>
        <v>20</v>
      </c>
      <c r="F301" s="16">
        <f>C301+D301</f>
        <v>232</v>
      </c>
      <c r="G301" s="24">
        <v>0.823</v>
      </c>
      <c r="H301" s="10">
        <v>20.92</v>
      </c>
      <c r="I301" s="10">
        <v>9.1</v>
      </c>
      <c r="J301" s="10">
        <v>-9</v>
      </c>
      <c r="K301" s="10">
        <v>28</v>
      </c>
      <c r="L301" s="11">
        <v>229.65</v>
      </c>
      <c r="M301" s="11">
        <v>229.5</v>
      </c>
      <c r="N301" s="11">
        <v>202</v>
      </c>
      <c r="O301" s="11">
        <v>257</v>
      </c>
      <c r="P301" s="11">
        <v>120.93</v>
      </c>
      <c r="Q301" s="11">
        <v>106.31</v>
      </c>
      <c r="R301" s="25">
        <f>Oranlar!Y301</f>
        <v>0.8933823529411764</v>
      </c>
      <c r="S301" s="26">
        <f>-Oranlar!O301</f>
        <v>16.5</v>
      </c>
      <c r="T301" s="26">
        <f>-Oranlar!I301</f>
        <v>16.5</v>
      </c>
      <c r="U301" s="27">
        <f>Oranlar!V301</f>
        <v>225.5</v>
      </c>
      <c r="V301" s="27">
        <f>Oranlar!L301</f>
        <v>227.5</v>
      </c>
      <c r="W301" s="28">
        <f>(U301+S301)/2</f>
        <v>121.0</v>
      </c>
      <c r="X301" s="28">
        <f>(U301-S301)/2</f>
        <v>104.5</v>
      </c>
      <c r="Y301" s="16">
        <f>IF(G301=0.5,"",IF((G301&gt;0.5)=(E301&gt;0),1,0))</f>
        <v>1</v>
      </c>
      <c r="Z301" s="16">
        <f>IF(R301=0.5,"",IF((R301&gt;0.5)=(E301&gt;0),1,0))</f>
        <v>1</v>
      </c>
      <c r="AA301" s="29">
        <f>(G301-IF(E301&gt;0,1,0))^2</f>
        <v>0.03132900000000002</v>
      </c>
      <c r="AB301" s="29">
        <f>(R301-IF(E301&gt;0,1,0))^2</f>
        <v>0.011367322664359875</v>
      </c>
      <c r="AC301" s="28">
        <f>ABS(H301-E301)</f>
        <v>0.9200000000000017</v>
      </c>
      <c r="AD301" s="28">
        <f>ABS(I301-E301)</f>
        <v>10.9</v>
      </c>
      <c r="AE301" s="28">
        <f>ABS(S301-E301)</f>
        <v>3.5</v>
      </c>
      <c r="AF301" s="28">
        <f>ABS(L301-F301)</f>
        <v>2.3499999999999943</v>
      </c>
      <c r="AG301" s="28">
        <f>ABS(M301-F301)</f>
        <v>2.5</v>
      </c>
      <c r="AH301" s="28">
        <f>ABS(U301-F301)</f>
        <v>6.5</v>
      </c>
      <c r="AI301" s="28">
        <f>ABS(P301-C301)</f>
        <v>5.069999999999993</v>
      </c>
      <c r="AJ301" s="28">
        <f>ABS(W301-C301)</f>
        <v>5.0</v>
      </c>
      <c r="AK301" s="28">
        <f>ABS(Q301-D301)</f>
        <v>0.3100000000000023</v>
      </c>
      <c r="AL301" s="28">
        <f>ABS(X301-D301)</f>
        <v>1.5</v>
      </c>
      <c r="AM301" s="17" t="str">
        <f>IF(H301&gt;S301,"Ev",IF(H301&lt;S301,"Dep",""))</f>
        <v>Ev</v>
      </c>
      <c r="AN301" s="17" t="str">
        <f>IF(AM301="","",IF(E301=S301,"Push",IF((E301&gt;S301)=(AM301="Ev"),"Kazandı","Kaybetti")))</f>
        <v>Kazandı</v>
      </c>
      <c r="AO301" s="30">
        <f>IF(AM301="","",IF(AN301="Push",0,IF(AN301="Kazandı",IF(AM301="Ev",Oranlar!P301,Oranlar!Q301)-1,-1)))</f>
        <v>0.925925925925926</v>
      </c>
      <c r="AP301" s="17" t="str">
        <f>IF(L301&gt;U301,"Üst",IF(L301&lt;U301,"Alt",""))</f>
        <v>Üst</v>
      </c>
      <c r="AQ301" s="17" t="str">
        <f>IF(AP301="","",IF(F301=U301,"Push",IF((F301&gt;U301)=(AP301="Üst"),"Kazandı","Kaybetti")))</f>
        <v>Kazandı</v>
      </c>
      <c r="AR301" s="30">
        <f>IF(AP301="","",IF(AQ301="Push",0,IF(AQ301="Kazandı",IF(AP301="Üst",Oranlar!W301,Oranlar!X301)-1,-1)))</f>
        <v>0.9090909090909092</v>
      </c>
      <c r="AS301" s="17" t="str">
        <f>IF(G301*Oranlar!R301&gt;1,"Ev",IF((1-G301)*Oranlar!S301&gt;1,"Dep",""))</f>
        <v>Dep</v>
      </c>
      <c r="AT301" s="30">
        <f>IF(AS301="","",IF((AS301="Ev")=(E301&gt;0),IF(AS301="Ev",Oranlar!R301,Oranlar!S301)-1,-1))</f>
        <v>-1.0</v>
      </c>
      <c r="AU301" s="16">
        <f>IF(OR(H301=T301,S301=T301),"",IF((H301&gt;T301)=(S301&gt;T301),1,0))</f>
        <v/>
      </c>
      <c r="AV301" s="16">
        <f>IF(OR(L301=V301,U301=V301),"",IF((L301&gt;V301)=(U301&gt;V301),1,0))</f>
        <v>0</v>
      </c>
      <c r="AW301" s="16">
        <f>IF(AND(E301&gt;=J301,E301&lt;=K301),1,0)</f>
        <v>1</v>
      </c>
      <c r="AX301" s="16">
        <f>IF(AND(F301&gt;=N301,F301&lt;=O301),1,0)</f>
        <v>1</v>
      </c>
    </row>
    <row r="302" spans="1:50">
      <c r="A302" s="21">
        <f>Oranlar!A302</f>
        <v>46124</v>
      </c>
      <c r="B302" s="22" t="str">
        <f>Oranlar!C302&amp;" @ "&amp;Oranlar!D302</f>
        <v>BKN @ TOR</v>
      </c>
      <c r="C302" s="23">
        <f>Oranlar!F302</f>
        <v>136</v>
      </c>
      <c r="D302" s="23">
        <f>Oranlar!E302</f>
        <v>101</v>
      </c>
      <c r="E302" s="15">
        <f>C302-D302</f>
        <v>35</v>
      </c>
      <c r="F302" s="16">
        <f>C302+D302</f>
        <v>237</v>
      </c>
      <c r="G302" s="24">
        <v>0.856</v>
      </c>
      <c r="H302" s="10">
        <v>23.53</v>
      </c>
      <c r="I302" s="10">
        <v>20</v>
      </c>
      <c r="J302" s="10">
        <v>2</v>
      </c>
      <c r="K302" s="10">
        <v>38</v>
      </c>
      <c r="L302" s="11">
        <v>218.87</v>
      </c>
      <c r="M302" s="11">
        <v>217.9</v>
      </c>
      <c r="N302" s="11">
        <v>191</v>
      </c>
      <c r="O302" s="11">
        <v>244</v>
      </c>
      <c r="P302" s="11">
        <v>121.24</v>
      </c>
      <c r="Q302" s="11">
        <v>96.56999999999999</v>
      </c>
      <c r="R302" s="25">
        <f>Oranlar!Y302</f>
        <v>0.949050949050949</v>
      </c>
      <c r="S302" s="26">
        <f>-Oranlar!O302</f>
        <v>23.5</v>
      </c>
      <c r="T302" s="26">
        <f>-Oranlar!I302</f>
        <v>18.5</v>
      </c>
      <c r="U302" s="27">
        <f>Oranlar!V302</f>
        <v>218.5</v>
      </c>
      <c r="V302" s="27">
        <f>Oranlar!L302</f>
        <v>217.5</v>
      </c>
      <c r="W302" s="28">
        <f>(U302+S302)/2</f>
        <v>121.0</v>
      </c>
      <c r="X302" s="28">
        <f>(U302-S302)/2</f>
        <v>97.5</v>
      </c>
      <c r="Y302" s="16">
        <f>IF(G302=0.5,"",IF((G302&gt;0.5)=(E302&gt;0),1,0))</f>
        <v>1</v>
      </c>
      <c r="Z302" s="16">
        <f>IF(R302=0.5,"",IF((R302&gt;0.5)=(E302&gt;0),1,0))</f>
        <v>1</v>
      </c>
      <c r="AA302" s="29">
        <f>(G302-IF(E302&gt;0,1,0))^2</f>
        <v>0.020736000000000004</v>
      </c>
      <c r="AB302" s="29">
        <f>(R302-IF(E302&gt;0,1,0))^2</f>
        <v>0.0025958057926089946</v>
      </c>
      <c r="AC302" s="28">
        <f>ABS(H302-E302)</f>
        <v>11.469999999999999</v>
      </c>
      <c r="AD302" s="28">
        <f>ABS(I302-E302)</f>
        <v>15.0</v>
      </c>
      <c r="AE302" s="28">
        <f>ABS(S302-E302)</f>
        <v>11.5</v>
      </c>
      <c r="AF302" s="28">
        <f>ABS(L302-F302)</f>
        <v>18.129999999999995</v>
      </c>
      <c r="AG302" s="28">
        <f>ABS(M302-F302)</f>
        <v>19.099999999999994</v>
      </c>
      <c r="AH302" s="28">
        <f>ABS(U302-F302)</f>
        <v>18.5</v>
      </c>
      <c r="AI302" s="28">
        <f>ABS(P302-C302)</f>
        <v>14.760000000000005</v>
      </c>
      <c r="AJ302" s="28">
        <f>ABS(W302-C302)</f>
        <v>15.0</v>
      </c>
      <c r="AK302" s="28">
        <f>ABS(Q302-D302)</f>
        <v>4.430000000000007</v>
      </c>
      <c r="AL302" s="28">
        <f>ABS(X302-D302)</f>
        <v>3.5</v>
      </c>
      <c r="AM302" s="17" t="str">
        <f>IF(H302&gt;S302,"Ev",IF(H302&lt;S302,"Dep",""))</f>
        <v>Ev</v>
      </c>
      <c r="AN302" s="17" t="str">
        <f>IF(AM302="","",IF(E302=S302,"Push",IF((E302&gt;S302)=(AM302="Ev"),"Kazandı","Kaybetti")))</f>
        <v>Kazandı</v>
      </c>
      <c r="AO302" s="30">
        <f>IF(AM302="","",IF(AN302="Push",0,IF(AN302="Kazandı",IF(AM302="Ev",Oranlar!P302,Oranlar!Q302)-1,-1)))</f>
        <v>0.8695652173913042</v>
      </c>
      <c r="AP302" s="17" t="str">
        <f>IF(L302&gt;U302,"Üst",IF(L302&lt;U302,"Alt",""))</f>
        <v>Üst</v>
      </c>
      <c r="AQ302" s="17" t="str">
        <f>IF(AP302="","",IF(F302=U302,"Push",IF((F302&gt;U302)=(AP302="Üst"),"Kazandı","Kaybetti")))</f>
        <v>Kazandı</v>
      </c>
      <c r="AR302" s="30">
        <f>IF(AP302="","",IF(AQ302="Push",0,IF(AQ302="Kazandı",IF(AP302="Üst",Oranlar!W302,Oranlar!X302)-1,-1)))</f>
        <v>0.8695652173913042</v>
      </c>
      <c r="AS302" s="17" t="str">
        <f>IF(G302*Oranlar!R302&gt;1,"Ev",IF((1-G302)*Oranlar!S302&gt;1,"Dep",""))</f>
        <v>Dep</v>
      </c>
      <c r="AT302" s="30">
        <f>IF(AS302="","",IF((AS302="Ev")=(E302&gt;0),IF(AS302="Ev",Oranlar!R302,Oranlar!S302)-1,-1))</f>
        <v>-1.0</v>
      </c>
      <c r="AU302" s="16">
        <f>IF(OR(H302=T302,S302=T302),"",IF((H302&gt;T302)=(S302&gt;T302),1,0))</f>
        <v>1</v>
      </c>
      <c r="AV302" s="16">
        <f>IF(OR(L302=V302,U302=V302),"",IF((L302&gt;V302)=(U302&gt;V302),1,0))</f>
        <v>1</v>
      </c>
      <c r="AW302" s="16">
        <f>IF(AND(E302&gt;=J302,E302&lt;=K302),1,0)</f>
        <v>1</v>
      </c>
      <c r="AX302" s="16">
        <f>IF(AND(F302&gt;=N302,F302&lt;=O302),1,0)</f>
        <v>1</v>
      </c>
    </row>
    <row r="303" spans="1:50">
      <c r="A303" s="21">
        <f>Oranlar!A303</f>
        <v>46124</v>
      </c>
      <c r="B303" s="22" t="str">
        <f>Oranlar!C303&amp;" @ "&amp;Oranlar!D303</f>
        <v>CHI @ DAL</v>
      </c>
      <c r="C303" s="23">
        <f>Oranlar!F303</f>
        <v>149</v>
      </c>
      <c r="D303" s="23">
        <f>Oranlar!E303</f>
        <v>128</v>
      </c>
      <c r="E303" s="15">
        <f>C303-D303</f>
        <v>21</v>
      </c>
      <c r="F303" s="16">
        <f>C303+D303</f>
        <v>277</v>
      </c>
      <c r="G303" s="24">
        <v>0.479</v>
      </c>
      <c r="H303" s="10">
        <v>-0.85</v>
      </c>
      <c r="I303" s="10">
        <v>2.3</v>
      </c>
      <c r="J303" s="10">
        <v>-16</v>
      </c>
      <c r="K303" s="10">
        <v>21</v>
      </c>
      <c r="L303" s="11">
        <v>238.59</v>
      </c>
      <c r="M303" s="11">
        <v>240.1</v>
      </c>
      <c r="N303" s="11">
        <v>212</v>
      </c>
      <c r="O303" s="11">
        <v>268</v>
      </c>
      <c r="P303" s="11">
        <v>119.53</v>
      </c>
      <c r="Q303" s="11">
        <v>120.29</v>
      </c>
      <c r="R303" s="25">
        <f>Oranlar!Y303</f>
        <v>0.644729178800233</v>
      </c>
      <c r="S303" s="26">
        <f>-Oranlar!O303</f>
        <v>5.5</v>
      </c>
      <c r="T303" s="26">
        <f>-Oranlar!I303</f>
        <v>7.5</v>
      </c>
      <c r="U303" s="27">
        <f>Oranlar!V303</f>
        <v>249.5</v>
      </c>
      <c r="V303" s="27">
        <f>Oranlar!L303</f>
        <v>245.5</v>
      </c>
      <c r="W303" s="28">
        <f>(U303+S303)/2</f>
        <v>127.5</v>
      </c>
      <c r="X303" s="28">
        <f>(U303-S303)/2</f>
        <v>122.0</v>
      </c>
      <c r="Y303" s="16">
        <f>IF(G303=0.5,"",IF((G303&gt;0.5)=(E303&gt;0),1,0))</f>
        <v>0</v>
      </c>
      <c r="Z303" s="16">
        <f>IF(R303=0.5,"",IF((R303&gt;0.5)=(E303&gt;0),1,0))</f>
        <v>1</v>
      </c>
      <c r="AA303" s="29">
        <f>(G303-IF(E303&gt;0,1,0))^2</f>
        <v>0.27144100000000004</v>
      </c>
      <c r="AB303" s="29">
        <f>(R303-IF(E303&gt;0,1,0))^2</f>
        <v>0.12621735639595685</v>
      </c>
      <c r="AC303" s="28">
        <f>ABS(H303-E303)</f>
        <v>21.85</v>
      </c>
      <c r="AD303" s="28">
        <f>ABS(I303-E303)</f>
        <v>18.7</v>
      </c>
      <c r="AE303" s="28">
        <f>ABS(S303-E303)</f>
        <v>15.5</v>
      </c>
      <c r="AF303" s="28">
        <f>ABS(L303-F303)</f>
        <v>38.41</v>
      </c>
      <c r="AG303" s="28">
        <f>ABS(M303-F303)</f>
        <v>36.900000000000006</v>
      </c>
      <c r="AH303" s="28">
        <f>ABS(U303-F303)</f>
        <v>27.5</v>
      </c>
      <c r="AI303" s="28">
        <f>ABS(P303-C303)</f>
        <v>29.47</v>
      </c>
      <c r="AJ303" s="28">
        <f>ABS(W303-C303)</f>
        <v>21.5</v>
      </c>
      <c r="AK303" s="28">
        <f>ABS(Q303-D303)</f>
        <v>7.709999999999994</v>
      </c>
      <c r="AL303" s="28">
        <f>ABS(X303-D303)</f>
        <v>6.0</v>
      </c>
      <c r="AM303" s="17" t="str">
        <f>IF(H303&gt;S303,"Ev",IF(H303&lt;S303,"Dep",""))</f>
        <v>Dep</v>
      </c>
      <c r="AN303" s="17" t="str">
        <f>IF(AM303="","",IF(E303=S303,"Push",IF((E303&gt;S303)=(AM303="Ev"),"Kazandı","Kaybetti")))</f>
        <v>Kaybetti</v>
      </c>
      <c r="AO303" s="30">
        <f>IF(AM303="","",IF(AN303="Push",0,IF(AN303="Kazandı",IF(AM303="Ev",Oranlar!P303,Oranlar!Q303)-1,-1)))</f>
        <v>-1.0</v>
      </c>
      <c r="AP303" s="17" t="str">
        <f>IF(L303&gt;U303,"Üst",IF(L303&lt;U303,"Alt",""))</f>
        <v>Alt</v>
      </c>
      <c r="AQ303" s="17" t="str">
        <f>IF(AP303="","",IF(F303=U303,"Push",IF((F303&gt;U303)=(AP303="Üst"),"Kazandı","Kaybetti")))</f>
        <v>Kaybetti</v>
      </c>
      <c r="AR303" s="30">
        <f>IF(AP303="","",IF(AQ303="Push",0,IF(AQ303="Kazandı",IF(AP303="Üst",Oranlar!W303,Oranlar!X303)-1,-1)))</f>
        <v>-1.0</v>
      </c>
      <c r="AS303" s="17" t="str">
        <f>IF(G303*Oranlar!R303&gt;1,"Ev",IF((1-G303)*Oranlar!S303&gt;1,"Dep",""))</f>
        <v>Dep</v>
      </c>
      <c r="AT303" s="30">
        <f>IF(AS303="","",IF((AS303="Ev")=(E303&gt;0),IF(AS303="Ev",Oranlar!R303,Oranlar!S303)-1,-1))</f>
        <v>-1.0</v>
      </c>
      <c r="AU303" s="16">
        <f>IF(OR(H303=T303,S303=T303),"",IF((H303&gt;T303)=(S303&gt;T303),1,0))</f>
        <v>1</v>
      </c>
      <c r="AV303" s="16">
        <f>IF(OR(L303=V303,U303=V303),"",IF((L303&gt;V303)=(U303&gt;V303),1,0))</f>
        <v>0</v>
      </c>
      <c r="AW303" s="16">
        <f>IF(AND(E303&gt;=J303,E303&lt;=K303),1,0)</f>
        <v>1</v>
      </c>
      <c r="AX303" s="16">
        <f>IF(AND(F303&gt;=N303,F303&lt;=O303),1,0)</f>
        <v>0</v>
      </c>
    </row>
    <row r="304" spans="1:50">
      <c r="A304" s="21">
        <f>Oranlar!A304</f>
        <v>46124</v>
      </c>
      <c r="B304" s="22" t="str">
        <f>Oranlar!C304&amp;" @ "&amp;Oranlar!D304</f>
        <v>MEM @ HOU</v>
      </c>
      <c r="C304" s="23">
        <f>Oranlar!F304</f>
        <v>132</v>
      </c>
      <c r="D304" s="23">
        <f>Oranlar!E304</f>
        <v>101</v>
      </c>
      <c r="E304" s="15">
        <f>C304-D304</f>
        <v>31</v>
      </c>
      <c r="F304" s="16">
        <f>C304+D304</f>
        <v>233</v>
      </c>
      <c r="G304" s="24">
        <v>0.713</v>
      </c>
      <c r="H304" s="10">
        <v>6.98</v>
      </c>
      <c r="I304" s="10">
        <v>9.6</v>
      </c>
      <c r="J304" s="10">
        <v>-9</v>
      </c>
      <c r="K304" s="10">
        <v>28</v>
      </c>
      <c r="L304" s="11">
        <v>232.43</v>
      </c>
      <c r="M304" s="11">
        <v>231.8</v>
      </c>
      <c r="N304" s="11">
        <v>204</v>
      </c>
      <c r="O304" s="11">
        <v>259</v>
      </c>
      <c r="P304" s="11">
        <v>120.62</v>
      </c>
      <c r="Q304" s="11">
        <v>112.09</v>
      </c>
      <c r="R304" s="25">
        <f>Oranlar!Y304</f>
        <v>0.88</v>
      </c>
      <c r="S304" s="26">
        <f>-Oranlar!O304</f>
        <v>14.5</v>
      </c>
      <c r="T304" s="26">
        <f>-Oranlar!I304</f>
        <v>16.5</v>
      </c>
      <c r="U304" s="27">
        <f>Oranlar!V304</f>
        <v>230.5</v>
      </c>
      <c r="V304" s="27">
        <f>Oranlar!L304</f>
        <v>226.5</v>
      </c>
      <c r="W304" s="28">
        <f>(U304+S304)/2</f>
        <v>122.5</v>
      </c>
      <c r="X304" s="28">
        <f>(U304-S304)/2</f>
        <v>108.0</v>
      </c>
      <c r="Y304" s="16">
        <f>IF(G304=0.5,"",IF((G304&gt;0.5)=(E304&gt;0),1,0))</f>
        <v>1</v>
      </c>
      <c r="Z304" s="16">
        <f>IF(R304=0.5,"",IF((R304&gt;0.5)=(E304&gt;0),1,0))</f>
        <v>1</v>
      </c>
      <c r="AA304" s="29">
        <f>(G304-IF(E304&gt;0,1,0))^2</f>
        <v>0.08236900000000003</v>
      </c>
      <c r="AB304" s="29">
        <f>(R304-IF(E304&gt;0,1,0))^2</f>
        <v>0.0144</v>
      </c>
      <c r="AC304" s="28">
        <f>ABS(H304-E304)</f>
        <v>24.02</v>
      </c>
      <c r="AD304" s="28">
        <f>ABS(I304-E304)</f>
        <v>21.4</v>
      </c>
      <c r="AE304" s="28">
        <f>ABS(S304-E304)</f>
        <v>16.5</v>
      </c>
      <c r="AF304" s="28">
        <f>ABS(L304-F304)</f>
        <v>0.5699999999999932</v>
      </c>
      <c r="AG304" s="28">
        <f>ABS(M304-F304)</f>
        <v>1.1999999999999886</v>
      </c>
      <c r="AH304" s="28">
        <f>ABS(U304-F304)</f>
        <v>2.5</v>
      </c>
      <c r="AI304" s="28">
        <f>ABS(P304-C304)</f>
        <v>11.379999999999995</v>
      </c>
      <c r="AJ304" s="28">
        <f>ABS(W304-C304)</f>
        <v>9.5</v>
      </c>
      <c r="AK304" s="28">
        <f>ABS(Q304-D304)</f>
        <v>11.090000000000003</v>
      </c>
      <c r="AL304" s="28">
        <f>ABS(X304-D304)</f>
        <v>7.0</v>
      </c>
      <c r="AM304" s="17" t="str">
        <f>IF(H304&gt;S304,"Ev",IF(H304&lt;S304,"Dep",""))</f>
        <v>Dep</v>
      </c>
      <c r="AN304" s="17" t="str">
        <f>IF(AM304="","",IF(E304=S304,"Push",IF((E304&gt;S304)=(AM304="Ev"),"Kazandı","Kaybetti")))</f>
        <v>Kaybetti</v>
      </c>
      <c r="AO304" s="30">
        <f>IF(AM304="","",IF(AN304="Push",0,IF(AN304="Kazandı",IF(AM304="Ev",Oranlar!P304,Oranlar!Q304)-1,-1)))</f>
        <v>-1.0</v>
      </c>
      <c r="AP304" s="17" t="str">
        <f>IF(L304&gt;U304,"Üst",IF(L304&lt;U304,"Alt",""))</f>
        <v>Üst</v>
      </c>
      <c r="AQ304" s="17" t="str">
        <f>IF(AP304="","",IF(F304=U304,"Push",IF((F304&gt;U304)=(AP304="Üst"),"Kazandı","Kaybetti")))</f>
        <v>Kazandı</v>
      </c>
      <c r="AR304" s="30">
        <f>IF(AP304="","",IF(AQ304="Push",0,IF(AQ304="Kazandı",IF(AP304="Üst",Oranlar!W304,Oranlar!X304)-1,-1)))</f>
        <v>0.8695652173913042</v>
      </c>
      <c r="AS304" s="17" t="str">
        <f>IF(G304*Oranlar!R304&gt;1,"Ev",IF((1-G304)*Oranlar!S304&gt;1,"Dep",""))</f>
        <v>Dep</v>
      </c>
      <c r="AT304" s="30">
        <f>IF(AS304="","",IF((AS304="Ev")=(E304&gt;0),IF(AS304="Ev",Oranlar!R304,Oranlar!S304)-1,-1))</f>
        <v>-1.0</v>
      </c>
      <c r="AU304" s="16">
        <f>IF(OR(H304=T304,S304=T304),"",IF((H304&gt;T304)=(S304&gt;T304),1,0))</f>
        <v>1</v>
      </c>
      <c r="AV304" s="16">
        <f>IF(OR(L304=V304,U304=V304),"",IF((L304&gt;V304)=(U304&gt;V304),1,0))</f>
        <v>1</v>
      </c>
      <c r="AW304" s="16">
        <f>IF(AND(E304&gt;=J304,E304&lt;=K304),1,0)</f>
        <v>0</v>
      </c>
      <c r="AX304" s="16">
        <f>IF(AND(F304&gt;=N304,F304&lt;=O304),1,0)</f>
        <v>1</v>
      </c>
    </row>
    <row r="305" spans="1:50">
      <c r="A305" s="21">
        <f>Oranlar!A305</f>
        <v>46124</v>
      </c>
      <c r="B305" s="22" t="str">
        <f>Oranlar!C305&amp;" @ "&amp;Oranlar!D305</f>
        <v>NOP @ MIN</v>
      </c>
      <c r="C305" s="23">
        <f>Oranlar!F305</f>
        <v>132</v>
      </c>
      <c r="D305" s="23">
        <f>Oranlar!E305</f>
        <v>126</v>
      </c>
      <c r="E305" s="15">
        <f>C305-D305</f>
        <v>6</v>
      </c>
      <c r="F305" s="16">
        <f>C305+D305</f>
        <v>258</v>
      </c>
      <c r="G305" s="24">
        <v>0.569</v>
      </c>
      <c r="H305" s="10">
        <v>4.42</v>
      </c>
      <c r="I305" s="10">
        <v>7.1</v>
      </c>
      <c r="J305" s="10">
        <v>-11</v>
      </c>
      <c r="K305" s="10">
        <v>26</v>
      </c>
      <c r="L305" s="11">
        <v>230.47</v>
      </c>
      <c r="M305" s="11">
        <v>233.9</v>
      </c>
      <c r="N305" s="11">
        <v>206</v>
      </c>
      <c r="O305" s="11">
        <v>261</v>
      </c>
      <c r="P305" s="11">
        <v>118.71</v>
      </c>
      <c r="Q305" s="11">
        <v>114.6</v>
      </c>
      <c r="R305" s="25">
        <f>Oranlar!Y305</f>
        <v>0.6164383561643836</v>
      </c>
      <c r="S305" s="26">
        <f>-Oranlar!O305</f>
        <v>3.5</v>
      </c>
      <c r="T305" s="26">
        <f>-Oranlar!I305</f>
        <v>10.5</v>
      </c>
      <c r="U305" s="27">
        <f>Oranlar!V305</f>
        <v>239.5</v>
      </c>
      <c r="V305" s="27">
        <f>Oranlar!L305</f>
        <v>233.5</v>
      </c>
      <c r="W305" s="28">
        <f>(U305+S305)/2</f>
        <v>121.5</v>
      </c>
      <c r="X305" s="28">
        <f>(U305-S305)/2</f>
        <v>118.0</v>
      </c>
      <c r="Y305" s="16">
        <f>IF(G305=0.5,"",IF((G305&gt;0.5)=(E305&gt;0),1,0))</f>
        <v>1</v>
      </c>
      <c r="Z305" s="16">
        <f>IF(R305=0.5,"",IF((R305&gt;0.5)=(E305&gt;0),1,0))</f>
        <v>1</v>
      </c>
      <c r="AA305" s="29">
        <f>(G305-IF(E305&gt;0,1,0))^2</f>
        <v>0.18576100000000004</v>
      </c>
      <c r="AB305" s="29">
        <f>(R305-IF(E305&gt;0,1,0))^2</f>
        <v>0.14711953462188027</v>
      </c>
      <c r="AC305" s="28">
        <f>ABS(H305-E305)</f>
        <v>1.58</v>
      </c>
      <c r="AD305" s="28">
        <f>ABS(I305-E305)</f>
        <v>1.0999999999999996</v>
      </c>
      <c r="AE305" s="28">
        <f>ABS(S305-E305)</f>
        <v>2.5</v>
      </c>
      <c r="AF305" s="28">
        <f>ABS(L305-F305)</f>
        <v>27.53</v>
      </c>
      <c r="AG305" s="28">
        <f>ABS(M305-F305)</f>
        <v>24.099999999999994</v>
      </c>
      <c r="AH305" s="28">
        <f>ABS(U305-F305)</f>
        <v>18.5</v>
      </c>
      <c r="AI305" s="28">
        <f>ABS(P305-C305)</f>
        <v>13.290000000000006</v>
      </c>
      <c r="AJ305" s="28">
        <f>ABS(W305-C305)</f>
        <v>10.5</v>
      </c>
      <c r="AK305" s="28">
        <f>ABS(Q305-D305)</f>
        <v>11.400000000000006</v>
      </c>
      <c r="AL305" s="28">
        <f>ABS(X305-D305)</f>
        <v>8.0</v>
      </c>
      <c r="AM305" s="17" t="str">
        <f>IF(H305&gt;S305,"Ev",IF(H305&lt;S305,"Dep",""))</f>
        <v>Ev</v>
      </c>
      <c r="AN305" s="17" t="str">
        <f>IF(AM305="","",IF(E305=S305,"Push",IF((E305&gt;S305)=(AM305="Ev"),"Kazandı","Kaybetti")))</f>
        <v>Kazandı</v>
      </c>
      <c r="AO305" s="30">
        <f>IF(AM305="","",IF(AN305="Push",0,IF(AN305="Kazandı",IF(AM305="Ev",Oranlar!P305,Oranlar!Q305)-1,-1)))</f>
        <v>0.8928571428571428</v>
      </c>
      <c r="AP305" s="17" t="str">
        <f>IF(L305&gt;U305,"Üst",IF(L305&lt;U305,"Alt",""))</f>
        <v>Alt</v>
      </c>
      <c r="AQ305" s="17" t="str">
        <f>IF(AP305="","",IF(F305=U305,"Push",IF((F305&gt;U305)=(AP305="Üst"),"Kazandı","Kaybetti")))</f>
        <v>Kaybetti</v>
      </c>
      <c r="AR305" s="30">
        <f>IF(AP305="","",IF(AQ305="Push",0,IF(AQ305="Kazandı",IF(AP305="Üst",Oranlar!W305,Oranlar!X305)-1,-1)))</f>
        <v>-1.0</v>
      </c>
      <c r="AS305" s="17" t="str">
        <f>IF(G305*Oranlar!R305&gt;1,"Ev",IF((1-G305)*Oranlar!S305&gt;1,"Dep",""))</f>
        <v>Dep</v>
      </c>
      <c r="AT305" s="30">
        <f>IF(AS305="","",IF((AS305="Ev")=(E305&gt;0),IF(AS305="Ev",Oranlar!R305,Oranlar!S305)-1,-1))</f>
        <v>-1.0</v>
      </c>
      <c r="AU305" s="16">
        <f>IF(OR(H305=T305,S305=T305),"",IF((H305&gt;T305)=(S305&gt;T305),1,0))</f>
        <v>1</v>
      </c>
      <c r="AV305" s="16">
        <f>IF(OR(L305=V305,U305=V305),"",IF((L305&gt;V305)=(U305&gt;V305),1,0))</f>
        <v>0</v>
      </c>
      <c r="AW305" s="16">
        <f>IF(AND(E305&gt;=J305,E305&lt;=K305),1,0)</f>
        <v>1</v>
      </c>
      <c r="AX305" s="16">
        <f>IF(AND(F305&gt;=N305,F305&lt;=O305),1,0)</f>
        <v>1</v>
      </c>
    </row>
    <row r="306" spans="1:50">
      <c r="A306" s="21">
        <f>Oranlar!A306</f>
        <v>46124</v>
      </c>
      <c r="B306" s="22" t="str">
        <f>Oranlar!C306&amp;" @ "&amp;Oranlar!D306</f>
        <v>PHX @ OKC</v>
      </c>
      <c r="C306" s="23">
        <f>Oranlar!F306</f>
        <v>103</v>
      </c>
      <c r="D306" s="23">
        <f>Oranlar!E306</f>
        <v>135</v>
      </c>
      <c r="E306" s="15">
        <f>C306-D306</f>
        <v>-32</v>
      </c>
      <c r="F306" s="16">
        <f>C306+D306</f>
        <v>238</v>
      </c>
      <c r="G306" s="24">
        <v>0.667</v>
      </c>
      <c r="H306" s="10">
        <v>3.96</v>
      </c>
      <c r="I306" s="10">
        <v>9</v>
      </c>
      <c r="J306" s="10">
        <v>-9</v>
      </c>
      <c r="K306" s="10">
        <v>27</v>
      </c>
      <c r="L306" s="11">
        <v>224.82</v>
      </c>
      <c r="M306" s="11">
        <v>223.1</v>
      </c>
      <c r="N306" s="11">
        <v>196</v>
      </c>
      <c r="O306" s="11">
        <v>250</v>
      </c>
      <c r="P306" s="11">
        <v>116.69</v>
      </c>
      <c r="Q306" s="11">
        <v>108.18</v>
      </c>
      <c r="R306" s="25">
        <f>Oranlar!Y306</f>
        <v>0.725752508361204</v>
      </c>
      <c r="S306" s="26">
        <f>-Oranlar!O306</f>
        <v>7.5</v>
      </c>
      <c r="T306" s="26">
        <f>-Oranlar!I306</f>
        <v>5.5</v>
      </c>
      <c r="U306" s="27">
        <f>Oranlar!V306</f>
        <v>213.5</v>
      </c>
      <c r="V306" s="27">
        <f>Oranlar!L306</f>
        <v>215.5</v>
      </c>
      <c r="W306" s="28">
        <f>(U306+S306)/2</f>
        <v>110.5</v>
      </c>
      <c r="X306" s="28">
        <f>(U306-S306)/2</f>
        <v>103.0</v>
      </c>
      <c r="Y306" s="16">
        <f>IF(G306=0.5,"",IF((G306&gt;0.5)=(E306&gt;0),1,0))</f>
        <v>0</v>
      </c>
      <c r="Z306" s="16">
        <f>IF(R306=0.5,"",IF((R306&gt;0.5)=(E306&gt;0),1,0))</f>
        <v>0</v>
      </c>
      <c r="AA306" s="29">
        <f>(G306-IF(E306&gt;0,1,0))^2</f>
        <v>0.44488900000000003</v>
      </c>
      <c r="AB306" s="29">
        <f>(R306-IF(E306&gt;0,1,0))^2</f>
        <v>0.5267167033925795</v>
      </c>
      <c r="AC306" s="28">
        <f>ABS(H306-E306)</f>
        <v>35.96</v>
      </c>
      <c r="AD306" s="28">
        <f>ABS(I306-E306)</f>
        <v>41.0</v>
      </c>
      <c r="AE306" s="28">
        <f>ABS(S306-E306)</f>
        <v>39.5</v>
      </c>
      <c r="AF306" s="28">
        <f>ABS(L306-F306)</f>
        <v>13.180000000000007</v>
      </c>
      <c r="AG306" s="28">
        <f>ABS(M306-F306)</f>
        <v>14.900000000000006</v>
      </c>
      <c r="AH306" s="28">
        <f>ABS(U306-F306)</f>
        <v>24.5</v>
      </c>
      <c r="AI306" s="28">
        <f>ABS(P306-C306)</f>
        <v>13.689999999999998</v>
      </c>
      <c r="AJ306" s="28">
        <f>ABS(W306-C306)</f>
        <v>7.5</v>
      </c>
      <c r="AK306" s="28">
        <f>ABS(Q306-D306)</f>
        <v>26.819999999999993</v>
      </c>
      <c r="AL306" s="28">
        <f>ABS(X306-D306)</f>
        <v>32.0</v>
      </c>
      <c r="AM306" s="17" t="str">
        <f>IF(H306&gt;S306,"Ev",IF(H306&lt;S306,"Dep",""))</f>
        <v>Dep</v>
      </c>
      <c r="AN306" s="17" t="str">
        <f>IF(AM306="","",IF(E306=S306,"Push",IF((E306&gt;S306)=(AM306="Ev"),"Kazandı","Kaybetti")))</f>
        <v>Kazandı</v>
      </c>
      <c r="AO306" s="30">
        <f>IF(AM306="","",IF(AN306="Push",0,IF(AN306="Kazandı",IF(AM306="Ev",Oranlar!P306,Oranlar!Q306)-1,-1)))</f>
        <v>0.8695652173913042</v>
      </c>
      <c r="AP306" s="17" t="str">
        <f>IF(L306&gt;U306,"Üst",IF(L306&lt;U306,"Alt",""))</f>
        <v>Üst</v>
      </c>
      <c r="AQ306" s="17" t="str">
        <f>IF(AP306="","",IF(F306=U306,"Push",IF((F306&gt;U306)=(AP306="Üst"),"Kazandı","Kaybetti")))</f>
        <v>Kazandı</v>
      </c>
      <c r="AR306" s="30">
        <f>IF(AP306="","",IF(AQ306="Push",0,IF(AQ306="Kazandı",IF(AP306="Üst",Oranlar!W306,Oranlar!X306)-1,-1)))</f>
        <v>0.925925925925926</v>
      </c>
      <c r="AS306" s="17" t="str">
        <f>IF(G306*Oranlar!R306&gt;1,"Ev",IF((1-G306)*Oranlar!S306&gt;1,"Dep",""))</f>
        <v>Dep</v>
      </c>
      <c r="AT306" s="30">
        <f>IF(AS306="","",IF((AS306="Ev")=(E306&gt;0),IF(AS306="Ev",Oranlar!R306,Oranlar!S306)-1,-1))</f>
        <v>2.5</v>
      </c>
      <c r="AU306" s="16">
        <f>IF(OR(H306=T306,S306=T306),"",IF((H306&gt;T306)=(S306&gt;T306),1,0))</f>
        <v>0</v>
      </c>
      <c r="AV306" s="16">
        <f>IF(OR(L306=V306,U306=V306),"",IF((L306&gt;V306)=(U306&gt;V306),1,0))</f>
        <v>0</v>
      </c>
      <c r="AW306" s="16">
        <f>IF(AND(E306&gt;=J306,E306&lt;=K306),1,0)</f>
        <v>0</v>
      </c>
      <c r="AX306" s="16">
        <f>IF(AND(F306&gt;=N306,F306&lt;=O306),1,0)</f>
        <v>1</v>
      </c>
    </row>
    <row r="307" spans="1:50">
      <c r="A307" s="21">
        <f>Oranlar!A307</f>
        <v>46124</v>
      </c>
      <c r="B307" s="22" t="str">
        <f>Oranlar!C307&amp;" @ "&amp;Oranlar!D307</f>
        <v>DEN @ SAS</v>
      </c>
      <c r="C307" s="23">
        <f>Oranlar!F307</f>
        <v>118</v>
      </c>
      <c r="D307" s="23">
        <f>Oranlar!E307</f>
        <v>128</v>
      </c>
      <c r="E307" s="15">
        <f>C307-D307</f>
        <v>-10</v>
      </c>
      <c r="F307" s="16">
        <f>C307+D307</f>
        <v>246</v>
      </c>
      <c r="G307" s="24">
        <v>0.675</v>
      </c>
      <c r="H307" s="10">
        <v>7.66</v>
      </c>
      <c r="I307" s="10">
        <v>6</v>
      </c>
      <c r="J307" s="10">
        <v>-13</v>
      </c>
      <c r="K307" s="10">
        <v>25</v>
      </c>
      <c r="L307" s="11">
        <v>237.42</v>
      </c>
      <c r="M307" s="11">
        <v>236.1</v>
      </c>
      <c r="N307" s="11">
        <v>208</v>
      </c>
      <c r="O307" s="11">
        <v>264</v>
      </c>
      <c r="P307" s="11">
        <v>121.04</v>
      </c>
      <c r="Q307" s="11">
        <v>113.21</v>
      </c>
      <c r="R307" s="25">
        <f>Oranlar!Y307</f>
        <v>0.7819063004846527</v>
      </c>
      <c r="S307" s="26">
        <f>-Oranlar!O307</f>
        <v>9.5</v>
      </c>
      <c r="T307" s="26">
        <f>-Oranlar!I307</f>
        <v>-2.5</v>
      </c>
      <c r="U307" s="27">
        <f>Oranlar!V307</f>
        <v>235.5</v>
      </c>
      <c r="V307" s="27">
        <f>Oranlar!L307</f>
        <v>238.5</v>
      </c>
      <c r="W307" s="28">
        <f>(U307+S307)/2</f>
        <v>122.5</v>
      </c>
      <c r="X307" s="28">
        <f>(U307-S307)/2</f>
        <v>113.0</v>
      </c>
      <c r="Y307" s="16">
        <f>IF(G307=0.5,"",IF((G307&gt;0.5)=(E307&gt;0),1,0))</f>
        <v>0</v>
      </c>
      <c r="Z307" s="16">
        <f>IF(R307=0.5,"",IF((R307&gt;0.5)=(E307&gt;0),1,0))</f>
        <v>0</v>
      </c>
      <c r="AA307" s="29">
        <f>(G307-IF(E307&gt;0,1,0))^2</f>
        <v>0.45562500000000006</v>
      </c>
      <c r="AB307" s="29">
        <f>(R307-IF(E307&gt;0,1,0))^2</f>
        <v>0.611377462737596</v>
      </c>
      <c r="AC307" s="28">
        <f>ABS(H307-E307)</f>
        <v>17.66</v>
      </c>
      <c r="AD307" s="28">
        <f>ABS(I307-E307)</f>
        <v>16.0</v>
      </c>
      <c r="AE307" s="28">
        <f>ABS(S307-E307)</f>
        <v>19.5</v>
      </c>
      <c r="AF307" s="28">
        <f>ABS(L307-F307)</f>
        <v>8.580000000000013</v>
      </c>
      <c r="AG307" s="28">
        <f>ABS(M307-F307)</f>
        <v>9.900000000000006</v>
      </c>
      <c r="AH307" s="28">
        <f>ABS(U307-F307)</f>
        <v>10.5</v>
      </c>
      <c r="AI307" s="28">
        <f>ABS(P307-C307)</f>
        <v>3.0400000000000063</v>
      </c>
      <c r="AJ307" s="28">
        <f>ABS(W307-C307)</f>
        <v>4.5</v>
      </c>
      <c r="AK307" s="28">
        <f>ABS(Q307-D307)</f>
        <v>14.790000000000006</v>
      </c>
      <c r="AL307" s="28">
        <f>ABS(X307-D307)</f>
        <v>15.0</v>
      </c>
      <c r="AM307" s="17" t="str">
        <f>IF(H307&gt;S307,"Ev",IF(H307&lt;S307,"Dep",""))</f>
        <v>Dep</v>
      </c>
      <c r="AN307" s="17" t="str">
        <f>IF(AM307="","",IF(E307=S307,"Push",IF((E307&gt;S307)=(AM307="Ev"),"Kazandı","Kaybetti")))</f>
        <v>Kazandı</v>
      </c>
      <c r="AO307" s="30">
        <f>IF(AM307="","",IF(AN307="Push",0,IF(AN307="Kazandı",IF(AM307="Ev",Oranlar!P307,Oranlar!Q307)-1,-1)))</f>
        <v>0.925925925925926</v>
      </c>
      <c r="AP307" s="17" t="str">
        <f>IF(L307&gt;U307,"Üst",IF(L307&lt;U307,"Alt",""))</f>
        <v>Üst</v>
      </c>
      <c r="AQ307" s="17" t="str">
        <f>IF(AP307="","",IF(F307=U307,"Push",IF((F307&gt;U307)=(AP307="Üst"),"Kazandı","Kaybetti")))</f>
        <v>Kazandı</v>
      </c>
      <c r="AR307" s="30">
        <f>IF(AP307="","",IF(AQ307="Push",0,IF(AQ307="Kazandı",IF(AP307="Üst",Oranlar!W307,Oranlar!X307)-1,-1)))</f>
        <v>0.925925925925926</v>
      </c>
      <c r="AS307" s="17" t="str">
        <f>IF(G307*Oranlar!R307&gt;1,"Ev",IF((1-G307)*Oranlar!S307&gt;1,"Dep",""))</f>
        <v>Dep</v>
      </c>
      <c r="AT307" s="30">
        <f>IF(AS307="","",IF((AS307="Ev")=(E307&gt;0),IF(AS307="Ev",Oranlar!R307,Oranlar!S307)-1,-1))</f>
        <v>3.4000000000000004</v>
      </c>
      <c r="AU307" s="16">
        <f>IF(OR(H307=T307,S307=T307),"",IF((H307&gt;T307)=(S307&gt;T307),1,0))</f>
        <v>1</v>
      </c>
      <c r="AV307" s="16">
        <f>IF(OR(L307=V307,U307=V307),"",IF((L307&gt;V307)=(U307&gt;V307),1,0))</f>
        <v>1</v>
      </c>
      <c r="AW307" s="16">
        <f>IF(AND(E307&gt;=J307,E307&lt;=K307),1,0)</f>
        <v>1</v>
      </c>
      <c r="AX307" s="16">
        <f>IF(AND(F307&gt;=N307,F307&lt;=O307),1,0)</f>
        <v>1</v>
      </c>
    </row>
    <row r="308" spans="1:50">
      <c r="A308" s="21">
        <f>Oranlar!A308</f>
        <v>46124</v>
      </c>
      <c r="B308" s="22" t="str">
        <f>Oranlar!C308&amp;" @ "&amp;Oranlar!D308</f>
        <v>UTA @ LAL</v>
      </c>
      <c r="C308" s="23">
        <f>Oranlar!F308</f>
        <v>131</v>
      </c>
      <c r="D308" s="23">
        <f>Oranlar!E308</f>
        <v>107</v>
      </c>
      <c r="E308" s="15">
        <f>C308-D308</f>
        <v>24</v>
      </c>
      <c r="F308" s="16">
        <f>C308+D308</f>
        <v>238</v>
      </c>
      <c r="G308" s="24">
        <v>0.73</v>
      </c>
      <c r="H308" s="10">
        <v>12.95</v>
      </c>
      <c r="I308" s="10">
        <v>9.800000000000001</v>
      </c>
      <c r="J308" s="10">
        <v>-9</v>
      </c>
      <c r="K308" s="10">
        <v>29</v>
      </c>
      <c r="L308" s="11">
        <v>230.88</v>
      </c>
      <c r="M308" s="11">
        <v>232.8</v>
      </c>
      <c r="N308" s="11">
        <v>205</v>
      </c>
      <c r="O308" s="11">
        <v>260</v>
      </c>
      <c r="P308" s="11">
        <v>119.32</v>
      </c>
      <c r="Q308" s="11">
        <v>112.64</v>
      </c>
      <c r="R308" s="25">
        <f>Oranlar!Y308</f>
        <v>0.88</v>
      </c>
      <c r="S308" s="26">
        <f>-Oranlar!O308</f>
        <v>14.5</v>
      </c>
      <c r="T308" s="26">
        <f>-Oranlar!I308</f>
        <v>16.5</v>
      </c>
      <c r="U308" s="27">
        <f>Oranlar!V308</f>
        <v>239.5</v>
      </c>
      <c r="V308" s="27">
        <f>Oranlar!L308</f>
        <v>236.5</v>
      </c>
      <c r="W308" s="28">
        <f>(U308+S308)/2</f>
        <v>127.0</v>
      </c>
      <c r="X308" s="28">
        <f>(U308-S308)/2</f>
        <v>112.5</v>
      </c>
      <c r="Y308" s="16">
        <f>IF(G308=0.5,"",IF((G308&gt;0.5)=(E308&gt;0),1,0))</f>
        <v>1</v>
      </c>
      <c r="Z308" s="16">
        <f>IF(R308=0.5,"",IF((R308&gt;0.5)=(E308&gt;0),1,0))</f>
        <v>1</v>
      </c>
      <c r="AA308" s="29">
        <f>(G308-IF(E308&gt;0,1,0))^2</f>
        <v>0.0729</v>
      </c>
      <c r="AB308" s="29">
        <f>(R308-IF(E308&gt;0,1,0))^2</f>
        <v>0.0144</v>
      </c>
      <c r="AC308" s="28">
        <f>ABS(H308-E308)</f>
        <v>11.05</v>
      </c>
      <c r="AD308" s="28">
        <f>ABS(I308-E308)</f>
        <v>14.2</v>
      </c>
      <c r="AE308" s="28">
        <f>ABS(S308-E308)</f>
        <v>9.5</v>
      </c>
      <c r="AF308" s="28">
        <f>ABS(L308-F308)</f>
        <v>7.1200000000000045</v>
      </c>
      <c r="AG308" s="28">
        <f>ABS(M308-F308)</f>
        <v>5.199999999999989</v>
      </c>
      <c r="AH308" s="28">
        <f>ABS(U308-F308)</f>
        <v>1.5</v>
      </c>
      <c r="AI308" s="28">
        <f>ABS(P308-C308)</f>
        <v>11.680000000000007</v>
      </c>
      <c r="AJ308" s="28">
        <f>ABS(W308-C308)</f>
        <v>4.0</v>
      </c>
      <c r="AK308" s="28">
        <f>ABS(Q308-D308)</f>
        <v>5.640000000000001</v>
      </c>
      <c r="AL308" s="28">
        <f>ABS(X308-D308)</f>
        <v>5.5</v>
      </c>
      <c r="AM308" s="17" t="str">
        <f>IF(H308&gt;S308,"Ev",IF(H308&lt;S308,"Dep",""))</f>
        <v>Dep</v>
      </c>
      <c r="AN308" s="17" t="str">
        <f>IF(AM308="","",IF(E308=S308,"Push",IF((E308&gt;S308)=(AM308="Ev"),"Kazandı","Kaybetti")))</f>
        <v>Kaybetti</v>
      </c>
      <c r="AO308" s="30">
        <f>IF(AM308="","",IF(AN308="Push",0,IF(AN308="Kazandı",IF(AM308="Ev",Oranlar!P308,Oranlar!Q308)-1,-1)))</f>
        <v>-1.0</v>
      </c>
      <c r="AP308" s="17" t="str">
        <f>IF(L308&gt;U308,"Üst",IF(L308&lt;U308,"Alt",""))</f>
        <v>Alt</v>
      </c>
      <c r="AQ308" s="17" t="str">
        <f>IF(AP308="","",IF(F308=U308,"Push",IF((F308&gt;U308)=(AP308="Üst"),"Kazandı","Kaybetti")))</f>
        <v>Kazandı</v>
      </c>
      <c r="AR308" s="30">
        <f>IF(AP308="","",IF(AQ308="Push",0,IF(AQ308="Kazandı",IF(AP308="Üst",Oranlar!W308,Oranlar!X308)-1,-1)))</f>
        <v>0.9090909090909092</v>
      </c>
      <c r="AS308" s="17" t="str">
        <f>IF(G308*Oranlar!R308&gt;1,"Ev",IF((1-G308)*Oranlar!S308&gt;1,"Dep",""))</f>
        <v>Dep</v>
      </c>
      <c r="AT308" s="30">
        <f>IF(AS308="","",IF((AS308="Ev")=(E308&gt;0),IF(AS308="Ev",Oranlar!R308,Oranlar!S308)-1,-1))</f>
        <v>-1.0</v>
      </c>
      <c r="AU308" s="16">
        <f>IF(OR(H308=T308,S308=T308),"",IF((H308&gt;T308)=(S308&gt;T308),1,0))</f>
        <v>1</v>
      </c>
      <c r="AV308" s="16">
        <f>IF(OR(L308=V308,U308=V308),"",IF((L308&gt;V308)=(U308&gt;V308),1,0))</f>
        <v>0</v>
      </c>
      <c r="AW308" s="16">
        <f>IF(AND(E308&gt;=J308,E308&lt;=K308),1,0)</f>
        <v>1</v>
      </c>
      <c r="AX308" s="16">
        <f>IF(AND(F308&gt;=N308,F308&lt;=O308),1,0)</f>
        <v>1</v>
      </c>
    </row>
    <row r="309" spans="1:50">
      <c r="A309" s="21">
        <f>Oranlar!A309</f>
        <v>46124</v>
      </c>
      <c r="B309" s="22" t="str">
        <f>Oranlar!C309&amp;" @ "&amp;Oranlar!D309</f>
        <v>GSW @ LAC</v>
      </c>
      <c r="C309" s="23">
        <f>Oranlar!F309</f>
        <v>115</v>
      </c>
      <c r="D309" s="23">
        <f>Oranlar!E309</f>
        <v>110</v>
      </c>
      <c r="E309" s="15">
        <f>C309-D309</f>
        <v>5</v>
      </c>
      <c r="F309" s="16">
        <f>C309+D309</f>
        <v>225</v>
      </c>
      <c r="G309" s="24">
        <v>0.541</v>
      </c>
      <c r="H309" s="10">
        <v>2.58</v>
      </c>
      <c r="I309" s="10">
        <v>1.8</v>
      </c>
      <c r="J309" s="10">
        <v>-16</v>
      </c>
      <c r="K309" s="10">
        <v>20</v>
      </c>
      <c r="L309" s="11">
        <v>226.08</v>
      </c>
      <c r="M309" s="11">
        <v>228.4</v>
      </c>
      <c r="N309" s="11">
        <v>201</v>
      </c>
      <c r="O309" s="11">
        <v>255</v>
      </c>
      <c r="P309" s="11">
        <v>114.35</v>
      </c>
      <c r="Q309" s="11">
        <v>114.03</v>
      </c>
      <c r="R309" s="25">
        <f>Oranlar!Y309</f>
        <v>0.593369754159424</v>
      </c>
      <c r="S309" s="26">
        <f>-Oranlar!O309</f>
        <v>3.5</v>
      </c>
      <c r="T309" s="26">
        <f>-Oranlar!I309</f>
        <v>8.5</v>
      </c>
      <c r="U309" s="27">
        <f>Oranlar!V309</f>
        <v>229.5</v>
      </c>
      <c r="V309" s="27">
        <f>Oranlar!L309</f>
        <v>224.5</v>
      </c>
      <c r="W309" s="28">
        <f>(U309+S309)/2</f>
        <v>116.5</v>
      </c>
      <c r="X309" s="28">
        <f>(U309-S309)/2</f>
        <v>113.0</v>
      </c>
      <c r="Y309" s="16">
        <f>IF(G309=0.5,"",IF((G309&gt;0.5)=(E309&gt;0),1,0))</f>
        <v>1</v>
      </c>
      <c r="Z309" s="16">
        <f>IF(R309=0.5,"",IF((R309&gt;0.5)=(E309&gt;0),1,0))</f>
        <v>1</v>
      </c>
      <c r="AA309" s="29">
        <f>(G309-IF(E309&gt;0,1,0))^2</f>
        <v>0.21068099999999998</v>
      </c>
      <c r="AB309" s="29">
        <f>(R309-IF(E309&gt;0,1,0))^2</f>
        <v>0.1653481568323673</v>
      </c>
      <c r="AC309" s="28">
        <f>ABS(H309-E309)</f>
        <v>2.42</v>
      </c>
      <c r="AD309" s="28">
        <f>ABS(I309-E309)</f>
        <v>3.2</v>
      </c>
      <c r="AE309" s="28">
        <f>ABS(S309-E309)</f>
        <v>1.5</v>
      </c>
      <c r="AF309" s="28">
        <f>ABS(L309-F309)</f>
        <v>1.0800000000000125</v>
      </c>
      <c r="AG309" s="28">
        <f>ABS(M309-F309)</f>
        <v>3.4000000000000057</v>
      </c>
      <c r="AH309" s="28">
        <f>ABS(U309-F309)</f>
        <v>4.5</v>
      </c>
      <c r="AI309" s="28">
        <f>ABS(P309-C309)</f>
        <v>0.6500000000000057</v>
      </c>
      <c r="AJ309" s="28">
        <f>ABS(W309-C309)</f>
        <v>1.5</v>
      </c>
      <c r="AK309" s="28">
        <f>ABS(Q309-D309)</f>
        <v>4.030000000000001</v>
      </c>
      <c r="AL309" s="28">
        <f>ABS(X309-D309)</f>
        <v>3.0</v>
      </c>
      <c r="AM309" s="17" t="str">
        <f>IF(H309&gt;S309,"Ev",IF(H309&lt;S309,"Dep",""))</f>
        <v>Dep</v>
      </c>
      <c r="AN309" s="17" t="str">
        <f>IF(AM309="","",IF(E309=S309,"Push",IF((E309&gt;S309)=(AM309="Ev"),"Kazandı","Kaybetti")))</f>
        <v>Kaybetti</v>
      </c>
      <c r="AO309" s="30">
        <f>IF(AM309="","",IF(AN309="Push",0,IF(AN309="Kazandı",IF(AM309="Ev",Oranlar!P309,Oranlar!Q309)-1,-1)))</f>
        <v>-1.0</v>
      </c>
      <c r="AP309" s="17" t="str">
        <f>IF(L309&gt;U309,"Üst",IF(L309&lt;U309,"Alt",""))</f>
        <v>Alt</v>
      </c>
      <c r="AQ309" s="17" t="str">
        <f>IF(AP309="","",IF(F309=U309,"Push",IF((F309&gt;U309)=(AP309="Üst"),"Kazandı","Kaybetti")))</f>
        <v>Kazandı</v>
      </c>
      <c r="AR309" s="30">
        <f>IF(AP309="","",IF(AQ309="Push",0,IF(AQ309="Kazandı",IF(AP309="Üst",Oranlar!W309,Oranlar!X309)-1,-1)))</f>
        <v>0.9090909090909092</v>
      </c>
      <c r="AS309" s="17" t="str">
        <f>IF(G309*Oranlar!R309&gt;1,"Ev",IF((1-G309)*Oranlar!S309&gt;1,"Dep",""))</f>
        <v>Dep</v>
      </c>
      <c r="AT309" s="30">
        <f>IF(AS309="","",IF((AS309="Ev")=(E309&gt;0),IF(AS309="Ev",Oranlar!R309,Oranlar!S309)-1,-1))</f>
        <v>-1.0</v>
      </c>
      <c r="AU309" s="16">
        <f>IF(OR(H309=T309,S309=T309),"",IF((H309&gt;T309)=(S309&gt;T309),1,0))</f>
        <v>1</v>
      </c>
      <c r="AV309" s="16">
        <f>IF(OR(L309=V309,U309=V309),"",IF((L309&gt;V309)=(U309&gt;V309),1,0))</f>
        <v>1</v>
      </c>
      <c r="AW309" s="16">
        <f>IF(AND(E309&gt;=J309,E309&lt;=K309),1,0)</f>
        <v>1</v>
      </c>
      <c r="AX309" s="16">
        <f>IF(AND(F309&gt;=N309,F309&lt;=O309),1,0)</f>
        <v>1</v>
      </c>
    </row>
    <row r="310" spans="1:50">
      <c r="A310" s="21">
        <f>Oranlar!A310</f>
        <v>46124</v>
      </c>
      <c r="B310" s="22" t="str">
        <f>Oranlar!C310&amp;" @ "&amp;Oranlar!D310</f>
        <v>SAC @ POR</v>
      </c>
      <c r="C310" s="23">
        <f>Oranlar!F310</f>
        <v>122</v>
      </c>
      <c r="D310" s="23">
        <f>Oranlar!E310</f>
        <v>110</v>
      </c>
      <c r="E310" s="15">
        <f>C310-D310</f>
        <v>12</v>
      </c>
      <c r="F310" s="16">
        <f>C310+D310</f>
        <v>232</v>
      </c>
      <c r="G310" s="24">
        <v>0.757</v>
      </c>
      <c r="H310" s="10">
        <v>13.76</v>
      </c>
      <c r="I310" s="10">
        <v>10</v>
      </c>
      <c r="J310" s="10">
        <v>-8</v>
      </c>
      <c r="K310" s="10">
        <v>29</v>
      </c>
      <c r="L310" s="11">
        <v>228.62</v>
      </c>
      <c r="M310" s="11">
        <v>227.8</v>
      </c>
      <c r="N310" s="11">
        <v>201</v>
      </c>
      <c r="O310" s="11">
        <v>255</v>
      </c>
      <c r="P310" s="11">
        <v>119.3</v>
      </c>
      <c r="Q310" s="11">
        <v>108.59</v>
      </c>
      <c r="R310" s="25">
        <f>Oranlar!Y310</f>
        <v>0.9258160237388724</v>
      </c>
      <c r="S310" s="26">
        <f>-Oranlar!O310</f>
        <v>18.5</v>
      </c>
      <c r="T310" s="26">
        <f>-Oranlar!I310</f>
        <v>16.5</v>
      </c>
      <c r="U310" s="27">
        <f>Oranlar!V310</f>
        <v>226.5</v>
      </c>
      <c r="V310" s="27">
        <f>Oranlar!L310</f>
        <v>228.5</v>
      </c>
      <c r="W310" s="28">
        <f>(U310+S310)/2</f>
        <v>122.5</v>
      </c>
      <c r="X310" s="28">
        <f>(U310-S310)/2</f>
        <v>104.0</v>
      </c>
      <c r="Y310" s="16">
        <f>IF(G310=0.5,"",IF((G310&gt;0.5)=(E310&gt;0),1,0))</f>
        <v>1</v>
      </c>
      <c r="Z310" s="16">
        <f>IF(R310=0.5,"",IF((R310&gt;0.5)=(E310&gt;0),1,0))</f>
        <v>1</v>
      </c>
      <c r="AA310" s="29">
        <f>(G310-IF(E310&gt;0,1,0))^2</f>
        <v>0.059049</v>
      </c>
      <c r="AB310" s="29">
        <f>(R310-IF(E310&gt;0,1,0))^2</f>
        <v>0.005503262333911544</v>
      </c>
      <c r="AC310" s="28">
        <f>ABS(H310-E310)</f>
        <v>1.7599999999999998</v>
      </c>
      <c r="AD310" s="28">
        <f>ABS(I310-E310)</f>
        <v>2.0</v>
      </c>
      <c r="AE310" s="28">
        <f>ABS(S310-E310)</f>
        <v>6.5</v>
      </c>
      <c r="AF310" s="28">
        <f>ABS(L310-F310)</f>
        <v>3.3799999999999955</v>
      </c>
      <c r="AG310" s="28">
        <f>ABS(M310-F310)</f>
        <v>4.199999999999989</v>
      </c>
      <c r="AH310" s="28">
        <f>ABS(U310-F310)</f>
        <v>5.5</v>
      </c>
      <c r="AI310" s="28">
        <f>ABS(P310-C310)</f>
        <v>2.700000000000003</v>
      </c>
      <c r="AJ310" s="28">
        <f>ABS(W310-C310)</f>
        <v>0.5</v>
      </c>
      <c r="AK310" s="28">
        <f>ABS(Q310-D310)</f>
        <v>1.4099999999999966</v>
      </c>
      <c r="AL310" s="28">
        <f>ABS(X310-D310)</f>
        <v>6.0</v>
      </c>
      <c r="AM310" s="17" t="str">
        <f>IF(H310&gt;S310,"Ev",IF(H310&lt;S310,"Dep",""))</f>
        <v>Dep</v>
      </c>
      <c r="AN310" s="17" t="str">
        <f>IF(AM310="","",IF(E310=S310,"Push",IF((E310&gt;S310)=(AM310="Ev"),"Kazandı","Kaybetti")))</f>
        <v>Kazandı</v>
      </c>
      <c r="AO310" s="30">
        <f>IF(AM310="","",IF(AN310="Push",0,IF(AN310="Kazandı",IF(AM310="Ev",Oranlar!P310,Oranlar!Q310)-1,-1)))</f>
        <v>0.9090909090909092</v>
      </c>
      <c r="AP310" s="17" t="str">
        <f>IF(L310&gt;U310,"Üst",IF(L310&lt;U310,"Alt",""))</f>
        <v>Üst</v>
      </c>
      <c r="AQ310" s="17" t="str">
        <f>IF(AP310="","",IF(F310=U310,"Push",IF((F310&gt;U310)=(AP310="Üst"),"Kazandı","Kaybetti")))</f>
        <v>Kazandı</v>
      </c>
      <c r="AR310" s="30">
        <f>IF(AP310="","",IF(AQ310="Push",0,IF(AQ310="Kazandı",IF(AP310="Üst",Oranlar!W310,Oranlar!X310)-1,-1)))</f>
        <v>0.925925925925926</v>
      </c>
      <c r="AS310" s="17" t="str">
        <f>IF(G310*Oranlar!R310&gt;1,"Ev",IF((1-G310)*Oranlar!S310&gt;1,"Dep",""))</f>
        <v>Dep</v>
      </c>
      <c r="AT310" s="30">
        <f>IF(AS310="","",IF((AS310="Ev")=(E310&gt;0),IF(AS310="Ev",Oranlar!R310,Oranlar!S310)-1,-1))</f>
        <v>-1.0</v>
      </c>
      <c r="AU310" s="16">
        <f>IF(OR(H310=T310,S310=T310),"",IF((H310&gt;T310)=(S310&gt;T310),1,0))</f>
        <v>0</v>
      </c>
      <c r="AV310" s="16">
        <f>IF(OR(L310=V310,U310=V310),"",IF((L310&gt;V310)=(U310&gt;V310),1,0))</f>
        <v>0</v>
      </c>
      <c r="AW310" s="16">
        <f>IF(AND(E310&gt;=J310,E310&lt;=K310),1,0)</f>
        <v>1</v>
      </c>
      <c r="AX310" s="16">
        <f>IF(AND(F310&gt;=N310,F310&lt;=O310),1,0)</f>
        <v>1</v>
      </c>
    </row>
  </sheetData>
  <autoFilter ref="A2:AX3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cols>
    <col min="1" max="1" width="52.7109375" customWidth="1"/>
    <col min="2" max="5" width="16.7109375" customWidth="1"/>
    <col min="6" max="6" width="26.7109375" customWidth="1"/>
    <col min="7" max="7" width="60.7109375" customWidth="1"/>
  </cols>
  <sheetData>
    <row r="1" spans="1:7">
      <c r="A1" s="18" t="s">
        <v>622</v>
      </c>
    </row>
    <row r="2" spans="1:7">
      <c r="A2" s="19" t="s">
        <v>623</v>
      </c>
    </row>
    <row r="4" spans="1:7">
      <c r="A4" s="6" t="s">
        <v>624</v>
      </c>
      <c r="B4" s="6" t="s">
        <v>625</v>
      </c>
      <c r="C4" s="6" t="s">
        <v>626</v>
      </c>
      <c r="D4" s="6" t="s">
        <v>627</v>
      </c>
      <c r="E4" s="6"/>
      <c r="F4" s="6" t="s">
        <v>628</v>
      </c>
      <c r="G4" s="6" t="s">
        <v>629</v>
      </c>
    </row>
    <row r="5" spans="1:7">
      <c r="A5" t="s">
        <v>630</v>
      </c>
      <c r="B5" s="13">
        <f>AVERAGE('Model vs Piyasa'!Y3:Y310)</f>
        <v>0.7824675324675324</v>
      </c>
      <c r="C5" s="13">
        <f>AVERAGE('Model vs Piyasa'!Z3:Z310)</f>
        <v>0.775974025974026</v>
      </c>
      <c r="D5" s="13">
        <f>B5-C5</f>
        <v>0.00649350649350644</v>
      </c>
      <c r="F5" s="31" t="s">
        <v>631</v>
      </c>
      <c r="G5" s="19" t="s">
        <v>632</v>
      </c>
    </row>
    <row r="6" spans="1:7">
      <c r="A6" t="s">
        <v>633</v>
      </c>
      <c r="B6" s="29">
        <f>AVERAGE('Model vs Piyasa'!AA3:AA310)</f>
        <v>0.1698241331168831</v>
      </c>
      <c r="C6" s="29">
        <f>AVERAGE('Model vs Piyasa'!AB3:AB310)</f>
        <v>0.1531532329983381</v>
      </c>
      <c r="D6" s="29">
        <f>B6-C6</f>
        <v>0.016670900118544996</v>
      </c>
      <c r="F6" s="31" t="s">
        <v>634</v>
      </c>
      <c r="G6" s="19" t="s">
        <v>635</v>
      </c>
    </row>
    <row r="7" spans="1:7">
      <c r="A7" t="s">
        <v>636</v>
      </c>
      <c r="B7" s="28">
        <f>AVERAGE('Model vs Piyasa'!AC3:AC310)</f>
        <v>10.61814935064935</v>
      </c>
      <c r="C7" s="28">
        <f>AVERAGE('Model vs Piyasa'!AE3:AE310)</f>
        <v>10.584415584415584</v>
      </c>
      <c r="D7" s="28">
        <f>B7-C7</f>
        <v>0.033733766233766005</v>
      </c>
      <c r="F7" s="31" t="s">
        <v>637</v>
      </c>
      <c r="G7" s="19" t="s">
        <v>638</v>
      </c>
    </row>
    <row r="8" spans="1:7">
      <c r="A8" t="s">
        <v>639</v>
      </c>
      <c r="B8" s="28">
        <f>AVERAGE('Model vs Piyasa'!AD3:AD310)</f>
        <v>11.445454545454545</v>
      </c>
      <c r="C8" s="28">
        <f>AVERAGE('Model vs Piyasa'!AE3:AE310)</f>
        <v>10.584415584415584</v>
      </c>
      <c r="D8" s="28">
        <f>B8-C8</f>
        <v>0.861038961038961</v>
      </c>
      <c r="F8" s="31" t="s">
        <v>640</v>
      </c>
      <c r="G8" s="19" t="s">
        <v>641</v>
      </c>
    </row>
    <row r="9" spans="1:7">
      <c r="A9" t="s">
        <v>642</v>
      </c>
      <c r="B9" s="28">
        <f>AVERAGE('Model vs Piyasa'!AF3:AF310)</f>
        <v>15.199090909090907</v>
      </c>
      <c r="C9" s="28">
        <f>AVERAGE('Model vs Piyasa'!AH3:AH310)</f>
        <v>14.331168831168831</v>
      </c>
      <c r="D9" s="28">
        <f>B9-C9</f>
        <v>0.867922077922076</v>
      </c>
      <c r="F9" s="31" t="s">
        <v>643</v>
      </c>
      <c r="G9" s="19" t="s">
        <v>644</v>
      </c>
    </row>
    <row r="10" spans="1:7">
      <c r="A10" t="s">
        <v>645</v>
      </c>
      <c r="B10" s="28">
        <f>AVERAGE('Model vs Piyasa'!AI3:AI310)</f>
        <v>9.77444805194805</v>
      </c>
      <c r="C10" s="28">
        <f>AVERAGE('Model vs Piyasa'!AJ3:AJ310)</f>
        <v>8.974025974025974</v>
      </c>
      <c r="D10" s="28">
        <f>B10-C10</f>
        <v>0.800422077922077</v>
      </c>
      <c r="G10" s="19" t="s">
        <v>646</v>
      </c>
    </row>
    <row r="11" spans="1:7">
      <c r="A11" t="s">
        <v>647</v>
      </c>
      <c r="B11" s="28">
        <f>AVERAGE('Model vs Piyasa'!AK3:AK310)</f>
        <v>9.273181818181818</v>
      </c>
      <c r="C11" s="28">
        <f>AVERAGE('Model vs Piyasa'!AL3:AL310)</f>
        <v>9.217532467532468</v>
      </c>
      <c r="D11" s="28">
        <f>B11-C11</f>
        <v>0.05564935064935028</v>
      </c>
      <c r="G11" s="19"/>
    </row>
    <row r="14" spans="1:7">
      <c r="A14" s="20" t="s">
        <v>648</v>
      </c>
    </row>
    <row r="15" spans="1:7">
      <c r="A15" s="6" t="s">
        <v>649</v>
      </c>
      <c r="B15" s="6" t="s">
        <v>650</v>
      </c>
      <c r="C15" s="6" t="s">
        <v>651</v>
      </c>
      <c r="D15" s="6" t="s">
        <v>652</v>
      </c>
      <c r="E15" s="6" t="s">
        <v>653</v>
      </c>
      <c r="F15" s="6" t="s">
        <v>654</v>
      </c>
      <c r="G15" s="6" t="s">
        <v>655</v>
      </c>
    </row>
    <row r="16" spans="1:7">
      <c r="A16" t="s">
        <v>656</v>
      </c>
      <c r="B16" s="16">
        <f>COUNTIF('Model vs Piyasa'!AM3:AM310,"Ev")+COUNTIF('Model vs Piyasa'!AM3:AM310,"Dep")</f>
        <v>308</v>
      </c>
      <c r="C16" s="13">
        <f>COUNTIF('Model vs Piyasa'!AN3:AN310,"Kazandı")/(COUNTIF('Model vs Piyasa'!AN3:AN310,"Kazandı")+COUNTIF('Model vs Piyasa'!AN3:AN310,"Kaybetti"))</f>
        <v>0.5714285714285714</v>
      </c>
      <c r="D16" s="30">
        <f>SUM('Model vs Piyasa'!AO3:AO310)</f>
        <v>28.753542710638815</v>
      </c>
      <c r="E16" s="30">
        <f>D16/B16</f>
        <v>0.09335565815142473</v>
      </c>
      <c r="F16" s="31" t="s">
        <v>657</v>
      </c>
      <c r="G16" s="19" t="s">
        <v>658</v>
      </c>
    </row>
    <row r="17" spans="1:7">
      <c r="A17" t="s">
        <v>659</v>
      </c>
      <c r="B17" s="16">
        <f>COUNTIF('Model vs Piyasa'!AP3:AP310,"Üst")+COUNTIF('Model vs Piyasa'!AP3:AP310,"Alt")</f>
        <v>308</v>
      </c>
      <c r="C17" s="13">
        <f>COUNTIF('Model vs Piyasa'!AQ3:AQ310,"Kazandı")/(COUNTIF('Model vs Piyasa'!AQ3:AQ310,"Kazandı")+COUNTIF('Model vs Piyasa'!AQ3:AQ310,"Kaybetti"))</f>
        <v>0.5064935064935064</v>
      </c>
      <c r="D17" s="30">
        <f>SUM('Model vs Piyasa'!AR3:AR310)</f>
        <v>-10.255581041137415</v>
      </c>
      <c r="E17" s="30">
        <f>D17/B17</f>
        <v>-0.033297341042653944</v>
      </c>
      <c r="F17" s="31" t="s">
        <v>660</v>
      </c>
      <c r="G17" s="19" t="s">
        <v>661</v>
      </c>
    </row>
    <row r="18" spans="1:7">
      <c r="A18" t="s">
        <v>662</v>
      </c>
      <c r="B18" s="16">
        <f>COUNTIF('Model vs Piyasa'!AS3:AS310,"Ev")+COUNTIF('Model vs Piyasa'!AS3:AS310,"Dep")</f>
        <v>284</v>
      </c>
      <c r="C18" s="13">
        <f>COUNTIF('Model vs Piyasa'!AT3:AT310,"&gt;0")/B18</f>
        <v>0.2746478873239437</v>
      </c>
      <c r="D18" s="30">
        <f>SUM('Model vs Piyasa'!AT3:AT310)</f>
        <v>-58.15396072921808</v>
      </c>
      <c r="E18" s="30">
        <f>D18/B18</f>
        <v>-0.2047674673564017</v>
      </c>
      <c r="F18" s="31" t="s">
        <v>663</v>
      </c>
      <c r="G18" s="19" t="s">
        <v>664</v>
      </c>
    </row>
    <row r="20" spans="1:7">
      <c r="A20" s="20" t="s">
        <v>665</v>
      </c>
    </row>
    <row r="21" spans="1:7">
      <c r="A21" s="6" t="s">
        <v>624</v>
      </c>
      <c r="B21" s="6" t="s">
        <v>666</v>
      </c>
      <c r="C21" s="6" t="s">
        <v>0</v>
      </c>
      <c r="D21" s="6"/>
      <c r="E21" s="6"/>
      <c r="F21" s="6" t="s">
        <v>667</v>
      </c>
      <c r="G21" s="6" t="s">
        <v>629</v>
      </c>
    </row>
    <row r="22" spans="1:7">
      <c r="A22" t="s">
        <v>668</v>
      </c>
      <c r="B22" s="13">
        <f>AVERAGE('Model vs Piyasa'!AU3:AU310)</f>
        <v>0.5897435897435898</v>
      </c>
      <c r="C22" s="16">
        <f>COUNT('Model vs Piyasa'!AU3:AU310)</f>
        <v>234</v>
      </c>
      <c r="F22" s="31" t="s">
        <v>669</v>
      </c>
      <c r="G22" s="19" t="s">
        <v>670</v>
      </c>
    </row>
    <row r="23" spans="1:7">
      <c r="A23" t="s">
        <v>671</v>
      </c>
      <c r="B23" s="13">
        <f>AVERAGE('Model vs Piyasa'!AV3:AV310)</f>
        <v>0.5592592592592592</v>
      </c>
      <c r="C23" s="16">
        <f>COUNT('Model vs Piyasa'!AV3:AV310)</f>
        <v>270</v>
      </c>
      <c r="F23" s="31" t="s">
        <v>672</v>
      </c>
      <c r="G23" s="19"/>
    </row>
    <row r="24" spans="1:7">
      <c r="A24" t="s">
        <v>673</v>
      </c>
      <c r="B24" s="13">
        <f>AVERAGE('Model vs Piyasa'!AW3:AW310)</f>
        <v>0.7954545454545454</v>
      </c>
      <c r="C24" s="16">
        <f>COUNT('Model vs Piyasa'!AW3:AW310)</f>
        <v>308</v>
      </c>
      <c r="F24" s="31" t="s">
        <v>674</v>
      </c>
      <c r="G24" s="19" t="s">
        <v>675</v>
      </c>
    </row>
    <row r="25" spans="1:7">
      <c r="A25" t="s">
        <v>676</v>
      </c>
      <c r="B25" s="13">
        <f>AVERAGE('Model vs Piyasa'!AX3:AX310)</f>
        <v>0.8668831168831169</v>
      </c>
      <c r="C25" s="16">
        <f>COUNT('Model vs Piyasa'!AX3:AX310)</f>
        <v>308</v>
      </c>
      <c r="F25" s="31" t="s">
        <v>677</v>
      </c>
      <c r="G25" s="19"/>
    </row>
    <row r="27" spans="1:7">
      <c r="A27" s="20" t="s">
        <v>678</v>
      </c>
    </row>
    <row r="28" spans="1:7" ht="48" customHeight="1">
      <c r="A28" s="19" t="s">
        <v>679</v>
      </c>
      <c r="B28" s="19"/>
      <c r="C28" s="19"/>
      <c r="D28" s="19"/>
      <c r="E28" s="19"/>
      <c r="F28" s="19"/>
      <c r="G28" s="19"/>
    </row>
    <row r="29" spans="1:7" ht="48" customHeight="1">
      <c r="A29" s="19" t="s">
        <v>680</v>
      </c>
      <c r="B29" s="19"/>
      <c r="C29" s="19"/>
      <c r="D29" s="19"/>
      <c r="E29" s="19"/>
      <c r="F29" s="19"/>
      <c r="G29" s="19"/>
    </row>
    <row r="30" spans="1:7" ht="48" customHeight="1">
      <c r="A30" s="19" t="s">
        <v>681</v>
      </c>
      <c r="B30" s="19"/>
      <c r="C30" s="19"/>
      <c r="D30" s="19"/>
      <c r="E30" s="19"/>
      <c r="F30" s="19"/>
      <c r="G30" s="19"/>
    </row>
  </sheetData>
  <mergeCells count="3">
    <mergeCell ref="A28:G28"/>
    <mergeCell ref="A29:G29"/>
    <mergeCell ref="A30:G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Oranlar</vt:lpstr>
      <vt:lpstr>Özet</vt:lpstr>
      <vt:lpstr>Kaynaklar ve notlar</vt:lpstr>
      <vt:lpstr>Model vs Piyasa</vt:lpstr>
      <vt:lpstr>Model vs Piyasa özet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2026-09-13T11:06:30Z</dcterms:created>
  <dcterms:modified xsi:type="dcterms:W3CDTF">2026-09-13T11:06:30Z</dcterms:modified>
</cp:coreProperties>
</file>